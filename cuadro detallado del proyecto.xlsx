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sus\Desktop\MARA INGENIEROS\PROYECTOS PYTHON\control_gastos\"/>
    </mc:Choice>
  </mc:AlternateContent>
  <xr:revisionPtr revIDLastSave="0" documentId="13_ncr:1_{0213A31F-CFF3-4506-AC73-C3D4B48A0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67" i="1" l="1"/>
  <c r="R767" i="1"/>
  <c r="U767" i="1" s="1"/>
  <c r="Q767" i="1"/>
  <c r="P767" i="1"/>
  <c r="O767" i="1"/>
  <c r="N767" i="1"/>
  <c r="L767" i="1"/>
  <c r="K767" i="1"/>
  <c r="J767" i="1"/>
  <c r="I767" i="1"/>
  <c r="H767" i="1"/>
  <c r="G767" i="1"/>
  <c r="F767" i="1"/>
  <c r="E767" i="1"/>
  <c r="D767" i="1"/>
  <c r="S766" i="1"/>
  <c r="R766" i="1"/>
  <c r="U766" i="1" s="1"/>
  <c r="Q766" i="1"/>
  <c r="P766" i="1"/>
  <c r="O766" i="1"/>
  <c r="N766" i="1"/>
  <c r="L766" i="1"/>
  <c r="K766" i="1"/>
  <c r="J766" i="1"/>
  <c r="I766" i="1"/>
  <c r="H766" i="1"/>
  <c r="G766" i="1"/>
  <c r="F766" i="1"/>
  <c r="E766" i="1"/>
  <c r="D766" i="1"/>
  <c r="U765" i="1"/>
  <c r="S765" i="1"/>
  <c r="R765" i="1"/>
  <c r="Q765" i="1"/>
  <c r="P765" i="1"/>
  <c r="O765" i="1"/>
  <c r="N765" i="1"/>
  <c r="L765" i="1"/>
  <c r="K765" i="1"/>
  <c r="J765" i="1"/>
  <c r="I765" i="1"/>
  <c r="H765" i="1"/>
  <c r="G765" i="1"/>
  <c r="F765" i="1"/>
  <c r="E765" i="1"/>
  <c r="D765" i="1"/>
  <c r="U764" i="1"/>
  <c r="S764" i="1"/>
  <c r="R764" i="1"/>
  <c r="Q764" i="1"/>
  <c r="P764" i="1"/>
  <c r="O764" i="1"/>
  <c r="N764" i="1"/>
  <c r="L764" i="1"/>
  <c r="K764" i="1"/>
  <c r="J764" i="1"/>
  <c r="I764" i="1"/>
  <c r="H764" i="1"/>
  <c r="G764" i="1"/>
  <c r="F764" i="1"/>
  <c r="E764" i="1"/>
  <c r="D764" i="1"/>
  <c r="U763" i="1"/>
  <c r="S763" i="1"/>
  <c r="R763" i="1"/>
  <c r="Q763" i="1"/>
  <c r="P763" i="1"/>
  <c r="O763" i="1"/>
  <c r="N763" i="1"/>
  <c r="L763" i="1"/>
  <c r="K763" i="1"/>
  <c r="J763" i="1"/>
  <c r="I763" i="1"/>
  <c r="H763" i="1"/>
  <c r="G763" i="1"/>
  <c r="F763" i="1"/>
  <c r="E763" i="1"/>
  <c r="D763" i="1"/>
  <c r="U762" i="1"/>
  <c r="S762" i="1"/>
  <c r="R762" i="1"/>
  <c r="Q762" i="1"/>
  <c r="P762" i="1"/>
  <c r="O762" i="1"/>
  <c r="N762" i="1"/>
  <c r="L762" i="1"/>
  <c r="K762" i="1"/>
  <c r="J762" i="1"/>
  <c r="I762" i="1"/>
  <c r="H762" i="1"/>
  <c r="G762" i="1"/>
  <c r="F762" i="1"/>
  <c r="E762" i="1"/>
  <c r="D762" i="1"/>
  <c r="U761" i="1"/>
  <c r="S761" i="1"/>
  <c r="R761" i="1"/>
  <c r="Q761" i="1"/>
  <c r="P761" i="1"/>
  <c r="O761" i="1"/>
  <c r="N761" i="1"/>
  <c r="L761" i="1"/>
  <c r="K761" i="1"/>
  <c r="J761" i="1"/>
  <c r="I761" i="1"/>
  <c r="H761" i="1"/>
  <c r="G761" i="1"/>
  <c r="F761" i="1"/>
  <c r="E761" i="1"/>
  <c r="D761" i="1"/>
  <c r="U760" i="1"/>
  <c r="S760" i="1"/>
  <c r="R760" i="1"/>
  <c r="Q760" i="1"/>
  <c r="P760" i="1"/>
  <c r="O760" i="1"/>
  <c r="N760" i="1"/>
  <c r="L760" i="1"/>
  <c r="K760" i="1"/>
  <c r="J760" i="1"/>
  <c r="I760" i="1"/>
  <c r="H760" i="1"/>
  <c r="G760" i="1"/>
  <c r="F760" i="1"/>
  <c r="E760" i="1"/>
  <c r="D760" i="1"/>
  <c r="S759" i="1"/>
  <c r="R759" i="1"/>
  <c r="U759" i="1" s="1"/>
  <c r="Q759" i="1"/>
  <c r="P759" i="1"/>
  <c r="O759" i="1"/>
  <c r="N759" i="1"/>
  <c r="L759" i="1"/>
  <c r="K759" i="1"/>
  <c r="J759" i="1"/>
  <c r="I759" i="1"/>
  <c r="H759" i="1"/>
  <c r="G759" i="1"/>
  <c r="F759" i="1"/>
  <c r="E759" i="1"/>
  <c r="D759" i="1"/>
  <c r="S758" i="1"/>
  <c r="R758" i="1"/>
  <c r="U758" i="1" s="1"/>
  <c r="Q758" i="1"/>
  <c r="P758" i="1"/>
  <c r="O758" i="1"/>
  <c r="N758" i="1"/>
  <c r="L758" i="1"/>
  <c r="K758" i="1"/>
  <c r="J758" i="1"/>
  <c r="I758" i="1"/>
  <c r="H758" i="1"/>
  <c r="G758" i="1"/>
  <c r="F758" i="1"/>
  <c r="E758" i="1"/>
  <c r="D758" i="1"/>
  <c r="S757" i="1"/>
  <c r="R757" i="1"/>
  <c r="U757" i="1" s="1"/>
  <c r="Q757" i="1"/>
  <c r="P757" i="1"/>
  <c r="O757" i="1"/>
  <c r="N757" i="1"/>
  <c r="L757" i="1"/>
  <c r="K757" i="1"/>
  <c r="J757" i="1"/>
  <c r="I757" i="1"/>
  <c r="H757" i="1"/>
  <c r="G757" i="1"/>
  <c r="F757" i="1"/>
  <c r="E757" i="1"/>
  <c r="D757" i="1"/>
  <c r="S756" i="1"/>
  <c r="R756" i="1"/>
  <c r="U756" i="1" s="1"/>
  <c r="Q756" i="1"/>
  <c r="P756" i="1"/>
  <c r="O756" i="1"/>
  <c r="N756" i="1"/>
  <c r="L756" i="1"/>
  <c r="K756" i="1"/>
  <c r="J756" i="1"/>
  <c r="I756" i="1"/>
  <c r="H756" i="1"/>
  <c r="G756" i="1"/>
  <c r="F756" i="1"/>
  <c r="E756" i="1"/>
  <c r="D756" i="1"/>
  <c r="S755" i="1"/>
  <c r="R755" i="1"/>
  <c r="U755" i="1" s="1"/>
  <c r="Q755" i="1"/>
  <c r="P755" i="1"/>
  <c r="O755" i="1"/>
  <c r="N755" i="1"/>
  <c r="L755" i="1"/>
  <c r="K755" i="1"/>
  <c r="J755" i="1"/>
  <c r="I755" i="1"/>
  <c r="H755" i="1"/>
  <c r="G755" i="1"/>
  <c r="F755" i="1"/>
  <c r="E755" i="1"/>
  <c r="D755" i="1"/>
  <c r="S754" i="1"/>
  <c r="R754" i="1"/>
  <c r="U754" i="1" s="1"/>
  <c r="Q754" i="1"/>
  <c r="P754" i="1"/>
  <c r="O754" i="1"/>
  <c r="N754" i="1"/>
  <c r="L754" i="1"/>
  <c r="K754" i="1"/>
  <c r="J754" i="1"/>
  <c r="I754" i="1"/>
  <c r="H754" i="1"/>
  <c r="G754" i="1"/>
  <c r="F754" i="1"/>
  <c r="E754" i="1"/>
  <c r="D754" i="1"/>
  <c r="S753" i="1"/>
  <c r="R753" i="1"/>
  <c r="U753" i="1" s="1"/>
  <c r="Q753" i="1"/>
  <c r="P753" i="1"/>
  <c r="O753" i="1"/>
  <c r="N753" i="1"/>
  <c r="L753" i="1"/>
  <c r="K753" i="1"/>
  <c r="J753" i="1"/>
  <c r="I753" i="1"/>
  <c r="H753" i="1"/>
  <c r="G753" i="1"/>
  <c r="F753" i="1"/>
  <c r="E753" i="1"/>
  <c r="D753" i="1"/>
  <c r="S752" i="1"/>
  <c r="R752" i="1"/>
  <c r="U752" i="1" s="1"/>
  <c r="Q752" i="1"/>
  <c r="P752" i="1"/>
  <c r="O752" i="1"/>
  <c r="N752" i="1"/>
  <c r="L752" i="1"/>
  <c r="K752" i="1"/>
  <c r="J752" i="1"/>
  <c r="I752" i="1"/>
  <c r="H752" i="1"/>
  <c r="G752" i="1"/>
  <c r="F752" i="1"/>
  <c r="E752" i="1"/>
  <c r="D752" i="1"/>
  <c r="U751" i="1"/>
  <c r="S751" i="1"/>
  <c r="R751" i="1"/>
  <c r="Q751" i="1"/>
  <c r="P751" i="1"/>
  <c r="O751" i="1"/>
  <c r="N751" i="1"/>
  <c r="L751" i="1"/>
  <c r="K751" i="1"/>
  <c r="J751" i="1"/>
  <c r="I751" i="1"/>
  <c r="H751" i="1"/>
  <c r="G751" i="1"/>
  <c r="F751" i="1"/>
  <c r="E751" i="1"/>
  <c r="D751" i="1"/>
  <c r="U750" i="1"/>
  <c r="S750" i="1"/>
  <c r="R750" i="1"/>
  <c r="Q750" i="1"/>
  <c r="P750" i="1"/>
  <c r="O750" i="1"/>
  <c r="N750" i="1"/>
  <c r="L750" i="1"/>
  <c r="K750" i="1"/>
  <c r="J750" i="1"/>
  <c r="I750" i="1"/>
  <c r="H750" i="1"/>
  <c r="G750" i="1"/>
  <c r="F750" i="1"/>
  <c r="E750" i="1"/>
  <c r="D750" i="1"/>
  <c r="U749" i="1"/>
  <c r="S749" i="1"/>
  <c r="R749" i="1"/>
  <c r="Q749" i="1"/>
  <c r="P749" i="1"/>
  <c r="O749" i="1"/>
  <c r="N749" i="1"/>
  <c r="L749" i="1"/>
  <c r="K749" i="1"/>
  <c r="J749" i="1"/>
  <c r="I749" i="1"/>
  <c r="H749" i="1"/>
  <c r="G749" i="1"/>
  <c r="F749" i="1"/>
  <c r="E749" i="1"/>
  <c r="D749" i="1"/>
  <c r="U748" i="1"/>
  <c r="S748" i="1"/>
  <c r="R748" i="1"/>
  <c r="Q748" i="1"/>
  <c r="P748" i="1"/>
  <c r="O748" i="1"/>
  <c r="N748" i="1"/>
  <c r="L748" i="1"/>
  <c r="K748" i="1"/>
  <c r="J748" i="1"/>
  <c r="I748" i="1"/>
  <c r="H748" i="1"/>
  <c r="G748" i="1"/>
  <c r="F748" i="1"/>
  <c r="E748" i="1"/>
  <c r="D748" i="1"/>
  <c r="U747" i="1"/>
  <c r="S747" i="1"/>
  <c r="R747" i="1"/>
  <c r="Q747" i="1"/>
  <c r="P747" i="1"/>
  <c r="O747" i="1"/>
  <c r="N747" i="1"/>
  <c r="L747" i="1"/>
  <c r="K747" i="1"/>
  <c r="J747" i="1"/>
  <c r="I747" i="1"/>
  <c r="H747" i="1"/>
  <c r="G747" i="1"/>
  <c r="F747" i="1"/>
  <c r="E747" i="1"/>
  <c r="D747" i="1"/>
  <c r="U746" i="1"/>
  <c r="S746" i="1"/>
  <c r="R746" i="1"/>
  <c r="Q746" i="1"/>
  <c r="P746" i="1"/>
  <c r="O746" i="1"/>
  <c r="N746" i="1"/>
  <c r="L746" i="1"/>
  <c r="K746" i="1"/>
  <c r="J746" i="1"/>
  <c r="I746" i="1"/>
  <c r="H746" i="1"/>
  <c r="G746" i="1"/>
  <c r="F746" i="1"/>
  <c r="E746" i="1"/>
  <c r="D746" i="1"/>
  <c r="U745" i="1"/>
  <c r="S745" i="1"/>
  <c r="R745" i="1"/>
  <c r="Q745" i="1"/>
  <c r="P745" i="1"/>
  <c r="O745" i="1"/>
  <c r="N745" i="1"/>
  <c r="L745" i="1"/>
  <c r="K745" i="1"/>
  <c r="J745" i="1"/>
  <c r="I745" i="1"/>
  <c r="H745" i="1"/>
  <c r="G745" i="1"/>
  <c r="F745" i="1"/>
  <c r="E745" i="1"/>
  <c r="D745" i="1"/>
  <c r="U744" i="1"/>
  <c r="S744" i="1"/>
  <c r="R744" i="1"/>
  <c r="Q744" i="1"/>
  <c r="P744" i="1"/>
  <c r="O744" i="1"/>
  <c r="N744" i="1"/>
  <c r="L744" i="1"/>
  <c r="K744" i="1"/>
  <c r="J744" i="1"/>
  <c r="I744" i="1"/>
  <c r="H744" i="1"/>
  <c r="G744" i="1"/>
  <c r="F744" i="1"/>
  <c r="E744" i="1"/>
  <c r="D744" i="1"/>
  <c r="U743" i="1"/>
  <c r="S743" i="1"/>
  <c r="R743" i="1"/>
  <c r="Q743" i="1"/>
  <c r="P743" i="1"/>
  <c r="O743" i="1"/>
  <c r="N743" i="1"/>
  <c r="L743" i="1"/>
  <c r="K743" i="1"/>
  <c r="J743" i="1"/>
  <c r="I743" i="1"/>
  <c r="H743" i="1"/>
  <c r="G743" i="1"/>
  <c r="F743" i="1"/>
  <c r="E743" i="1"/>
  <c r="D743" i="1"/>
  <c r="U742" i="1"/>
  <c r="S742" i="1"/>
  <c r="R742" i="1"/>
  <c r="Q742" i="1"/>
  <c r="P742" i="1"/>
  <c r="O742" i="1"/>
  <c r="N742" i="1"/>
  <c r="L742" i="1"/>
  <c r="K742" i="1"/>
  <c r="J742" i="1"/>
  <c r="I742" i="1"/>
  <c r="H742" i="1"/>
  <c r="G742" i="1"/>
  <c r="F742" i="1"/>
  <c r="E742" i="1"/>
  <c r="D742" i="1"/>
  <c r="U741" i="1"/>
  <c r="S741" i="1"/>
  <c r="R741" i="1"/>
  <c r="Q741" i="1"/>
  <c r="P741" i="1"/>
  <c r="O741" i="1"/>
  <c r="N741" i="1"/>
  <c r="L741" i="1"/>
  <c r="K741" i="1"/>
  <c r="J741" i="1"/>
  <c r="I741" i="1"/>
  <c r="H741" i="1"/>
  <c r="G741" i="1"/>
  <c r="F741" i="1"/>
  <c r="E741" i="1"/>
  <c r="D741" i="1"/>
  <c r="U740" i="1"/>
  <c r="S740" i="1"/>
  <c r="R740" i="1"/>
  <c r="Q740" i="1"/>
  <c r="P740" i="1"/>
  <c r="O740" i="1"/>
  <c r="N740" i="1"/>
  <c r="L740" i="1"/>
  <c r="K740" i="1"/>
  <c r="J740" i="1"/>
  <c r="I740" i="1"/>
  <c r="H740" i="1"/>
  <c r="G740" i="1"/>
  <c r="F740" i="1"/>
  <c r="E740" i="1"/>
  <c r="D740" i="1"/>
  <c r="U739" i="1"/>
  <c r="S739" i="1"/>
  <c r="R739" i="1"/>
  <c r="Q739" i="1"/>
  <c r="P739" i="1"/>
  <c r="O739" i="1"/>
  <c r="N739" i="1"/>
  <c r="L739" i="1"/>
  <c r="K739" i="1"/>
  <c r="J739" i="1"/>
  <c r="I739" i="1"/>
  <c r="H739" i="1"/>
  <c r="G739" i="1"/>
  <c r="F739" i="1"/>
  <c r="E739" i="1"/>
  <c r="D739" i="1"/>
  <c r="U738" i="1"/>
  <c r="S738" i="1"/>
  <c r="R738" i="1"/>
  <c r="Q738" i="1"/>
  <c r="P738" i="1"/>
  <c r="O738" i="1"/>
  <c r="N738" i="1"/>
  <c r="L738" i="1"/>
  <c r="K738" i="1"/>
  <c r="J738" i="1"/>
  <c r="I738" i="1"/>
  <c r="H738" i="1"/>
  <c r="G738" i="1"/>
  <c r="F738" i="1"/>
  <c r="E738" i="1"/>
  <c r="D738" i="1"/>
  <c r="U737" i="1"/>
  <c r="S737" i="1"/>
  <c r="R737" i="1"/>
  <c r="Q737" i="1"/>
  <c r="P737" i="1"/>
  <c r="O737" i="1"/>
  <c r="N737" i="1"/>
  <c r="L737" i="1"/>
  <c r="K737" i="1"/>
  <c r="J737" i="1"/>
  <c r="I737" i="1"/>
  <c r="H737" i="1"/>
  <c r="G737" i="1"/>
  <c r="F737" i="1"/>
  <c r="E737" i="1"/>
  <c r="D737" i="1"/>
  <c r="U736" i="1"/>
  <c r="S736" i="1"/>
  <c r="R736" i="1"/>
  <c r="Q736" i="1"/>
  <c r="P736" i="1"/>
  <c r="O736" i="1"/>
  <c r="N736" i="1"/>
  <c r="L736" i="1"/>
  <c r="K736" i="1"/>
  <c r="J736" i="1"/>
  <c r="I736" i="1"/>
  <c r="H736" i="1"/>
  <c r="G736" i="1"/>
  <c r="F736" i="1"/>
  <c r="E736" i="1"/>
  <c r="D736" i="1"/>
  <c r="U735" i="1"/>
  <c r="S735" i="1"/>
  <c r="R735" i="1"/>
  <c r="Q735" i="1"/>
  <c r="P735" i="1"/>
  <c r="O735" i="1"/>
  <c r="N735" i="1"/>
  <c r="L735" i="1"/>
  <c r="K735" i="1"/>
  <c r="J735" i="1"/>
  <c r="I735" i="1"/>
  <c r="H735" i="1"/>
  <c r="G735" i="1"/>
  <c r="F735" i="1"/>
  <c r="E735" i="1"/>
  <c r="D735" i="1"/>
  <c r="U734" i="1"/>
  <c r="S734" i="1"/>
  <c r="R734" i="1"/>
  <c r="Q734" i="1"/>
  <c r="P734" i="1"/>
  <c r="O734" i="1"/>
  <c r="N734" i="1"/>
  <c r="L734" i="1"/>
  <c r="K734" i="1"/>
  <c r="J734" i="1"/>
  <c r="I734" i="1"/>
  <c r="H734" i="1"/>
  <c r="G734" i="1"/>
  <c r="F734" i="1"/>
  <c r="E734" i="1"/>
  <c r="D734" i="1"/>
  <c r="U733" i="1"/>
  <c r="S733" i="1"/>
  <c r="R733" i="1"/>
  <c r="Q733" i="1"/>
  <c r="P733" i="1"/>
  <c r="O733" i="1"/>
  <c r="N733" i="1"/>
  <c r="L733" i="1"/>
  <c r="K733" i="1"/>
  <c r="J733" i="1"/>
  <c r="I733" i="1"/>
  <c r="H733" i="1"/>
  <c r="G733" i="1"/>
  <c r="F733" i="1"/>
  <c r="E733" i="1"/>
  <c r="D733" i="1"/>
  <c r="U732" i="1"/>
  <c r="S732" i="1"/>
  <c r="R732" i="1"/>
  <c r="Q732" i="1"/>
  <c r="P732" i="1"/>
  <c r="O732" i="1"/>
  <c r="N732" i="1"/>
  <c r="L732" i="1"/>
  <c r="K732" i="1"/>
  <c r="J732" i="1"/>
  <c r="I732" i="1"/>
  <c r="H732" i="1"/>
  <c r="G732" i="1"/>
  <c r="F732" i="1"/>
  <c r="E732" i="1"/>
  <c r="D732" i="1"/>
  <c r="U731" i="1"/>
  <c r="S731" i="1"/>
  <c r="R731" i="1"/>
  <c r="Q731" i="1"/>
  <c r="P731" i="1"/>
  <c r="O731" i="1"/>
  <c r="N731" i="1"/>
  <c r="L731" i="1"/>
  <c r="K731" i="1"/>
  <c r="J731" i="1"/>
  <c r="I731" i="1"/>
  <c r="H731" i="1"/>
  <c r="G731" i="1"/>
  <c r="F731" i="1"/>
  <c r="E731" i="1"/>
  <c r="D731" i="1"/>
  <c r="U730" i="1"/>
  <c r="S730" i="1"/>
  <c r="R730" i="1"/>
  <c r="Q730" i="1"/>
  <c r="P730" i="1"/>
  <c r="O730" i="1"/>
  <c r="N730" i="1"/>
  <c r="L730" i="1"/>
  <c r="K730" i="1"/>
  <c r="J730" i="1"/>
  <c r="I730" i="1"/>
  <c r="H730" i="1"/>
  <c r="G730" i="1"/>
  <c r="F730" i="1"/>
  <c r="E730" i="1"/>
  <c r="D730" i="1"/>
  <c r="U729" i="1"/>
  <c r="S729" i="1"/>
  <c r="R729" i="1"/>
  <c r="Q729" i="1"/>
  <c r="P729" i="1"/>
  <c r="O729" i="1"/>
  <c r="N729" i="1"/>
  <c r="L729" i="1"/>
  <c r="K729" i="1"/>
  <c r="J729" i="1"/>
  <c r="I729" i="1"/>
  <c r="H729" i="1"/>
  <c r="G729" i="1"/>
  <c r="F729" i="1"/>
  <c r="E729" i="1"/>
  <c r="D729" i="1"/>
  <c r="U728" i="1"/>
  <c r="S728" i="1"/>
  <c r="R728" i="1"/>
  <c r="Q728" i="1"/>
  <c r="P728" i="1"/>
  <c r="O728" i="1"/>
  <c r="N728" i="1"/>
  <c r="L728" i="1"/>
  <c r="K728" i="1"/>
  <c r="J728" i="1"/>
  <c r="I728" i="1"/>
  <c r="H728" i="1"/>
  <c r="G728" i="1"/>
  <c r="F728" i="1"/>
  <c r="E728" i="1"/>
  <c r="D728" i="1"/>
  <c r="U727" i="1"/>
  <c r="S727" i="1"/>
  <c r="R727" i="1"/>
  <c r="Q727" i="1"/>
  <c r="P727" i="1"/>
  <c r="O727" i="1"/>
  <c r="N727" i="1"/>
  <c r="L727" i="1"/>
  <c r="K727" i="1"/>
  <c r="J727" i="1"/>
  <c r="I727" i="1"/>
  <c r="H727" i="1"/>
  <c r="G727" i="1"/>
  <c r="F727" i="1"/>
  <c r="E727" i="1"/>
  <c r="D727" i="1"/>
  <c r="U726" i="1"/>
  <c r="S726" i="1"/>
  <c r="R726" i="1"/>
  <c r="Q726" i="1"/>
  <c r="P726" i="1"/>
  <c r="O726" i="1"/>
  <c r="N726" i="1"/>
  <c r="L726" i="1"/>
  <c r="K726" i="1"/>
  <c r="J726" i="1"/>
  <c r="I726" i="1"/>
  <c r="H726" i="1"/>
  <c r="G726" i="1"/>
  <c r="F726" i="1"/>
  <c r="E726" i="1"/>
  <c r="D726" i="1"/>
  <c r="U725" i="1"/>
  <c r="S725" i="1"/>
  <c r="R725" i="1"/>
  <c r="Q725" i="1"/>
  <c r="P725" i="1"/>
  <c r="O725" i="1"/>
  <c r="N725" i="1"/>
  <c r="L725" i="1"/>
  <c r="K725" i="1"/>
  <c r="J725" i="1"/>
  <c r="I725" i="1"/>
  <c r="H725" i="1"/>
  <c r="G725" i="1"/>
  <c r="F725" i="1"/>
  <c r="E725" i="1"/>
  <c r="D725" i="1"/>
  <c r="U724" i="1"/>
  <c r="S724" i="1"/>
  <c r="R724" i="1"/>
  <c r="Q724" i="1"/>
  <c r="P724" i="1"/>
  <c r="O724" i="1"/>
  <c r="N724" i="1"/>
  <c r="L724" i="1"/>
  <c r="K724" i="1"/>
  <c r="J724" i="1"/>
  <c r="I724" i="1"/>
  <c r="H724" i="1"/>
  <c r="G724" i="1"/>
  <c r="F724" i="1"/>
  <c r="E724" i="1"/>
  <c r="D724" i="1"/>
  <c r="U723" i="1"/>
  <c r="S723" i="1"/>
  <c r="R723" i="1"/>
  <c r="Q723" i="1"/>
  <c r="P723" i="1"/>
  <c r="O723" i="1"/>
  <c r="N723" i="1"/>
  <c r="L723" i="1"/>
  <c r="K723" i="1"/>
  <c r="J723" i="1"/>
  <c r="I723" i="1"/>
  <c r="H723" i="1"/>
  <c r="G723" i="1"/>
  <c r="F723" i="1"/>
  <c r="E723" i="1"/>
  <c r="D723" i="1"/>
  <c r="U722" i="1"/>
  <c r="S722" i="1"/>
  <c r="R722" i="1"/>
  <c r="Q722" i="1"/>
  <c r="P722" i="1"/>
  <c r="O722" i="1"/>
  <c r="N722" i="1"/>
  <c r="L722" i="1"/>
  <c r="K722" i="1"/>
  <c r="J722" i="1"/>
  <c r="I722" i="1"/>
  <c r="H722" i="1"/>
  <c r="G722" i="1"/>
  <c r="F722" i="1"/>
  <c r="E722" i="1"/>
  <c r="D722" i="1"/>
  <c r="U721" i="1"/>
  <c r="S721" i="1"/>
  <c r="R721" i="1"/>
  <c r="Q721" i="1"/>
  <c r="P721" i="1"/>
  <c r="O721" i="1"/>
  <c r="N721" i="1"/>
  <c r="L721" i="1"/>
  <c r="K721" i="1"/>
  <c r="J721" i="1"/>
  <c r="I721" i="1"/>
  <c r="H721" i="1"/>
  <c r="G721" i="1"/>
  <c r="F721" i="1"/>
  <c r="E721" i="1"/>
  <c r="D721" i="1"/>
  <c r="U720" i="1"/>
  <c r="S720" i="1"/>
  <c r="R720" i="1"/>
  <c r="Q720" i="1"/>
  <c r="P720" i="1"/>
  <c r="O720" i="1"/>
  <c r="N720" i="1"/>
  <c r="L720" i="1"/>
  <c r="K720" i="1"/>
  <c r="J720" i="1"/>
  <c r="I720" i="1"/>
  <c r="H720" i="1"/>
  <c r="G720" i="1"/>
  <c r="F720" i="1"/>
  <c r="E720" i="1"/>
  <c r="D720" i="1"/>
  <c r="U719" i="1"/>
  <c r="S719" i="1"/>
  <c r="R719" i="1"/>
  <c r="Q719" i="1"/>
  <c r="P719" i="1"/>
  <c r="O719" i="1"/>
  <c r="N719" i="1"/>
  <c r="L719" i="1"/>
  <c r="K719" i="1"/>
  <c r="J719" i="1"/>
  <c r="I719" i="1"/>
  <c r="H719" i="1"/>
  <c r="G719" i="1"/>
  <c r="F719" i="1"/>
  <c r="E719" i="1"/>
  <c r="D719" i="1"/>
  <c r="U718" i="1"/>
  <c r="S718" i="1"/>
  <c r="R718" i="1"/>
  <c r="Q718" i="1"/>
  <c r="P718" i="1"/>
  <c r="O718" i="1"/>
  <c r="N718" i="1"/>
  <c r="L718" i="1"/>
  <c r="K718" i="1"/>
  <c r="J718" i="1"/>
  <c r="I718" i="1"/>
  <c r="H718" i="1"/>
  <c r="G718" i="1"/>
  <c r="F718" i="1"/>
  <c r="E718" i="1"/>
  <c r="D718" i="1"/>
  <c r="U717" i="1"/>
  <c r="S717" i="1"/>
  <c r="R717" i="1"/>
  <c r="Q717" i="1"/>
  <c r="P717" i="1"/>
  <c r="O717" i="1"/>
  <c r="N717" i="1"/>
  <c r="L717" i="1"/>
  <c r="K717" i="1"/>
  <c r="J717" i="1"/>
  <c r="I717" i="1"/>
  <c r="H717" i="1"/>
  <c r="G717" i="1"/>
  <c r="F717" i="1"/>
  <c r="E717" i="1"/>
  <c r="D717" i="1"/>
  <c r="U716" i="1"/>
  <c r="S716" i="1"/>
  <c r="R716" i="1"/>
  <c r="Q716" i="1"/>
  <c r="P716" i="1"/>
  <c r="O716" i="1"/>
  <c r="N716" i="1"/>
  <c r="L716" i="1"/>
  <c r="K716" i="1"/>
  <c r="J716" i="1"/>
  <c r="I716" i="1"/>
  <c r="H716" i="1"/>
  <c r="G716" i="1"/>
  <c r="F716" i="1"/>
  <c r="E716" i="1"/>
  <c r="D716" i="1"/>
  <c r="U715" i="1"/>
  <c r="S715" i="1"/>
  <c r="R715" i="1"/>
  <c r="Q715" i="1"/>
  <c r="P715" i="1"/>
  <c r="O715" i="1"/>
  <c r="N715" i="1"/>
  <c r="L715" i="1"/>
  <c r="K715" i="1"/>
  <c r="J715" i="1"/>
  <c r="I715" i="1"/>
  <c r="H715" i="1"/>
  <c r="G715" i="1"/>
  <c r="F715" i="1"/>
  <c r="E715" i="1"/>
  <c r="D715" i="1"/>
  <c r="U714" i="1"/>
  <c r="S714" i="1"/>
  <c r="R714" i="1"/>
  <c r="Q714" i="1"/>
  <c r="P714" i="1"/>
  <c r="O714" i="1"/>
  <c r="N714" i="1"/>
  <c r="L714" i="1"/>
  <c r="K714" i="1"/>
  <c r="J714" i="1"/>
  <c r="I714" i="1"/>
  <c r="H714" i="1"/>
  <c r="G714" i="1"/>
  <c r="F714" i="1"/>
  <c r="E714" i="1"/>
  <c r="D714" i="1"/>
  <c r="U713" i="1"/>
  <c r="S713" i="1"/>
  <c r="R713" i="1"/>
  <c r="Q713" i="1"/>
  <c r="P713" i="1"/>
  <c r="O713" i="1"/>
  <c r="N713" i="1"/>
  <c r="L713" i="1"/>
  <c r="K713" i="1"/>
  <c r="J713" i="1"/>
  <c r="I713" i="1"/>
  <c r="H713" i="1"/>
  <c r="G713" i="1"/>
  <c r="F713" i="1"/>
  <c r="E713" i="1"/>
  <c r="D713" i="1"/>
  <c r="U712" i="1"/>
  <c r="S712" i="1"/>
  <c r="R712" i="1"/>
  <c r="Q712" i="1"/>
  <c r="P712" i="1"/>
  <c r="O712" i="1"/>
  <c r="N712" i="1"/>
  <c r="L712" i="1"/>
  <c r="K712" i="1"/>
  <c r="J712" i="1"/>
  <c r="I712" i="1"/>
  <c r="H712" i="1"/>
  <c r="G712" i="1"/>
  <c r="F712" i="1"/>
  <c r="E712" i="1"/>
  <c r="D712" i="1"/>
  <c r="U711" i="1"/>
  <c r="S711" i="1"/>
  <c r="R711" i="1"/>
  <c r="Q711" i="1"/>
  <c r="P711" i="1"/>
  <c r="O711" i="1"/>
  <c r="N711" i="1"/>
  <c r="L711" i="1"/>
  <c r="K711" i="1"/>
  <c r="J711" i="1"/>
  <c r="I711" i="1"/>
  <c r="H711" i="1"/>
  <c r="G711" i="1"/>
  <c r="F711" i="1"/>
  <c r="E711" i="1"/>
  <c r="D711" i="1"/>
  <c r="U710" i="1"/>
  <c r="S710" i="1"/>
  <c r="R710" i="1"/>
  <c r="Q710" i="1"/>
  <c r="P710" i="1"/>
  <c r="O710" i="1"/>
  <c r="N710" i="1"/>
  <c r="L710" i="1"/>
  <c r="K710" i="1"/>
  <c r="J710" i="1"/>
  <c r="I710" i="1"/>
  <c r="H710" i="1"/>
  <c r="G710" i="1"/>
  <c r="F710" i="1"/>
  <c r="E710" i="1"/>
  <c r="D710" i="1"/>
  <c r="U709" i="1"/>
  <c r="S709" i="1"/>
  <c r="R709" i="1"/>
  <c r="Q709" i="1"/>
  <c r="P709" i="1"/>
  <c r="O709" i="1"/>
  <c r="N709" i="1"/>
  <c r="L709" i="1"/>
  <c r="K709" i="1"/>
  <c r="J709" i="1"/>
  <c r="I709" i="1"/>
  <c r="H709" i="1"/>
  <c r="G709" i="1"/>
  <c r="F709" i="1"/>
  <c r="E709" i="1"/>
  <c r="D709" i="1"/>
  <c r="U708" i="1"/>
  <c r="S708" i="1"/>
  <c r="R708" i="1"/>
  <c r="Q708" i="1"/>
  <c r="P708" i="1"/>
  <c r="O708" i="1"/>
  <c r="N708" i="1"/>
  <c r="L708" i="1"/>
  <c r="K708" i="1"/>
  <c r="J708" i="1"/>
  <c r="I708" i="1"/>
  <c r="H708" i="1"/>
  <c r="G708" i="1"/>
  <c r="F708" i="1"/>
  <c r="E708" i="1"/>
  <c r="D708" i="1"/>
  <c r="U707" i="1"/>
  <c r="S707" i="1"/>
  <c r="R707" i="1"/>
  <c r="Q707" i="1"/>
  <c r="P707" i="1"/>
  <c r="O707" i="1"/>
  <c r="N707" i="1"/>
  <c r="L707" i="1"/>
  <c r="K707" i="1"/>
  <c r="J707" i="1"/>
  <c r="I707" i="1"/>
  <c r="H707" i="1"/>
  <c r="G707" i="1"/>
  <c r="F707" i="1"/>
  <c r="E707" i="1"/>
  <c r="D707" i="1"/>
  <c r="U706" i="1"/>
  <c r="S706" i="1"/>
  <c r="R706" i="1"/>
  <c r="Q706" i="1"/>
  <c r="P706" i="1"/>
  <c r="O706" i="1"/>
  <c r="N706" i="1"/>
  <c r="L706" i="1"/>
  <c r="K706" i="1"/>
  <c r="J706" i="1"/>
  <c r="I706" i="1"/>
  <c r="H706" i="1"/>
  <c r="G706" i="1"/>
  <c r="F706" i="1"/>
  <c r="E706" i="1"/>
  <c r="D706" i="1"/>
  <c r="U705" i="1"/>
  <c r="S705" i="1"/>
  <c r="R705" i="1"/>
  <c r="Q705" i="1"/>
  <c r="P705" i="1"/>
  <c r="O705" i="1"/>
  <c r="N705" i="1"/>
  <c r="L705" i="1"/>
  <c r="K705" i="1"/>
  <c r="J705" i="1"/>
  <c r="I705" i="1"/>
  <c r="H705" i="1"/>
  <c r="G705" i="1"/>
  <c r="F705" i="1"/>
  <c r="E705" i="1"/>
  <c r="D705" i="1"/>
  <c r="U704" i="1"/>
  <c r="S704" i="1"/>
  <c r="R704" i="1"/>
  <c r="Q704" i="1"/>
  <c r="P704" i="1"/>
  <c r="O704" i="1"/>
  <c r="N704" i="1"/>
  <c r="L704" i="1"/>
  <c r="K704" i="1"/>
  <c r="J704" i="1"/>
  <c r="I704" i="1"/>
  <c r="H704" i="1"/>
  <c r="G704" i="1"/>
  <c r="F704" i="1"/>
  <c r="E704" i="1"/>
  <c r="D704" i="1"/>
  <c r="U703" i="1"/>
  <c r="S703" i="1"/>
  <c r="R703" i="1"/>
  <c r="Q703" i="1"/>
  <c r="P703" i="1"/>
  <c r="O703" i="1"/>
  <c r="N703" i="1"/>
  <c r="L703" i="1"/>
  <c r="K703" i="1"/>
  <c r="J703" i="1"/>
  <c r="I703" i="1"/>
  <c r="H703" i="1"/>
  <c r="G703" i="1"/>
  <c r="F703" i="1"/>
  <c r="E703" i="1"/>
  <c r="D703" i="1"/>
  <c r="U702" i="1"/>
  <c r="S702" i="1"/>
  <c r="R702" i="1"/>
  <c r="Q702" i="1"/>
  <c r="P702" i="1"/>
  <c r="O702" i="1"/>
  <c r="N702" i="1"/>
  <c r="L702" i="1"/>
  <c r="K702" i="1"/>
  <c r="J702" i="1"/>
  <c r="I702" i="1"/>
  <c r="H702" i="1"/>
  <c r="G702" i="1"/>
  <c r="F702" i="1"/>
  <c r="E702" i="1"/>
  <c r="D702" i="1"/>
  <c r="U701" i="1"/>
  <c r="S701" i="1"/>
  <c r="R701" i="1"/>
  <c r="Q701" i="1"/>
  <c r="P701" i="1"/>
  <c r="O701" i="1"/>
  <c r="N701" i="1"/>
  <c r="L701" i="1"/>
  <c r="K701" i="1"/>
  <c r="J701" i="1"/>
  <c r="I701" i="1"/>
  <c r="H701" i="1"/>
  <c r="G701" i="1"/>
  <c r="F701" i="1"/>
  <c r="E701" i="1"/>
  <c r="D701" i="1"/>
  <c r="U700" i="1"/>
  <c r="S700" i="1"/>
  <c r="R700" i="1"/>
  <c r="Q700" i="1"/>
  <c r="P700" i="1"/>
  <c r="O700" i="1"/>
  <c r="N700" i="1"/>
  <c r="L700" i="1"/>
  <c r="K700" i="1"/>
  <c r="J700" i="1"/>
  <c r="I700" i="1"/>
  <c r="H700" i="1"/>
  <c r="G700" i="1"/>
  <c r="F700" i="1"/>
  <c r="E700" i="1"/>
  <c r="D700" i="1"/>
  <c r="U699" i="1"/>
  <c r="S699" i="1"/>
  <c r="R699" i="1"/>
  <c r="Q699" i="1"/>
  <c r="P699" i="1"/>
  <c r="O699" i="1"/>
  <c r="N699" i="1"/>
  <c r="L699" i="1"/>
  <c r="K699" i="1"/>
  <c r="J699" i="1"/>
  <c r="I699" i="1"/>
  <c r="H699" i="1"/>
  <c r="G699" i="1"/>
  <c r="F699" i="1"/>
  <c r="E699" i="1"/>
  <c r="D699" i="1"/>
  <c r="U698" i="1"/>
  <c r="S698" i="1"/>
  <c r="R698" i="1"/>
  <c r="Q698" i="1"/>
  <c r="P698" i="1"/>
  <c r="O698" i="1"/>
  <c r="N698" i="1"/>
  <c r="L698" i="1"/>
  <c r="K698" i="1"/>
  <c r="J698" i="1"/>
  <c r="I698" i="1"/>
  <c r="H698" i="1"/>
  <c r="G698" i="1"/>
  <c r="F698" i="1"/>
  <c r="E698" i="1"/>
  <c r="D698" i="1"/>
  <c r="U697" i="1"/>
  <c r="S697" i="1"/>
  <c r="R697" i="1"/>
  <c r="Q697" i="1"/>
  <c r="P697" i="1"/>
  <c r="O697" i="1"/>
  <c r="N697" i="1"/>
  <c r="L697" i="1"/>
  <c r="K697" i="1"/>
  <c r="J697" i="1"/>
  <c r="I697" i="1"/>
  <c r="H697" i="1"/>
  <c r="G697" i="1"/>
  <c r="F697" i="1"/>
  <c r="E697" i="1"/>
  <c r="D697" i="1"/>
  <c r="U696" i="1"/>
  <c r="S696" i="1"/>
  <c r="R696" i="1"/>
  <c r="Q696" i="1"/>
  <c r="P696" i="1"/>
  <c r="O696" i="1"/>
  <c r="N696" i="1"/>
  <c r="L696" i="1"/>
  <c r="K696" i="1"/>
  <c r="J696" i="1"/>
  <c r="I696" i="1"/>
  <c r="H696" i="1"/>
  <c r="G696" i="1"/>
  <c r="F696" i="1"/>
  <c r="E696" i="1"/>
  <c r="D696" i="1"/>
  <c r="U695" i="1"/>
  <c r="S695" i="1"/>
  <c r="R695" i="1"/>
  <c r="Q695" i="1"/>
  <c r="P695" i="1"/>
  <c r="O695" i="1"/>
  <c r="N695" i="1"/>
  <c r="L695" i="1"/>
  <c r="K695" i="1"/>
  <c r="J695" i="1"/>
  <c r="I695" i="1"/>
  <c r="H695" i="1"/>
  <c r="G695" i="1"/>
  <c r="F695" i="1"/>
  <c r="E695" i="1"/>
  <c r="D695" i="1"/>
  <c r="U694" i="1"/>
  <c r="S694" i="1"/>
  <c r="R694" i="1"/>
  <c r="Q694" i="1"/>
  <c r="P694" i="1"/>
  <c r="O694" i="1"/>
  <c r="N694" i="1"/>
  <c r="L694" i="1"/>
  <c r="K694" i="1"/>
  <c r="J694" i="1"/>
  <c r="I694" i="1"/>
  <c r="H694" i="1"/>
  <c r="G694" i="1"/>
  <c r="F694" i="1"/>
  <c r="E694" i="1"/>
  <c r="D694" i="1"/>
  <c r="U693" i="1"/>
  <c r="S693" i="1"/>
  <c r="R693" i="1"/>
  <c r="Q693" i="1"/>
  <c r="P693" i="1"/>
  <c r="O693" i="1"/>
  <c r="N693" i="1"/>
  <c r="L693" i="1"/>
  <c r="K693" i="1"/>
  <c r="J693" i="1"/>
  <c r="I693" i="1"/>
  <c r="H693" i="1"/>
  <c r="G693" i="1"/>
  <c r="F693" i="1"/>
  <c r="E693" i="1"/>
  <c r="D693" i="1"/>
  <c r="U692" i="1"/>
  <c r="S692" i="1"/>
  <c r="R692" i="1"/>
  <c r="Q692" i="1"/>
  <c r="P692" i="1"/>
  <c r="O692" i="1"/>
  <c r="N692" i="1"/>
  <c r="L692" i="1"/>
  <c r="K692" i="1"/>
  <c r="J692" i="1"/>
  <c r="I692" i="1"/>
  <c r="H692" i="1"/>
  <c r="G692" i="1"/>
  <c r="F692" i="1"/>
  <c r="E692" i="1"/>
  <c r="D692" i="1"/>
  <c r="U691" i="1"/>
  <c r="S691" i="1"/>
  <c r="R691" i="1"/>
  <c r="Q691" i="1"/>
  <c r="P691" i="1"/>
  <c r="O691" i="1"/>
  <c r="N691" i="1"/>
  <c r="L691" i="1"/>
  <c r="K691" i="1"/>
  <c r="J691" i="1"/>
  <c r="I691" i="1"/>
  <c r="H691" i="1"/>
  <c r="G691" i="1"/>
  <c r="F691" i="1"/>
  <c r="E691" i="1"/>
  <c r="D691" i="1"/>
  <c r="U690" i="1"/>
  <c r="S690" i="1"/>
  <c r="R690" i="1"/>
  <c r="Q690" i="1"/>
  <c r="P690" i="1"/>
  <c r="O690" i="1"/>
  <c r="N690" i="1"/>
  <c r="L690" i="1"/>
  <c r="K690" i="1"/>
  <c r="J690" i="1"/>
  <c r="I690" i="1"/>
  <c r="H690" i="1"/>
  <c r="G690" i="1"/>
  <c r="F690" i="1"/>
  <c r="E690" i="1"/>
  <c r="D690" i="1"/>
  <c r="U689" i="1"/>
  <c r="S689" i="1"/>
  <c r="R689" i="1"/>
  <c r="Q689" i="1"/>
  <c r="P689" i="1"/>
  <c r="O689" i="1"/>
  <c r="N689" i="1"/>
  <c r="L689" i="1"/>
  <c r="K689" i="1"/>
  <c r="J689" i="1"/>
  <c r="I689" i="1"/>
  <c r="H689" i="1"/>
  <c r="G689" i="1"/>
  <c r="F689" i="1"/>
  <c r="E689" i="1"/>
  <c r="D689" i="1"/>
  <c r="U688" i="1"/>
  <c r="S688" i="1"/>
  <c r="R688" i="1"/>
  <c r="Q688" i="1"/>
  <c r="P688" i="1"/>
  <c r="O688" i="1"/>
  <c r="N688" i="1"/>
  <c r="L688" i="1"/>
  <c r="K688" i="1"/>
  <c r="J688" i="1"/>
  <c r="I688" i="1"/>
  <c r="H688" i="1"/>
  <c r="G688" i="1"/>
  <c r="F688" i="1"/>
  <c r="E688" i="1"/>
  <c r="D688" i="1"/>
  <c r="U687" i="1"/>
  <c r="S687" i="1"/>
  <c r="R687" i="1"/>
  <c r="Q687" i="1"/>
  <c r="P687" i="1"/>
  <c r="O687" i="1"/>
  <c r="N687" i="1"/>
  <c r="L687" i="1"/>
  <c r="K687" i="1"/>
  <c r="J687" i="1"/>
  <c r="I687" i="1"/>
  <c r="H687" i="1"/>
  <c r="G687" i="1"/>
  <c r="F687" i="1"/>
  <c r="E687" i="1"/>
  <c r="D687" i="1"/>
  <c r="U686" i="1"/>
  <c r="S686" i="1"/>
  <c r="R686" i="1"/>
  <c r="Q686" i="1"/>
  <c r="P686" i="1"/>
  <c r="O686" i="1"/>
  <c r="N686" i="1"/>
  <c r="L686" i="1"/>
  <c r="K686" i="1"/>
  <c r="J686" i="1"/>
  <c r="I686" i="1"/>
  <c r="H686" i="1"/>
  <c r="G686" i="1"/>
  <c r="F686" i="1"/>
  <c r="E686" i="1"/>
  <c r="D686" i="1"/>
  <c r="U685" i="1"/>
  <c r="S685" i="1"/>
  <c r="R685" i="1"/>
  <c r="Q685" i="1"/>
  <c r="P685" i="1"/>
  <c r="O685" i="1"/>
  <c r="N685" i="1"/>
  <c r="L685" i="1"/>
  <c r="K685" i="1"/>
  <c r="J685" i="1"/>
  <c r="I685" i="1"/>
  <c r="H685" i="1"/>
  <c r="G685" i="1"/>
  <c r="F685" i="1"/>
  <c r="E685" i="1"/>
  <c r="D685" i="1"/>
  <c r="U684" i="1"/>
  <c r="S684" i="1"/>
  <c r="R684" i="1"/>
  <c r="Q684" i="1"/>
  <c r="P684" i="1"/>
  <c r="O684" i="1"/>
  <c r="N684" i="1"/>
  <c r="L684" i="1"/>
  <c r="K684" i="1"/>
  <c r="J684" i="1"/>
  <c r="I684" i="1"/>
  <c r="H684" i="1"/>
  <c r="G684" i="1"/>
  <c r="F684" i="1"/>
  <c r="E684" i="1"/>
  <c r="D684" i="1"/>
  <c r="U683" i="1"/>
  <c r="S683" i="1"/>
  <c r="R683" i="1"/>
  <c r="Q683" i="1"/>
  <c r="P683" i="1"/>
  <c r="O683" i="1"/>
  <c r="N683" i="1"/>
  <c r="L683" i="1"/>
  <c r="K683" i="1"/>
  <c r="J683" i="1"/>
  <c r="I683" i="1"/>
  <c r="H683" i="1"/>
  <c r="G683" i="1"/>
  <c r="F683" i="1"/>
  <c r="E683" i="1"/>
  <c r="D683" i="1"/>
  <c r="U682" i="1"/>
  <c r="S682" i="1"/>
  <c r="R682" i="1"/>
  <c r="Q682" i="1"/>
  <c r="P682" i="1"/>
  <c r="O682" i="1"/>
  <c r="N682" i="1"/>
  <c r="L682" i="1"/>
  <c r="K682" i="1"/>
  <c r="J682" i="1"/>
  <c r="I682" i="1"/>
  <c r="H682" i="1"/>
  <c r="G682" i="1"/>
  <c r="F682" i="1"/>
  <c r="E682" i="1"/>
  <c r="D682" i="1"/>
  <c r="U681" i="1"/>
  <c r="S681" i="1"/>
  <c r="R681" i="1"/>
  <c r="Q681" i="1"/>
  <c r="P681" i="1"/>
  <c r="O681" i="1"/>
  <c r="N681" i="1"/>
  <c r="L681" i="1"/>
  <c r="K681" i="1"/>
  <c r="J681" i="1"/>
  <c r="I681" i="1"/>
  <c r="H681" i="1"/>
  <c r="G681" i="1"/>
  <c r="F681" i="1"/>
  <c r="E681" i="1"/>
  <c r="D681" i="1"/>
  <c r="U680" i="1"/>
  <c r="S680" i="1"/>
  <c r="R680" i="1"/>
  <c r="Q680" i="1"/>
  <c r="P680" i="1"/>
  <c r="O680" i="1"/>
  <c r="N680" i="1"/>
  <c r="L680" i="1"/>
  <c r="K680" i="1"/>
  <c r="J680" i="1"/>
  <c r="I680" i="1"/>
  <c r="H680" i="1"/>
  <c r="G680" i="1"/>
  <c r="F680" i="1"/>
  <c r="E680" i="1"/>
  <c r="D680" i="1"/>
  <c r="U679" i="1"/>
  <c r="S679" i="1"/>
  <c r="R679" i="1"/>
  <c r="Q679" i="1"/>
  <c r="P679" i="1"/>
  <c r="O679" i="1"/>
  <c r="N679" i="1"/>
  <c r="L679" i="1"/>
  <c r="K679" i="1"/>
  <c r="J679" i="1"/>
  <c r="I679" i="1"/>
  <c r="H679" i="1"/>
  <c r="G679" i="1"/>
  <c r="F679" i="1"/>
  <c r="E679" i="1"/>
  <c r="D679" i="1"/>
  <c r="U678" i="1"/>
  <c r="S678" i="1"/>
  <c r="R678" i="1"/>
  <c r="Q678" i="1"/>
  <c r="P678" i="1"/>
  <c r="O678" i="1"/>
  <c r="N678" i="1"/>
  <c r="L678" i="1"/>
  <c r="K678" i="1"/>
  <c r="J678" i="1"/>
  <c r="I678" i="1"/>
  <c r="H678" i="1"/>
  <c r="G678" i="1"/>
  <c r="F678" i="1"/>
  <c r="E678" i="1"/>
  <c r="D678" i="1"/>
  <c r="U677" i="1"/>
  <c r="S677" i="1"/>
  <c r="R677" i="1"/>
  <c r="Q677" i="1"/>
  <c r="P677" i="1"/>
  <c r="O677" i="1"/>
  <c r="N677" i="1"/>
  <c r="L677" i="1"/>
  <c r="K677" i="1"/>
  <c r="J677" i="1"/>
  <c r="I677" i="1"/>
  <c r="H677" i="1"/>
  <c r="G677" i="1"/>
  <c r="F677" i="1"/>
  <c r="E677" i="1"/>
  <c r="D677" i="1"/>
  <c r="U676" i="1"/>
  <c r="S676" i="1"/>
  <c r="R676" i="1"/>
  <c r="Q676" i="1"/>
  <c r="P676" i="1"/>
  <c r="O676" i="1"/>
  <c r="N676" i="1"/>
  <c r="L676" i="1"/>
  <c r="K676" i="1"/>
  <c r="J676" i="1"/>
  <c r="I676" i="1"/>
  <c r="H676" i="1"/>
  <c r="G676" i="1"/>
  <c r="F676" i="1"/>
  <c r="E676" i="1"/>
  <c r="D676" i="1"/>
  <c r="U675" i="1"/>
  <c r="S675" i="1"/>
  <c r="R675" i="1"/>
  <c r="Q675" i="1"/>
  <c r="P675" i="1"/>
  <c r="O675" i="1"/>
  <c r="N675" i="1"/>
  <c r="L675" i="1"/>
  <c r="K675" i="1"/>
  <c r="J675" i="1"/>
  <c r="I675" i="1"/>
  <c r="H675" i="1"/>
  <c r="G675" i="1"/>
  <c r="F675" i="1"/>
  <c r="E675" i="1"/>
  <c r="D675" i="1"/>
  <c r="U674" i="1"/>
  <c r="S674" i="1"/>
  <c r="R674" i="1"/>
  <c r="Q674" i="1"/>
  <c r="P674" i="1"/>
  <c r="O674" i="1"/>
  <c r="N674" i="1"/>
  <c r="L674" i="1"/>
  <c r="K674" i="1"/>
  <c r="J674" i="1"/>
  <c r="I674" i="1"/>
  <c r="H674" i="1"/>
  <c r="G674" i="1"/>
  <c r="F674" i="1"/>
  <c r="E674" i="1"/>
  <c r="D674" i="1"/>
  <c r="U673" i="1"/>
  <c r="S673" i="1"/>
  <c r="R673" i="1"/>
  <c r="Q673" i="1"/>
  <c r="P673" i="1"/>
  <c r="O673" i="1"/>
  <c r="N673" i="1"/>
  <c r="L673" i="1"/>
  <c r="K673" i="1"/>
  <c r="J673" i="1"/>
  <c r="I673" i="1"/>
  <c r="H673" i="1"/>
  <c r="G673" i="1"/>
  <c r="F673" i="1"/>
  <c r="E673" i="1"/>
  <c r="D673" i="1"/>
  <c r="U672" i="1"/>
  <c r="S672" i="1"/>
  <c r="R672" i="1"/>
  <c r="Q672" i="1"/>
  <c r="P672" i="1"/>
  <c r="O672" i="1"/>
  <c r="N672" i="1"/>
  <c r="L672" i="1"/>
  <c r="K672" i="1"/>
  <c r="J672" i="1"/>
  <c r="I672" i="1"/>
  <c r="H672" i="1"/>
  <c r="G672" i="1"/>
  <c r="F672" i="1"/>
  <c r="E672" i="1"/>
  <c r="D672" i="1"/>
  <c r="U671" i="1"/>
  <c r="S671" i="1"/>
  <c r="R671" i="1"/>
  <c r="Q671" i="1"/>
  <c r="P671" i="1"/>
  <c r="O671" i="1"/>
  <c r="N671" i="1"/>
  <c r="L671" i="1"/>
  <c r="K671" i="1"/>
  <c r="J671" i="1"/>
  <c r="I671" i="1"/>
  <c r="H671" i="1"/>
  <c r="G671" i="1"/>
  <c r="F671" i="1"/>
  <c r="E671" i="1"/>
  <c r="D671" i="1"/>
  <c r="U670" i="1"/>
  <c r="S670" i="1"/>
  <c r="R670" i="1"/>
  <c r="Q670" i="1"/>
  <c r="P670" i="1"/>
  <c r="O670" i="1"/>
  <c r="N670" i="1"/>
  <c r="L670" i="1"/>
  <c r="K670" i="1"/>
  <c r="J670" i="1"/>
  <c r="I670" i="1"/>
  <c r="H670" i="1"/>
  <c r="G670" i="1"/>
  <c r="F670" i="1"/>
  <c r="E670" i="1"/>
  <c r="D670" i="1"/>
  <c r="U669" i="1"/>
  <c r="S669" i="1"/>
  <c r="R669" i="1"/>
  <c r="Q669" i="1"/>
  <c r="P669" i="1"/>
  <c r="O669" i="1"/>
  <c r="N669" i="1"/>
  <c r="L669" i="1"/>
  <c r="K669" i="1"/>
  <c r="J669" i="1"/>
  <c r="I669" i="1"/>
  <c r="H669" i="1"/>
  <c r="G669" i="1"/>
  <c r="F669" i="1"/>
  <c r="E669" i="1"/>
  <c r="D669" i="1"/>
  <c r="U668" i="1"/>
  <c r="S668" i="1"/>
  <c r="R668" i="1"/>
  <c r="Q668" i="1"/>
  <c r="P668" i="1"/>
  <c r="O668" i="1"/>
  <c r="N668" i="1"/>
  <c r="L668" i="1"/>
  <c r="K668" i="1"/>
  <c r="J668" i="1"/>
  <c r="I668" i="1"/>
  <c r="H668" i="1"/>
  <c r="G668" i="1"/>
  <c r="F668" i="1"/>
  <c r="E668" i="1"/>
  <c r="D668" i="1"/>
  <c r="U667" i="1"/>
  <c r="S667" i="1"/>
  <c r="R667" i="1"/>
  <c r="Q667" i="1"/>
  <c r="P667" i="1"/>
  <c r="O667" i="1"/>
  <c r="N667" i="1"/>
  <c r="L667" i="1"/>
  <c r="K667" i="1"/>
  <c r="J667" i="1"/>
  <c r="I667" i="1"/>
  <c r="H667" i="1"/>
  <c r="G667" i="1"/>
  <c r="F667" i="1"/>
  <c r="E667" i="1"/>
  <c r="D667" i="1"/>
  <c r="U666" i="1"/>
  <c r="S666" i="1"/>
  <c r="R666" i="1"/>
  <c r="Q666" i="1"/>
  <c r="P666" i="1"/>
  <c r="O666" i="1"/>
  <c r="N666" i="1"/>
  <c r="L666" i="1"/>
  <c r="K666" i="1"/>
  <c r="J666" i="1"/>
  <c r="I666" i="1"/>
  <c r="H666" i="1"/>
  <c r="G666" i="1"/>
  <c r="F666" i="1"/>
  <c r="E666" i="1"/>
  <c r="D666" i="1"/>
  <c r="U665" i="1"/>
  <c r="S665" i="1"/>
  <c r="R665" i="1"/>
  <c r="Q665" i="1"/>
  <c r="P665" i="1"/>
  <c r="O665" i="1"/>
  <c r="N665" i="1"/>
  <c r="L665" i="1"/>
  <c r="K665" i="1"/>
  <c r="J665" i="1"/>
  <c r="I665" i="1"/>
  <c r="H665" i="1"/>
  <c r="G665" i="1"/>
  <c r="F665" i="1"/>
  <c r="E665" i="1"/>
  <c r="D665" i="1"/>
  <c r="U664" i="1"/>
  <c r="S664" i="1"/>
  <c r="R664" i="1"/>
  <c r="Q664" i="1"/>
  <c r="P664" i="1"/>
  <c r="O664" i="1"/>
  <c r="N664" i="1"/>
  <c r="L664" i="1"/>
  <c r="K664" i="1"/>
  <c r="J664" i="1"/>
  <c r="I664" i="1"/>
  <c r="H664" i="1"/>
  <c r="G664" i="1"/>
  <c r="F664" i="1"/>
  <c r="E664" i="1"/>
  <c r="D664" i="1"/>
  <c r="U663" i="1"/>
  <c r="S663" i="1"/>
  <c r="R663" i="1"/>
  <c r="Q663" i="1"/>
  <c r="P663" i="1"/>
  <c r="O663" i="1"/>
  <c r="N663" i="1"/>
  <c r="L663" i="1"/>
  <c r="K663" i="1"/>
  <c r="J663" i="1"/>
  <c r="I663" i="1"/>
  <c r="H663" i="1"/>
  <c r="G663" i="1"/>
  <c r="F663" i="1"/>
  <c r="E663" i="1"/>
  <c r="D663" i="1"/>
  <c r="U662" i="1"/>
  <c r="S662" i="1"/>
  <c r="R662" i="1"/>
  <c r="Q662" i="1"/>
  <c r="P662" i="1"/>
  <c r="O662" i="1"/>
  <c r="N662" i="1"/>
  <c r="L662" i="1"/>
  <c r="K662" i="1"/>
  <c r="J662" i="1"/>
  <c r="I662" i="1"/>
  <c r="H662" i="1"/>
  <c r="G662" i="1"/>
  <c r="F662" i="1"/>
  <c r="E662" i="1"/>
  <c r="D662" i="1"/>
  <c r="U661" i="1"/>
  <c r="S661" i="1"/>
  <c r="R661" i="1"/>
  <c r="Q661" i="1"/>
  <c r="P661" i="1"/>
  <c r="O661" i="1"/>
  <c r="N661" i="1"/>
  <c r="L661" i="1"/>
  <c r="K661" i="1"/>
  <c r="J661" i="1"/>
  <c r="I661" i="1"/>
  <c r="H661" i="1"/>
  <c r="G661" i="1"/>
  <c r="F661" i="1"/>
  <c r="E661" i="1"/>
  <c r="D661" i="1"/>
  <c r="U660" i="1"/>
  <c r="S660" i="1"/>
  <c r="R660" i="1"/>
  <c r="Q660" i="1"/>
  <c r="P660" i="1"/>
  <c r="O660" i="1"/>
  <c r="N660" i="1"/>
  <c r="L660" i="1"/>
  <c r="K660" i="1"/>
  <c r="J660" i="1"/>
  <c r="I660" i="1"/>
  <c r="H660" i="1"/>
  <c r="G660" i="1"/>
  <c r="F660" i="1"/>
  <c r="E660" i="1"/>
  <c r="D660" i="1"/>
  <c r="U659" i="1"/>
  <c r="S659" i="1"/>
  <c r="R659" i="1"/>
  <c r="Q659" i="1"/>
  <c r="P659" i="1"/>
  <c r="O659" i="1"/>
  <c r="N659" i="1"/>
  <c r="L659" i="1"/>
  <c r="K659" i="1"/>
  <c r="J659" i="1"/>
  <c r="I659" i="1"/>
  <c r="H659" i="1"/>
  <c r="G659" i="1"/>
  <c r="F659" i="1"/>
  <c r="E659" i="1"/>
  <c r="D659" i="1"/>
  <c r="U658" i="1"/>
  <c r="S658" i="1"/>
  <c r="R658" i="1"/>
  <c r="Q658" i="1"/>
  <c r="P658" i="1"/>
  <c r="O658" i="1"/>
  <c r="N658" i="1"/>
  <c r="L658" i="1"/>
  <c r="K658" i="1"/>
  <c r="J658" i="1"/>
  <c r="I658" i="1"/>
  <c r="H658" i="1"/>
  <c r="G658" i="1"/>
  <c r="F658" i="1"/>
  <c r="E658" i="1"/>
  <c r="D658" i="1"/>
  <c r="U657" i="1"/>
  <c r="S657" i="1"/>
  <c r="R657" i="1"/>
  <c r="Q657" i="1"/>
  <c r="P657" i="1"/>
  <c r="O657" i="1"/>
  <c r="N657" i="1"/>
  <c r="L657" i="1"/>
  <c r="K657" i="1"/>
  <c r="J657" i="1"/>
  <c r="I657" i="1"/>
  <c r="H657" i="1"/>
  <c r="G657" i="1"/>
  <c r="F657" i="1"/>
  <c r="E657" i="1"/>
  <c r="D657" i="1"/>
  <c r="U656" i="1"/>
  <c r="S656" i="1"/>
  <c r="R656" i="1"/>
  <c r="Q656" i="1"/>
  <c r="P656" i="1"/>
  <c r="O656" i="1"/>
  <c r="N656" i="1"/>
  <c r="L656" i="1"/>
  <c r="K656" i="1"/>
  <c r="J656" i="1"/>
  <c r="I656" i="1"/>
  <c r="H656" i="1"/>
  <c r="G656" i="1"/>
  <c r="F656" i="1"/>
  <c r="E656" i="1"/>
  <c r="D656" i="1"/>
  <c r="U655" i="1"/>
  <c r="S655" i="1"/>
  <c r="R655" i="1"/>
  <c r="Q655" i="1"/>
  <c r="P655" i="1"/>
  <c r="O655" i="1"/>
  <c r="N655" i="1"/>
  <c r="L655" i="1"/>
  <c r="K655" i="1"/>
  <c r="J655" i="1"/>
  <c r="I655" i="1"/>
  <c r="H655" i="1"/>
  <c r="G655" i="1"/>
  <c r="F655" i="1"/>
  <c r="E655" i="1"/>
  <c r="D655" i="1"/>
  <c r="U654" i="1"/>
  <c r="S654" i="1"/>
  <c r="R654" i="1"/>
  <c r="Q654" i="1"/>
  <c r="P654" i="1"/>
  <c r="O654" i="1"/>
  <c r="N654" i="1"/>
  <c r="L654" i="1"/>
  <c r="K654" i="1"/>
  <c r="J654" i="1"/>
  <c r="I654" i="1"/>
  <c r="H654" i="1"/>
  <c r="G654" i="1"/>
  <c r="F654" i="1"/>
  <c r="E654" i="1"/>
  <c r="D654" i="1"/>
  <c r="U653" i="1"/>
  <c r="S653" i="1"/>
  <c r="R653" i="1"/>
  <c r="Q653" i="1"/>
  <c r="P653" i="1"/>
  <c r="O653" i="1"/>
  <c r="N653" i="1"/>
  <c r="L653" i="1"/>
  <c r="K653" i="1"/>
  <c r="J653" i="1"/>
  <c r="I653" i="1"/>
  <c r="H653" i="1"/>
  <c r="G653" i="1"/>
  <c r="F653" i="1"/>
  <c r="E653" i="1"/>
  <c r="D653" i="1"/>
  <c r="U652" i="1"/>
  <c r="S652" i="1"/>
  <c r="R652" i="1"/>
  <c r="Q652" i="1"/>
  <c r="P652" i="1"/>
  <c r="O652" i="1"/>
  <c r="N652" i="1"/>
  <c r="L652" i="1"/>
  <c r="K652" i="1"/>
  <c r="J652" i="1"/>
  <c r="I652" i="1"/>
  <c r="H652" i="1"/>
  <c r="G652" i="1"/>
  <c r="F652" i="1"/>
  <c r="E652" i="1"/>
  <c r="D652" i="1"/>
  <c r="U651" i="1"/>
  <c r="S651" i="1"/>
  <c r="R651" i="1"/>
  <c r="Q651" i="1"/>
  <c r="P651" i="1"/>
  <c r="O651" i="1"/>
  <c r="N651" i="1"/>
  <c r="L651" i="1"/>
  <c r="K651" i="1"/>
  <c r="J651" i="1"/>
  <c r="I651" i="1"/>
  <c r="H651" i="1"/>
  <c r="G651" i="1"/>
  <c r="F651" i="1"/>
  <c r="E651" i="1"/>
  <c r="D651" i="1"/>
  <c r="U650" i="1"/>
  <c r="S650" i="1"/>
  <c r="R650" i="1"/>
  <c r="Q650" i="1"/>
  <c r="P650" i="1"/>
  <c r="O650" i="1"/>
  <c r="N650" i="1"/>
  <c r="L650" i="1"/>
  <c r="K650" i="1"/>
  <c r="J650" i="1"/>
  <c r="I650" i="1"/>
  <c r="H650" i="1"/>
  <c r="G650" i="1"/>
  <c r="F650" i="1"/>
  <c r="E650" i="1"/>
  <c r="D650" i="1"/>
  <c r="U649" i="1"/>
  <c r="S649" i="1"/>
  <c r="R649" i="1"/>
  <c r="Q649" i="1"/>
  <c r="P649" i="1"/>
  <c r="O649" i="1"/>
  <c r="N649" i="1"/>
  <c r="L649" i="1"/>
  <c r="K649" i="1"/>
  <c r="J649" i="1"/>
  <c r="I649" i="1"/>
  <c r="H649" i="1"/>
  <c r="G649" i="1"/>
  <c r="F649" i="1"/>
  <c r="E649" i="1"/>
  <c r="D649" i="1"/>
  <c r="U648" i="1"/>
  <c r="S648" i="1"/>
  <c r="R648" i="1"/>
  <c r="Q648" i="1"/>
  <c r="P648" i="1"/>
  <c r="O648" i="1"/>
  <c r="N648" i="1"/>
  <c r="L648" i="1"/>
  <c r="K648" i="1"/>
  <c r="J648" i="1"/>
  <c r="I648" i="1"/>
  <c r="H648" i="1"/>
  <c r="G648" i="1"/>
  <c r="F648" i="1"/>
  <c r="E648" i="1"/>
  <c r="D648" i="1"/>
  <c r="U647" i="1"/>
  <c r="S647" i="1"/>
  <c r="R647" i="1"/>
  <c r="Q647" i="1"/>
  <c r="P647" i="1"/>
  <c r="O647" i="1"/>
  <c r="N647" i="1"/>
  <c r="L647" i="1"/>
  <c r="K647" i="1"/>
  <c r="J647" i="1"/>
  <c r="I647" i="1"/>
  <c r="H647" i="1"/>
  <c r="G647" i="1"/>
  <c r="F647" i="1"/>
  <c r="E647" i="1"/>
  <c r="D647" i="1"/>
  <c r="U646" i="1"/>
  <c r="S646" i="1"/>
  <c r="R646" i="1"/>
  <c r="Q646" i="1"/>
  <c r="P646" i="1"/>
  <c r="O646" i="1"/>
  <c r="N646" i="1"/>
  <c r="L646" i="1"/>
  <c r="K646" i="1"/>
  <c r="J646" i="1"/>
  <c r="I646" i="1"/>
  <c r="H646" i="1"/>
  <c r="G646" i="1"/>
  <c r="F646" i="1"/>
  <c r="E646" i="1"/>
  <c r="D646" i="1"/>
  <c r="U645" i="1"/>
  <c r="S645" i="1"/>
  <c r="R645" i="1"/>
  <c r="Q645" i="1"/>
  <c r="P645" i="1"/>
  <c r="O645" i="1"/>
  <c r="N645" i="1"/>
  <c r="L645" i="1"/>
  <c r="K645" i="1"/>
  <c r="J645" i="1"/>
  <c r="I645" i="1"/>
  <c r="H645" i="1"/>
  <c r="G645" i="1"/>
  <c r="F645" i="1"/>
  <c r="E645" i="1"/>
  <c r="D645" i="1"/>
  <c r="U644" i="1"/>
  <c r="S644" i="1"/>
  <c r="R644" i="1"/>
  <c r="Q644" i="1"/>
  <c r="P644" i="1"/>
  <c r="O644" i="1"/>
  <c r="N644" i="1"/>
  <c r="L644" i="1"/>
  <c r="K644" i="1"/>
  <c r="J644" i="1"/>
  <c r="I644" i="1"/>
  <c r="H644" i="1"/>
  <c r="G644" i="1"/>
  <c r="F644" i="1"/>
  <c r="E644" i="1"/>
  <c r="D644" i="1"/>
  <c r="U643" i="1"/>
  <c r="S643" i="1"/>
  <c r="R643" i="1"/>
  <c r="Q643" i="1"/>
  <c r="P643" i="1"/>
  <c r="O643" i="1"/>
  <c r="N643" i="1"/>
  <c r="L643" i="1"/>
  <c r="K643" i="1"/>
  <c r="J643" i="1"/>
  <c r="I643" i="1"/>
  <c r="H643" i="1"/>
  <c r="G643" i="1"/>
  <c r="F643" i="1"/>
  <c r="E643" i="1"/>
  <c r="D643" i="1"/>
  <c r="U642" i="1"/>
  <c r="S642" i="1"/>
  <c r="R642" i="1"/>
  <c r="Q642" i="1"/>
  <c r="P642" i="1"/>
  <c r="O642" i="1"/>
  <c r="N642" i="1"/>
  <c r="L642" i="1"/>
  <c r="K642" i="1"/>
  <c r="J642" i="1"/>
  <c r="I642" i="1"/>
  <c r="H642" i="1"/>
  <c r="G642" i="1"/>
  <c r="F642" i="1"/>
  <c r="E642" i="1"/>
  <c r="D642" i="1"/>
  <c r="U641" i="1"/>
  <c r="S641" i="1"/>
  <c r="R641" i="1"/>
  <c r="Q641" i="1"/>
  <c r="P641" i="1"/>
  <c r="O641" i="1"/>
  <c r="N641" i="1"/>
  <c r="L641" i="1"/>
  <c r="K641" i="1"/>
  <c r="J641" i="1"/>
  <c r="I641" i="1"/>
  <c r="H641" i="1"/>
  <c r="G641" i="1"/>
  <c r="F641" i="1"/>
  <c r="E641" i="1"/>
  <c r="D641" i="1"/>
  <c r="U640" i="1"/>
  <c r="S640" i="1"/>
  <c r="R640" i="1"/>
  <c r="Q640" i="1"/>
  <c r="P640" i="1"/>
  <c r="O640" i="1"/>
  <c r="N640" i="1"/>
  <c r="L640" i="1"/>
  <c r="K640" i="1"/>
  <c r="J640" i="1"/>
  <c r="I640" i="1"/>
  <c r="H640" i="1"/>
  <c r="G640" i="1"/>
  <c r="F640" i="1"/>
  <c r="E640" i="1"/>
  <c r="D640" i="1"/>
  <c r="U639" i="1"/>
  <c r="S639" i="1"/>
  <c r="R639" i="1"/>
  <c r="Q639" i="1"/>
  <c r="P639" i="1"/>
  <c r="O639" i="1"/>
  <c r="N639" i="1"/>
  <c r="L639" i="1"/>
  <c r="K639" i="1"/>
  <c r="J639" i="1"/>
  <c r="I639" i="1"/>
  <c r="H639" i="1"/>
  <c r="G639" i="1"/>
  <c r="F639" i="1"/>
  <c r="E639" i="1"/>
  <c r="D639" i="1"/>
  <c r="U638" i="1"/>
  <c r="S638" i="1"/>
  <c r="R638" i="1"/>
  <c r="Q638" i="1"/>
  <c r="P638" i="1"/>
  <c r="O638" i="1"/>
  <c r="N638" i="1"/>
  <c r="L638" i="1"/>
  <c r="K638" i="1"/>
  <c r="J638" i="1"/>
  <c r="I638" i="1"/>
  <c r="H638" i="1"/>
  <c r="G638" i="1"/>
  <c r="F638" i="1"/>
  <c r="E638" i="1"/>
  <c r="D638" i="1"/>
  <c r="U637" i="1"/>
  <c r="S637" i="1"/>
  <c r="R637" i="1"/>
  <c r="Q637" i="1"/>
  <c r="P637" i="1"/>
  <c r="O637" i="1"/>
  <c r="N637" i="1"/>
  <c r="L637" i="1"/>
  <c r="K637" i="1"/>
  <c r="J637" i="1"/>
  <c r="I637" i="1"/>
  <c r="H637" i="1"/>
  <c r="G637" i="1"/>
  <c r="F637" i="1"/>
  <c r="E637" i="1"/>
  <c r="D637" i="1"/>
  <c r="U636" i="1"/>
  <c r="S636" i="1"/>
  <c r="R636" i="1"/>
  <c r="Q636" i="1"/>
  <c r="P636" i="1"/>
  <c r="O636" i="1"/>
  <c r="N636" i="1"/>
  <c r="L636" i="1"/>
  <c r="K636" i="1"/>
  <c r="J636" i="1"/>
  <c r="I636" i="1"/>
  <c r="H636" i="1"/>
  <c r="G636" i="1"/>
  <c r="F636" i="1"/>
  <c r="E636" i="1"/>
  <c r="D636" i="1"/>
  <c r="U635" i="1"/>
  <c r="S635" i="1"/>
  <c r="R635" i="1"/>
  <c r="Q635" i="1"/>
  <c r="P635" i="1"/>
  <c r="O635" i="1"/>
  <c r="N635" i="1"/>
  <c r="L635" i="1"/>
  <c r="K635" i="1"/>
  <c r="J635" i="1"/>
  <c r="I635" i="1"/>
  <c r="H635" i="1"/>
  <c r="G635" i="1"/>
  <c r="F635" i="1"/>
  <c r="E635" i="1"/>
  <c r="D635" i="1"/>
  <c r="U634" i="1"/>
  <c r="S634" i="1"/>
  <c r="R634" i="1"/>
  <c r="Q634" i="1"/>
  <c r="P634" i="1"/>
  <c r="O634" i="1"/>
  <c r="N634" i="1"/>
  <c r="L634" i="1"/>
  <c r="K634" i="1"/>
  <c r="J634" i="1"/>
  <c r="I634" i="1"/>
  <c r="H634" i="1"/>
  <c r="G634" i="1"/>
  <c r="F634" i="1"/>
  <c r="E634" i="1"/>
  <c r="D634" i="1"/>
  <c r="U633" i="1"/>
  <c r="S633" i="1"/>
  <c r="R633" i="1"/>
  <c r="Q633" i="1"/>
  <c r="P633" i="1"/>
  <c r="O633" i="1"/>
  <c r="N633" i="1"/>
  <c r="L633" i="1"/>
  <c r="K633" i="1"/>
  <c r="J633" i="1"/>
  <c r="I633" i="1"/>
  <c r="H633" i="1"/>
  <c r="G633" i="1"/>
  <c r="F633" i="1"/>
  <c r="E633" i="1"/>
  <c r="D633" i="1"/>
  <c r="U632" i="1"/>
  <c r="S632" i="1"/>
  <c r="R632" i="1"/>
  <c r="Q632" i="1"/>
  <c r="P632" i="1"/>
  <c r="O632" i="1"/>
  <c r="N632" i="1"/>
  <c r="L632" i="1"/>
  <c r="K632" i="1"/>
  <c r="J632" i="1"/>
  <c r="I632" i="1"/>
  <c r="H632" i="1"/>
  <c r="G632" i="1"/>
  <c r="F632" i="1"/>
  <c r="E632" i="1"/>
  <c r="D632" i="1"/>
  <c r="U631" i="1"/>
  <c r="S631" i="1"/>
  <c r="R631" i="1"/>
  <c r="Q631" i="1"/>
  <c r="P631" i="1"/>
  <c r="O631" i="1"/>
  <c r="N631" i="1"/>
  <c r="L631" i="1"/>
  <c r="K631" i="1"/>
  <c r="J631" i="1"/>
  <c r="I631" i="1"/>
  <c r="H631" i="1"/>
  <c r="G631" i="1"/>
  <c r="F631" i="1"/>
  <c r="E631" i="1"/>
  <c r="D631" i="1"/>
  <c r="U630" i="1"/>
  <c r="S630" i="1"/>
  <c r="R630" i="1"/>
  <c r="Q630" i="1"/>
  <c r="P630" i="1"/>
  <c r="O630" i="1"/>
  <c r="N630" i="1"/>
  <c r="L630" i="1"/>
  <c r="K630" i="1"/>
  <c r="J630" i="1"/>
  <c r="I630" i="1"/>
  <c r="H630" i="1"/>
  <c r="G630" i="1"/>
  <c r="F630" i="1"/>
  <c r="E630" i="1"/>
  <c r="D630" i="1"/>
  <c r="U629" i="1"/>
  <c r="S629" i="1"/>
  <c r="R629" i="1"/>
  <c r="Q629" i="1"/>
  <c r="P629" i="1"/>
  <c r="O629" i="1"/>
  <c r="N629" i="1"/>
  <c r="L629" i="1"/>
  <c r="K629" i="1"/>
  <c r="J629" i="1"/>
  <c r="I629" i="1"/>
  <c r="H629" i="1"/>
  <c r="G629" i="1"/>
  <c r="F629" i="1"/>
  <c r="E629" i="1"/>
  <c r="D629" i="1"/>
  <c r="U628" i="1"/>
  <c r="S628" i="1"/>
  <c r="R628" i="1"/>
  <c r="Q628" i="1"/>
  <c r="P628" i="1"/>
  <c r="O628" i="1"/>
  <c r="N628" i="1"/>
  <c r="L628" i="1"/>
  <c r="K628" i="1"/>
  <c r="J628" i="1"/>
  <c r="I628" i="1"/>
  <c r="H628" i="1"/>
  <c r="G628" i="1"/>
  <c r="F628" i="1"/>
  <c r="E628" i="1"/>
  <c r="D628" i="1"/>
  <c r="U627" i="1"/>
  <c r="S627" i="1"/>
  <c r="R627" i="1"/>
  <c r="Q627" i="1"/>
  <c r="P627" i="1"/>
  <c r="O627" i="1"/>
  <c r="N627" i="1"/>
  <c r="L627" i="1"/>
  <c r="K627" i="1"/>
  <c r="J627" i="1"/>
  <c r="I627" i="1"/>
  <c r="H627" i="1"/>
  <c r="G627" i="1"/>
  <c r="F627" i="1"/>
  <c r="E627" i="1"/>
  <c r="D627" i="1"/>
  <c r="U626" i="1"/>
  <c r="S626" i="1"/>
  <c r="R626" i="1"/>
  <c r="Q626" i="1"/>
  <c r="P626" i="1"/>
  <c r="O626" i="1"/>
  <c r="N626" i="1"/>
  <c r="L626" i="1"/>
  <c r="K626" i="1"/>
  <c r="J626" i="1"/>
  <c r="I626" i="1"/>
  <c r="H626" i="1"/>
  <c r="G626" i="1"/>
  <c r="F626" i="1"/>
  <c r="E626" i="1"/>
  <c r="D626" i="1"/>
  <c r="U625" i="1"/>
  <c r="S625" i="1"/>
  <c r="R625" i="1"/>
  <c r="Q625" i="1"/>
  <c r="P625" i="1"/>
  <c r="O625" i="1"/>
  <c r="N625" i="1"/>
  <c r="L625" i="1"/>
  <c r="K625" i="1"/>
  <c r="J625" i="1"/>
  <c r="I625" i="1"/>
  <c r="H625" i="1"/>
  <c r="G625" i="1"/>
  <c r="F625" i="1"/>
  <c r="E625" i="1"/>
  <c r="D625" i="1"/>
  <c r="U624" i="1"/>
  <c r="S624" i="1"/>
  <c r="R624" i="1"/>
  <c r="Q624" i="1"/>
  <c r="P624" i="1"/>
  <c r="O624" i="1"/>
  <c r="N624" i="1"/>
  <c r="L624" i="1"/>
  <c r="K624" i="1"/>
  <c r="J624" i="1"/>
  <c r="I624" i="1"/>
  <c r="H624" i="1"/>
  <c r="G624" i="1"/>
  <c r="F624" i="1"/>
  <c r="E624" i="1"/>
  <c r="D624" i="1"/>
  <c r="U623" i="1"/>
  <c r="S623" i="1"/>
  <c r="R623" i="1"/>
  <c r="Q623" i="1"/>
  <c r="P623" i="1"/>
  <c r="O623" i="1"/>
  <c r="N623" i="1"/>
  <c r="L623" i="1"/>
  <c r="K623" i="1"/>
  <c r="J623" i="1"/>
  <c r="I623" i="1"/>
  <c r="H623" i="1"/>
  <c r="G623" i="1"/>
  <c r="F623" i="1"/>
  <c r="E623" i="1"/>
  <c r="D623" i="1"/>
  <c r="U622" i="1"/>
  <c r="S622" i="1"/>
  <c r="R622" i="1"/>
  <c r="Q622" i="1"/>
  <c r="P622" i="1"/>
  <c r="O622" i="1"/>
  <c r="N622" i="1"/>
  <c r="L622" i="1"/>
  <c r="K622" i="1"/>
  <c r="J622" i="1"/>
  <c r="I622" i="1"/>
  <c r="H622" i="1"/>
  <c r="G622" i="1"/>
  <c r="F622" i="1"/>
  <c r="E622" i="1"/>
  <c r="D622" i="1"/>
  <c r="U621" i="1"/>
  <c r="S621" i="1"/>
  <c r="R621" i="1"/>
  <c r="Q621" i="1"/>
  <c r="P621" i="1"/>
  <c r="O621" i="1"/>
  <c r="N621" i="1"/>
  <c r="L621" i="1"/>
  <c r="K621" i="1"/>
  <c r="J621" i="1"/>
  <c r="I621" i="1"/>
  <c r="H621" i="1"/>
  <c r="G621" i="1"/>
  <c r="F621" i="1"/>
  <c r="E621" i="1"/>
  <c r="D621" i="1"/>
  <c r="U620" i="1"/>
  <c r="S620" i="1"/>
  <c r="R620" i="1"/>
  <c r="Q620" i="1"/>
  <c r="P620" i="1"/>
  <c r="O620" i="1"/>
  <c r="N620" i="1"/>
  <c r="L620" i="1"/>
  <c r="K620" i="1"/>
  <c r="J620" i="1"/>
  <c r="I620" i="1"/>
  <c r="H620" i="1"/>
  <c r="G620" i="1"/>
  <c r="F620" i="1"/>
  <c r="E620" i="1"/>
  <c r="D620" i="1"/>
  <c r="U619" i="1"/>
  <c r="S619" i="1"/>
  <c r="R619" i="1"/>
  <c r="Q619" i="1"/>
  <c r="P619" i="1"/>
  <c r="O619" i="1"/>
  <c r="N619" i="1"/>
  <c r="L619" i="1"/>
  <c r="K619" i="1"/>
  <c r="J619" i="1"/>
  <c r="I619" i="1"/>
  <c r="H619" i="1"/>
  <c r="G619" i="1"/>
  <c r="F619" i="1"/>
  <c r="E619" i="1"/>
  <c r="D619" i="1"/>
  <c r="U618" i="1"/>
  <c r="S618" i="1"/>
  <c r="R618" i="1"/>
  <c r="Q618" i="1"/>
  <c r="P618" i="1"/>
  <c r="O618" i="1"/>
  <c r="N618" i="1"/>
  <c r="L618" i="1"/>
  <c r="K618" i="1"/>
  <c r="J618" i="1"/>
  <c r="I618" i="1"/>
  <c r="H618" i="1"/>
  <c r="G618" i="1"/>
  <c r="F618" i="1"/>
  <c r="E618" i="1"/>
  <c r="D618" i="1"/>
  <c r="U617" i="1"/>
  <c r="S617" i="1"/>
  <c r="R617" i="1"/>
  <c r="Q617" i="1"/>
  <c r="P617" i="1"/>
  <c r="O617" i="1"/>
  <c r="N617" i="1"/>
  <c r="L617" i="1"/>
  <c r="K617" i="1"/>
  <c r="J617" i="1"/>
  <c r="I617" i="1"/>
  <c r="H617" i="1"/>
  <c r="G617" i="1"/>
  <c r="F617" i="1"/>
  <c r="E617" i="1"/>
  <c r="D617" i="1"/>
  <c r="U616" i="1"/>
  <c r="S616" i="1"/>
  <c r="R616" i="1"/>
  <c r="Q616" i="1"/>
  <c r="P616" i="1"/>
  <c r="O616" i="1"/>
  <c r="N616" i="1"/>
  <c r="L616" i="1"/>
  <c r="K616" i="1"/>
  <c r="J616" i="1"/>
  <c r="I616" i="1"/>
  <c r="H616" i="1"/>
  <c r="G616" i="1"/>
  <c r="F616" i="1"/>
  <c r="E616" i="1"/>
  <c r="D616" i="1"/>
  <c r="U615" i="1"/>
  <c r="S615" i="1"/>
  <c r="R615" i="1"/>
  <c r="Q615" i="1"/>
  <c r="P615" i="1"/>
  <c r="O615" i="1"/>
  <c r="N615" i="1"/>
  <c r="L615" i="1"/>
  <c r="K615" i="1"/>
  <c r="J615" i="1"/>
  <c r="I615" i="1"/>
  <c r="H615" i="1"/>
  <c r="G615" i="1"/>
  <c r="F615" i="1"/>
  <c r="E615" i="1"/>
  <c r="D615" i="1"/>
  <c r="U614" i="1"/>
  <c r="S614" i="1"/>
  <c r="R614" i="1"/>
  <c r="Q614" i="1"/>
  <c r="P614" i="1"/>
  <c r="O614" i="1"/>
  <c r="N614" i="1"/>
  <c r="L614" i="1"/>
  <c r="K614" i="1"/>
  <c r="J614" i="1"/>
  <c r="I614" i="1"/>
  <c r="H614" i="1"/>
  <c r="G614" i="1"/>
  <c r="F614" i="1"/>
  <c r="E614" i="1"/>
  <c r="D614" i="1"/>
  <c r="U613" i="1"/>
  <c r="S613" i="1"/>
  <c r="R613" i="1"/>
  <c r="Q613" i="1"/>
  <c r="P613" i="1"/>
  <c r="O613" i="1"/>
  <c r="N613" i="1"/>
  <c r="L613" i="1"/>
  <c r="K613" i="1"/>
  <c r="J613" i="1"/>
  <c r="I613" i="1"/>
  <c r="H613" i="1"/>
  <c r="G613" i="1"/>
  <c r="F613" i="1"/>
  <c r="E613" i="1"/>
  <c r="D613" i="1"/>
  <c r="U612" i="1"/>
  <c r="S612" i="1"/>
  <c r="R612" i="1"/>
  <c r="Q612" i="1"/>
  <c r="P612" i="1"/>
  <c r="O612" i="1"/>
  <c r="N612" i="1"/>
  <c r="L612" i="1"/>
  <c r="K612" i="1"/>
  <c r="J612" i="1"/>
  <c r="I612" i="1"/>
  <c r="H612" i="1"/>
  <c r="G612" i="1"/>
  <c r="F612" i="1"/>
  <c r="E612" i="1"/>
  <c r="D612" i="1"/>
  <c r="U611" i="1"/>
  <c r="S611" i="1"/>
  <c r="R611" i="1"/>
  <c r="Q611" i="1"/>
  <c r="P611" i="1"/>
  <c r="O611" i="1"/>
  <c r="N611" i="1"/>
  <c r="L611" i="1"/>
  <c r="K611" i="1"/>
  <c r="J611" i="1"/>
  <c r="I611" i="1"/>
  <c r="H611" i="1"/>
  <c r="G611" i="1"/>
  <c r="F611" i="1"/>
  <c r="E611" i="1"/>
  <c r="D611" i="1"/>
  <c r="U610" i="1"/>
  <c r="S610" i="1"/>
  <c r="R610" i="1"/>
  <c r="Q610" i="1"/>
  <c r="P610" i="1"/>
  <c r="O610" i="1"/>
  <c r="N610" i="1"/>
  <c r="L610" i="1"/>
  <c r="K610" i="1"/>
  <c r="J610" i="1"/>
  <c r="I610" i="1"/>
  <c r="H610" i="1"/>
  <c r="G610" i="1"/>
  <c r="F610" i="1"/>
  <c r="E610" i="1"/>
  <c r="D610" i="1"/>
  <c r="U609" i="1"/>
  <c r="S609" i="1"/>
  <c r="R609" i="1"/>
  <c r="Q609" i="1"/>
  <c r="P609" i="1"/>
  <c r="O609" i="1"/>
  <c r="N609" i="1"/>
  <c r="L609" i="1"/>
  <c r="K609" i="1"/>
  <c r="J609" i="1"/>
  <c r="I609" i="1"/>
  <c r="H609" i="1"/>
  <c r="G609" i="1"/>
  <c r="F609" i="1"/>
  <c r="E609" i="1"/>
  <c r="D609" i="1"/>
  <c r="U608" i="1"/>
  <c r="S608" i="1"/>
  <c r="R608" i="1"/>
  <c r="Q608" i="1"/>
  <c r="P608" i="1"/>
  <c r="O608" i="1"/>
  <c r="N608" i="1"/>
  <c r="L608" i="1"/>
  <c r="K608" i="1"/>
  <c r="J608" i="1"/>
  <c r="I608" i="1"/>
  <c r="H608" i="1"/>
  <c r="G608" i="1"/>
  <c r="F608" i="1"/>
  <c r="E608" i="1"/>
  <c r="D608" i="1"/>
  <c r="U607" i="1"/>
  <c r="S607" i="1"/>
  <c r="R607" i="1"/>
  <c r="Q607" i="1"/>
  <c r="P607" i="1"/>
  <c r="O607" i="1"/>
  <c r="N607" i="1"/>
  <c r="L607" i="1"/>
  <c r="K607" i="1"/>
  <c r="J607" i="1"/>
  <c r="I607" i="1"/>
  <c r="H607" i="1"/>
  <c r="G607" i="1"/>
  <c r="F607" i="1"/>
  <c r="E607" i="1"/>
  <c r="D607" i="1"/>
  <c r="U606" i="1"/>
  <c r="S606" i="1"/>
  <c r="R606" i="1"/>
  <c r="Q606" i="1"/>
  <c r="P606" i="1"/>
  <c r="O606" i="1"/>
  <c r="N606" i="1"/>
  <c r="L606" i="1"/>
  <c r="K606" i="1"/>
  <c r="J606" i="1"/>
  <c r="I606" i="1"/>
  <c r="H606" i="1"/>
  <c r="G606" i="1"/>
  <c r="F606" i="1"/>
  <c r="E606" i="1"/>
  <c r="D606" i="1"/>
  <c r="U605" i="1"/>
  <c r="S605" i="1"/>
  <c r="R605" i="1"/>
  <c r="Q605" i="1"/>
  <c r="P605" i="1"/>
  <c r="O605" i="1"/>
  <c r="N605" i="1"/>
  <c r="L605" i="1"/>
  <c r="K605" i="1"/>
  <c r="J605" i="1"/>
  <c r="I605" i="1"/>
  <c r="H605" i="1"/>
  <c r="G605" i="1"/>
  <c r="F605" i="1"/>
  <c r="E605" i="1"/>
  <c r="D605" i="1"/>
  <c r="U604" i="1"/>
  <c r="S604" i="1"/>
  <c r="R604" i="1"/>
  <c r="Q604" i="1"/>
  <c r="P604" i="1"/>
  <c r="O604" i="1"/>
  <c r="N604" i="1"/>
  <c r="L604" i="1"/>
  <c r="K604" i="1"/>
  <c r="J604" i="1"/>
  <c r="I604" i="1"/>
  <c r="H604" i="1"/>
  <c r="G604" i="1"/>
  <c r="F604" i="1"/>
  <c r="E604" i="1"/>
  <c r="D604" i="1"/>
  <c r="U603" i="1"/>
  <c r="S603" i="1"/>
  <c r="R603" i="1"/>
  <c r="Q603" i="1"/>
  <c r="P603" i="1"/>
  <c r="O603" i="1"/>
  <c r="N603" i="1"/>
  <c r="L603" i="1"/>
  <c r="K603" i="1"/>
  <c r="J603" i="1"/>
  <c r="I603" i="1"/>
  <c r="H603" i="1"/>
  <c r="G603" i="1"/>
  <c r="F603" i="1"/>
  <c r="E603" i="1"/>
  <c r="D603" i="1"/>
  <c r="U602" i="1"/>
  <c r="S602" i="1"/>
  <c r="R602" i="1"/>
  <c r="Q602" i="1"/>
  <c r="P602" i="1"/>
  <c r="O602" i="1"/>
  <c r="N602" i="1"/>
  <c r="L602" i="1"/>
  <c r="K602" i="1"/>
  <c r="J602" i="1"/>
  <c r="I602" i="1"/>
  <c r="H602" i="1"/>
  <c r="G602" i="1"/>
  <c r="F602" i="1"/>
  <c r="E602" i="1"/>
  <c r="D602" i="1"/>
  <c r="U601" i="1"/>
  <c r="S601" i="1"/>
  <c r="R601" i="1"/>
  <c r="Q601" i="1"/>
  <c r="P601" i="1"/>
  <c r="O601" i="1"/>
  <c r="N601" i="1"/>
  <c r="L601" i="1"/>
  <c r="K601" i="1"/>
  <c r="J601" i="1"/>
  <c r="I601" i="1"/>
  <c r="H601" i="1"/>
  <c r="G601" i="1"/>
  <c r="F601" i="1"/>
  <c r="E601" i="1"/>
  <c r="D601" i="1"/>
  <c r="U600" i="1"/>
  <c r="S600" i="1"/>
  <c r="R600" i="1"/>
  <c r="Q600" i="1"/>
  <c r="P600" i="1"/>
  <c r="O600" i="1"/>
  <c r="N600" i="1"/>
  <c r="L600" i="1"/>
  <c r="K600" i="1"/>
  <c r="J600" i="1"/>
  <c r="I600" i="1"/>
  <c r="H600" i="1"/>
  <c r="G600" i="1"/>
  <c r="F600" i="1"/>
  <c r="E600" i="1"/>
  <c r="D600" i="1"/>
  <c r="U599" i="1"/>
  <c r="S599" i="1"/>
  <c r="R599" i="1"/>
  <c r="Q599" i="1"/>
  <c r="P599" i="1"/>
  <c r="O599" i="1"/>
  <c r="N599" i="1"/>
  <c r="L599" i="1"/>
  <c r="K599" i="1"/>
  <c r="J599" i="1"/>
  <c r="I599" i="1"/>
  <c r="H599" i="1"/>
  <c r="G599" i="1"/>
  <c r="F599" i="1"/>
  <c r="E599" i="1"/>
  <c r="D599" i="1"/>
  <c r="U598" i="1"/>
  <c r="S598" i="1"/>
  <c r="R598" i="1"/>
  <c r="Q598" i="1"/>
  <c r="P598" i="1"/>
  <c r="O598" i="1"/>
  <c r="N598" i="1"/>
  <c r="L598" i="1"/>
  <c r="K598" i="1"/>
  <c r="J598" i="1"/>
  <c r="I598" i="1"/>
  <c r="H598" i="1"/>
  <c r="G598" i="1"/>
  <c r="F598" i="1"/>
  <c r="E598" i="1"/>
  <c r="D598" i="1"/>
  <c r="U597" i="1"/>
  <c r="S597" i="1"/>
  <c r="R597" i="1"/>
  <c r="Q597" i="1"/>
  <c r="P597" i="1"/>
  <c r="O597" i="1"/>
  <c r="N597" i="1"/>
  <c r="L597" i="1"/>
  <c r="K597" i="1"/>
  <c r="J597" i="1"/>
  <c r="I597" i="1"/>
  <c r="H597" i="1"/>
  <c r="G597" i="1"/>
  <c r="F597" i="1"/>
  <c r="E597" i="1"/>
  <c r="D597" i="1"/>
  <c r="U596" i="1"/>
  <c r="S596" i="1"/>
  <c r="R596" i="1"/>
  <c r="Q596" i="1"/>
  <c r="P596" i="1"/>
  <c r="O596" i="1"/>
  <c r="N596" i="1"/>
  <c r="L596" i="1"/>
  <c r="K596" i="1"/>
  <c r="J596" i="1"/>
  <c r="I596" i="1"/>
  <c r="H596" i="1"/>
  <c r="G596" i="1"/>
  <c r="F596" i="1"/>
  <c r="E596" i="1"/>
  <c r="D596" i="1"/>
  <c r="U595" i="1"/>
  <c r="S595" i="1"/>
  <c r="R595" i="1"/>
  <c r="Q595" i="1"/>
  <c r="P595" i="1"/>
  <c r="O595" i="1"/>
  <c r="N595" i="1"/>
  <c r="L595" i="1"/>
  <c r="K595" i="1"/>
  <c r="J595" i="1"/>
  <c r="I595" i="1"/>
  <c r="H595" i="1"/>
  <c r="G595" i="1"/>
  <c r="F595" i="1"/>
  <c r="E595" i="1"/>
  <c r="D595" i="1"/>
  <c r="U594" i="1"/>
  <c r="S594" i="1"/>
  <c r="R594" i="1"/>
  <c r="Q594" i="1"/>
  <c r="P594" i="1"/>
  <c r="O594" i="1"/>
  <c r="N594" i="1"/>
  <c r="L594" i="1"/>
  <c r="K594" i="1"/>
  <c r="J594" i="1"/>
  <c r="I594" i="1"/>
  <c r="H594" i="1"/>
  <c r="G594" i="1"/>
  <c r="F594" i="1"/>
  <c r="E594" i="1"/>
  <c r="D594" i="1"/>
  <c r="U593" i="1"/>
  <c r="S593" i="1"/>
  <c r="R593" i="1"/>
  <c r="Q593" i="1"/>
  <c r="P593" i="1"/>
  <c r="O593" i="1"/>
  <c r="N593" i="1"/>
  <c r="L593" i="1"/>
  <c r="K593" i="1"/>
  <c r="J593" i="1"/>
  <c r="I593" i="1"/>
  <c r="H593" i="1"/>
  <c r="G593" i="1"/>
  <c r="F593" i="1"/>
  <c r="E593" i="1"/>
  <c r="D593" i="1"/>
  <c r="U592" i="1"/>
  <c r="S592" i="1"/>
  <c r="R592" i="1"/>
  <c r="Q592" i="1"/>
  <c r="P592" i="1"/>
  <c r="O592" i="1"/>
  <c r="N592" i="1"/>
  <c r="L592" i="1"/>
  <c r="K592" i="1"/>
  <c r="J592" i="1"/>
  <c r="I592" i="1"/>
  <c r="H592" i="1"/>
  <c r="G592" i="1"/>
  <c r="F592" i="1"/>
  <c r="E592" i="1"/>
  <c r="D592" i="1"/>
  <c r="U591" i="1"/>
  <c r="S591" i="1"/>
  <c r="R591" i="1"/>
  <c r="Q591" i="1"/>
  <c r="P591" i="1"/>
  <c r="O591" i="1"/>
  <c r="N591" i="1"/>
  <c r="L591" i="1"/>
  <c r="K591" i="1"/>
  <c r="J591" i="1"/>
  <c r="I591" i="1"/>
  <c r="H591" i="1"/>
  <c r="G591" i="1"/>
  <c r="F591" i="1"/>
  <c r="E591" i="1"/>
  <c r="D591" i="1"/>
  <c r="U590" i="1"/>
  <c r="S590" i="1"/>
  <c r="R590" i="1"/>
  <c r="Q590" i="1"/>
  <c r="P590" i="1"/>
  <c r="O590" i="1"/>
  <c r="N590" i="1"/>
  <c r="L590" i="1"/>
  <c r="K590" i="1"/>
  <c r="J590" i="1"/>
  <c r="I590" i="1"/>
  <c r="H590" i="1"/>
  <c r="G590" i="1"/>
  <c r="F590" i="1"/>
  <c r="E590" i="1"/>
  <c r="D590" i="1"/>
  <c r="U589" i="1"/>
  <c r="S589" i="1"/>
  <c r="R589" i="1"/>
  <c r="Q589" i="1"/>
  <c r="P589" i="1"/>
  <c r="O589" i="1"/>
  <c r="N589" i="1"/>
  <c r="L589" i="1"/>
  <c r="K589" i="1"/>
  <c r="J589" i="1"/>
  <c r="I589" i="1"/>
  <c r="H589" i="1"/>
  <c r="G589" i="1"/>
  <c r="F589" i="1"/>
  <c r="E589" i="1"/>
  <c r="D589" i="1"/>
  <c r="U588" i="1"/>
  <c r="S588" i="1"/>
  <c r="R588" i="1"/>
  <c r="Q588" i="1"/>
  <c r="P588" i="1"/>
  <c r="O588" i="1"/>
  <c r="N588" i="1"/>
  <c r="L588" i="1"/>
  <c r="K588" i="1"/>
  <c r="J588" i="1"/>
  <c r="I588" i="1"/>
  <c r="H588" i="1"/>
  <c r="G588" i="1"/>
  <c r="F588" i="1"/>
  <c r="E588" i="1"/>
  <c r="D588" i="1"/>
  <c r="U587" i="1"/>
  <c r="S587" i="1"/>
  <c r="R587" i="1"/>
  <c r="Q587" i="1"/>
  <c r="P587" i="1"/>
  <c r="O587" i="1"/>
  <c r="N587" i="1"/>
  <c r="L587" i="1"/>
  <c r="K587" i="1"/>
  <c r="J587" i="1"/>
  <c r="I587" i="1"/>
  <c r="H587" i="1"/>
  <c r="G587" i="1"/>
  <c r="F587" i="1"/>
  <c r="E587" i="1"/>
  <c r="D587" i="1"/>
  <c r="U586" i="1"/>
  <c r="S586" i="1"/>
  <c r="R586" i="1"/>
  <c r="Q586" i="1"/>
  <c r="P586" i="1"/>
  <c r="O586" i="1"/>
  <c r="N586" i="1"/>
  <c r="L586" i="1"/>
  <c r="K586" i="1"/>
  <c r="J586" i="1"/>
  <c r="I586" i="1"/>
  <c r="H586" i="1"/>
  <c r="G586" i="1"/>
  <c r="F586" i="1"/>
  <c r="E586" i="1"/>
  <c r="D586" i="1"/>
  <c r="U585" i="1"/>
  <c r="S585" i="1"/>
  <c r="R585" i="1"/>
  <c r="Q585" i="1"/>
  <c r="P585" i="1"/>
  <c r="O585" i="1"/>
  <c r="N585" i="1"/>
  <c r="L585" i="1"/>
  <c r="K585" i="1"/>
  <c r="J585" i="1"/>
  <c r="I585" i="1"/>
  <c r="H585" i="1"/>
  <c r="G585" i="1"/>
  <c r="F585" i="1"/>
  <c r="E585" i="1"/>
  <c r="D585" i="1"/>
  <c r="U584" i="1"/>
  <c r="S584" i="1"/>
  <c r="R584" i="1"/>
  <c r="Q584" i="1"/>
  <c r="P584" i="1"/>
  <c r="O584" i="1"/>
  <c r="N584" i="1"/>
  <c r="L584" i="1"/>
  <c r="K584" i="1"/>
  <c r="J584" i="1"/>
  <c r="I584" i="1"/>
  <c r="H584" i="1"/>
  <c r="G584" i="1"/>
  <c r="F584" i="1"/>
  <c r="E584" i="1"/>
  <c r="D584" i="1"/>
  <c r="U583" i="1"/>
  <c r="S583" i="1"/>
  <c r="R583" i="1"/>
  <c r="Q583" i="1"/>
  <c r="P583" i="1"/>
  <c r="O583" i="1"/>
  <c r="N583" i="1"/>
  <c r="L583" i="1"/>
  <c r="K583" i="1"/>
  <c r="J583" i="1"/>
  <c r="I583" i="1"/>
  <c r="H583" i="1"/>
  <c r="G583" i="1"/>
  <c r="F583" i="1"/>
  <c r="E583" i="1"/>
  <c r="D583" i="1"/>
  <c r="U582" i="1"/>
  <c r="S582" i="1"/>
  <c r="R582" i="1"/>
  <c r="Q582" i="1"/>
  <c r="P582" i="1"/>
  <c r="O582" i="1"/>
  <c r="N582" i="1"/>
  <c r="L582" i="1"/>
  <c r="K582" i="1"/>
  <c r="J582" i="1"/>
  <c r="I582" i="1"/>
  <c r="H582" i="1"/>
  <c r="G582" i="1"/>
  <c r="F582" i="1"/>
  <c r="E582" i="1"/>
  <c r="D582" i="1"/>
  <c r="U581" i="1"/>
  <c r="S581" i="1"/>
  <c r="R581" i="1"/>
  <c r="Q581" i="1"/>
  <c r="P581" i="1"/>
  <c r="O581" i="1"/>
  <c r="N581" i="1"/>
  <c r="L581" i="1"/>
  <c r="K581" i="1"/>
  <c r="J581" i="1"/>
  <c r="I581" i="1"/>
  <c r="H581" i="1"/>
  <c r="G581" i="1"/>
  <c r="F581" i="1"/>
  <c r="E581" i="1"/>
  <c r="D581" i="1"/>
  <c r="U580" i="1"/>
  <c r="S580" i="1"/>
  <c r="R580" i="1"/>
  <c r="Q580" i="1"/>
  <c r="P580" i="1"/>
  <c r="O580" i="1"/>
  <c r="N580" i="1"/>
  <c r="L580" i="1"/>
  <c r="K580" i="1"/>
  <c r="J580" i="1"/>
  <c r="I580" i="1"/>
  <c r="H580" i="1"/>
  <c r="G580" i="1"/>
  <c r="F580" i="1"/>
  <c r="E580" i="1"/>
  <c r="D580" i="1"/>
  <c r="U579" i="1"/>
  <c r="S579" i="1"/>
  <c r="R579" i="1"/>
  <c r="Q579" i="1"/>
  <c r="P579" i="1"/>
  <c r="O579" i="1"/>
  <c r="N579" i="1"/>
  <c r="L579" i="1"/>
  <c r="K579" i="1"/>
  <c r="J579" i="1"/>
  <c r="I579" i="1"/>
  <c r="H579" i="1"/>
  <c r="G579" i="1"/>
  <c r="F579" i="1"/>
  <c r="E579" i="1"/>
  <c r="D579" i="1"/>
  <c r="U578" i="1"/>
  <c r="S578" i="1"/>
  <c r="R578" i="1"/>
  <c r="Q578" i="1"/>
  <c r="P578" i="1"/>
  <c r="O578" i="1"/>
  <c r="N578" i="1"/>
  <c r="L578" i="1"/>
  <c r="K578" i="1"/>
  <c r="J578" i="1"/>
  <c r="I578" i="1"/>
  <c r="H578" i="1"/>
  <c r="G578" i="1"/>
  <c r="F578" i="1"/>
  <c r="E578" i="1"/>
  <c r="D578" i="1"/>
  <c r="U577" i="1"/>
  <c r="S577" i="1"/>
  <c r="R577" i="1"/>
  <c r="Q577" i="1"/>
  <c r="P577" i="1"/>
  <c r="O577" i="1"/>
  <c r="N577" i="1"/>
  <c r="L577" i="1"/>
  <c r="K577" i="1"/>
  <c r="J577" i="1"/>
  <c r="I577" i="1"/>
  <c r="H577" i="1"/>
  <c r="G577" i="1"/>
  <c r="F577" i="1"/>
  <c r="E577" i="1"/>
  <c r="D577" i="1"/>
  <c r="U576" i="1"/>
  <c r="S576" i="1"/>
  <c r="R576" i="1"/>
  <c r="Q576" i="1"/>
  <c r="P576" i="1"/>
  <c r="O576" i="1"/>
  <c r="N576" i="1"/>
  <c r="L576" i="1"/>
  <c r="K576" i="1"/>
  <c r="J576" i="1"/>
  <c r="I576" i="1"/>
  <c r="H576" i="1"/>
  <c r="G576" i="1"/>
  <c r="F576" i="1"/>
  <c r="E576" i="1"/>
  <c r="D576" i="1"/>
  <c r="U575" i="1"/>
  <c r="S575" i="1"/>
  <c r="R575" i="1"/>
  <c r="Q575" i="1"/>
  <c r="P575" i="1"/>
  <c r="O575" i="1"/>
  <c r="N575" i="1"/>
  <c r="L575" i="1"/>
  <c r="K575" i="1"/>
  <c r="J575" i="1"/>
  <c r="I575" i="1"/>
  <c r="H575" i="1"/>
  <c r="G575" i="1"/>
  <c r="F575" i="1"/>
  <c r="E575" i="1"/>
  <c r="D575" i="1"/>
  <c r="U574" i="1"/>
  <c r="S574" i="1"/>
  <c r="R574" i="1"/>
  <c r="Q574" i="1"/>
  <c r="P574" i="1"/>
  <c r="O574" i="1"/>
  <c r="N574" i="1"/>
  <c r="L574" i="1"/>
  <c r="K574" i="1"/>
  <c r="J574" i="1"/>
  <c r="I574" i="1"/>
  <c r="H574" i="1"/>
  <c r="G574" i="1"/>
  <c r="F574" i="1"/>
  <c r="E574" i="1"/>
  <c r="D574" i="1"/>
  <c r="U573" i="1"/>
  <c r="S573" i="1"/>
  <c r="R573" i="1"/>
  <c r="Q573" i="1"/>
  <c r="P573" i="1"/>
  <c r="O573" i="1"/>
  <c r="N573" i="1"/>
  <c r="L573" i="1"/>
  <c r="K573" i="1"/>
  <c r="J573" i="1"/>
  <c r="I573" i="1"/>
  <c r="H573" i="1"/>
  <c r="G573" i="1"/>
  <c r="F573" i="1"/>
  <c r="E573" i="1"/>
  <c r="D573" i="1"/>
  <c r="U572" i="1"/>
  <c r="S572" i="1"/>
  <c r="R572" i="1"/>
  <c r="Q572" i="1"/>
  <c r="P572" i="1"/>
  <c r="O572" i="1"/>
  <c r="N572" i="1"/>
  <c r="L572" i="1"/>
  <c r="K572" i="1"/>
  <c r="J572" i="1"/>
  <c r="I572" i="1"/>
  <c r="H572" i="1"/>
  <c r="G572" i="1"/>
  <c r="F572" i="1"/>
  <c r="E572" i="1"/>
  <c r="D572" i="1"/>
  <c r="U571" i="1"/>
  <c r="S571" i="1"/>
  <c r="R571" i="1"/>
  <c r="Q571" i="1"/>
  <c r="P571" i="1"/>
  <c r="O571" i="1"/>
  <c r="N571" i="1"/>
  <c r="L571" i="1"/>
  <c r="K571" i="1"/>
  <c r="J571" i="1"/>
  <c r="I571" i="1"/>
  <c r="H571" i="1"/>
  <c r="G571" i="1"/>
  <c r="F571" i="1"/>
  <c r="E571" i="1"/>
  <c r="D571" i="1"/>
  <c r="U570" i="1"/>
  <c r="S570" i="1"/>
  <c r="R570" i="1"/>
  <c r="Q570" i="1"/>
  <c r="P570" i="1"/>
  <c r="O570" i="1"/>
  <c r="N570" i="1"/>
  <c r="L570" i="1"/>
  <c r="K570" i="1"/>
  <c r="J570" i="1"/>
  <c r="I570" i="1"/>
  <c r="H570" i="1"/>
  <c r="G570" i="1"/>
  <c r="F570" i="1"/>
  <c r="E570" i="1"/>
  <c r="D570" i="1"/>
  <c r="U569" i="1"/>
  <c r="S569" i="1"/>
  <c r="R569" i="1"/>
  <c r="Q569" i="1"/>
  <c r="P569" i="1"/>
  <c r="O569" i="1"/>
  <c r="N569" i="1"/>
  <c r="L569" i="1"/>
  <c r="K569" i="1"/>
  <c r="J569" i="1"/>
  <c r="I569" i="1"/>
  <c r="H569" i="1"/>
  <c r="G569" i="1"/>
  <c r="F569" i="1"/>
  <c r="E569" i="1"/>
  <c r="D569" i="1"/>
  <c r="U568" i="1"/>
  <c r="S568" i="1"/>
  <c r="R568" i="1"/>
  <c r="Q568" i="1"/>
  <c r="P568" i="1"/>
  <c r="O568" i="1"/>
  <c r="N568" i="1"/>
  <c r="L568" i="1"/>
  <c r="K568" i="1"/>
  <c r="J568" i="1"/>
  <c r="I568" i="1"/>
  <c r="H568" i="1"/>
  <c r="G568" i="1"/>
  <c r="F568" i="1"/>
  <c r="E568" i="1"/>
  <c r="D568" i="1"/>
  <c r="U567" i="1"/>
  <c r="S567" i="1"/>
  <c r="R567" i="1"/>
  <c r="Q567" i="1"/>
  <c r="P567" i="1"/>
  <c r="O567" i="1"/>
  <c r="N567" i="1"/>
  <c r="L567" i="1"/>
  <c r="K567" i="1"/>
  <c r="J567" i="1"/>
  <c r="I567" i="1"/>
  <c r="H567" i="1"/>
  <c r="G567" i="1"/>
  <c r="F567" i="1"/>
  <c r="E567" i="1"/>
  <c r="D567" i="1"/>
  <c r="U566" i="1"/>
  <c r="S566" i="1"/>
  <c r="R566" i="1"/>
  <c r="Q566" i="1"/>
  <c r="P566" i="1"/>
  <c r="O566" i="1"/>
  <c r="N566" i="1"/>
  <c r="L566" i="1"/>
  <c r="K566" i="1"/>
  <c r="J566" i="1"/>
  <c r="I566" i="1"/>
  <c r="H566" i="1"/>
  <c r="G566" i="1"/>
  <c r="F566" i="1"/>
  <c r="E566" i="1"/>
  <c r="D566" i="1"/>
  <c r="U565" i="1"/>
  <c r="S565" i="1"/>
  <c r="R565" i="1"/>
  <c r="Q565" i="1"/>
  <c r="P565" i="1"/>
  <c r="O565" i="1"/>
  <c r="N565" i="1"/>
  <c r="L565" i="1"/>
  <c r="K565" i="1"/>
  <c r="J565" i="1"/>
  <c r="I565" i="1"/>
  <c r="H565" i="1"/>
  <c r="G565" i="1"/>
  <c r="F565" i="1"/>
  <c r="E565" i="1"/>
  <c r="D565" i="1"/>
  <c r="U564" i="1"/>
  <c r="S564" i="1"/>
  <c r="R564" i="1"/>
  <c r="Q564" i="1"/>
  <c r="P564" i="1"/>
  <c r="O564" i="1"/>
  <c r="N564" i="1"/>
  <c r="L564" i="1"/>
  <c r="K564" i="1"/>
  <c r="J564" i="1"/>
  <c r="I564" i="1"/>
  <c r="H564" i="1"/>
  <c r="G564" i="1"/>
  <c r="F564" i="1"/>
  <c r="E564" i="1"/>
  <c r="D564" i="1"/>
  <c r="U563" i="1"/>
  <c r="S563" i="1"/>
  <c r="R563" i="1"/>
  <c r="Q563" i="1"/>
  <c r="P563" i="1"/>
  <c r="O563" i="1"/>
  <c r="N563" i="1"/>
  <c r="L563" i="1"/>
  <c r="K563" i="1"/>
  <c r="J563" i="1"/>
  <c r="I563" i="1"/>
  <c r="H563" i="1"/>
  <c r="G563" i="1"/>
  <c r="F563" i="1"/>
  <c r="E563" i="1"/>
  <c r="D563" i="1"/>
  <c r="U562" i="1"/>
  <c r="S562" i="1"/>
  <c r="R562" i="1"/>
  <c r="Q562" i="1"/>
  <c r="P562" i="1"/>
  <c r="O562" i="1"/>
  <c r="N562" i="1"/>
  <c r="L562" i="1"/>
  <c r="K562" i="1"/>
  <c r="J562" i="1"/>
  <c r="I562" i="1"/>
  <c r="H562" i="1"/>
  <c r="G562" i="1"/>
  <c r="F562" i="1"/>
  <c r="E562" i="1"/>
  <c r="D562" i="1"/>
  <c r="U561" i="1"/>
  <c r="S561" i="1"/>
  <c r="R561" i="1"/>
  <c r="Q561" i="1"/>
  <c r="P561" i="1"/>
  <c r="O561" i="1"/>
  <c r="N561" i="1"/>
  <c r="L561" i="1"/>
  <c r="K561" i="1"/>
  <c r="J561" i="1"/>
  <c r="I561" i="1"/>
  <c r="H561" i="1"/>
  <c r="G561" i="1"/>
  <c r="F561" i="1"/>
  <c r="E561" i="1"/>
  <c r="D561" i="1"/>
  <c r="U560" i="1"/>
  <c r="S560" i="1"/>
  <c r="R560" i="1"/>
  <c r="Q560" i="1"/>
  <c r="P560" i="1"/>
  <c r="O560" i="1"/>
  <c r="N560" i="1"/>
  <c r="L560" i="1"/>
  <c r="K560" i="1"/>
  <c r="J560" i="1"/>
  <c r="I560" i="1"/>
  <c r="H560" i="1"/>
  <c r="G560" i="1"/>
  <c r="F560" i="1"/>
  <c r="E560" i="1"/>
  <c r="D560" i="1"/>
  <c r="U559" i="1"/>
  <c r="S559" i="1"/>
  <c r="R559" i="1"/>
  <c r="Q559" i="1"/>
  <c r="P559" i="1"/>
  <c r="O559" i="1"/>
  <c r="N559" i="1"/>
  <c r="L559" i="1"/>
  <c r="K559" i="1"/>
  <c r="J559" i="1"/>
  <c r="I559" i="1"/>
  <c r="H559" i="1"/>
  <c r="G559" i="1"/>
  <c r="F559" i="1"/>
  <c r="E559" i="1"/>
  <c r="D559" i="1"/>
  <c r="U558" i="1"/>
  <c r="S558" i="1"/>
  <c r="R558" i="1"/>
  <c r="Q558" i="1"/>
  <c r="P558" i="1"/>
  <c r="O558" i="1"/>
  <c r="N558" i="1"/>
  <c r="L558" i="1"/>
  <c r="K558" i="1"/>
  <c r="J558" i="1"/>
  <c r="I558" i="1"/>
  <c r="H558" i="1"/>
  <c r="G558" i="1"/>
  <c r="F558" i="1"/>
  <c r="E558" i="1"/>
  <c r="D558" i="1"/>
  <c r="U557" i="1"/>
  <c r="S557" i="1"/>
  <c r="R557" i="1"/>
  <c r="Q557" i="1"/>
  <c r="P557" i="1"/>
  <c r="O557" i="1"/>
  <c r="N557" i="1"/>
  <c r="L557" i="1"/>
  <c r="K557" i="1"/>
  <c r="J557" i="1"/>
  <c r="I557" i="1"/>
  <c r="H557" i="1"/>
  <c r="G557" i="1"/>
  <c r="F557" i="1"/>
  <c r="E557" i="1"/>
  <c r="D557" i="1"/>
  <c r="U556" i="1"/>
  <c r="S556" i="1"/>
  <c r="R556" i="1"/>
  <c r="Q556" i="1"/>
  <c r="P556" i="1"/>
  <c r="O556" i="1"/>
  <c r="N556" i="1"/>
  <c r="L556" i="1"/>
  <c r="K556" i="1"/>
  <c r="J556" i="1"/>
  <c r="I556" i="1"/>
  <c r="H556" i="1"/>
  <c r="G556" i="1"/>
  <c r="F556" i="1"/>
  <c r="E556" i="1"/>
  <c r="D556" i="1"/>
  <c r="U555" i="1"/>
  <c r="S555" i="1"/>
  <c r="R555" i="1"/>
  <c r="Q555" i="1"/>
  <c r="P555" i="1"/>
  <c r="O555" i="1"/>
  <c r="N555" i="1"/>
  <c r="L555" i="1"/>
  <c r="K555" i="1"/>
  <c r="J555" i="1"/>
  <c r="I555" i="1"/>
  <c r="H555" i="1"/>
  <c r="G555" i="1"/>
  <c r="F555" i="1"/>
  <c r="E555" i="1"/>
  <c r="D555" i="1"/>
  <c r="U554" i="1"/>
  <c r="S554" i="1"/>
  <c r="R554" i="1"/>
  <c r="Q554" i="1"/>
  <c r="P554" i="1"/>
  <c r="O554" i="1"/>
  <c r="N554" i="1"/>
  <c r="L554" i="1"/>
  <c r="K554" i="1"/>
  <c r="J554" i="1"/>
  <c r="I554" i="1"/>
  <c r="H554" i="1"/>
  <c r="G554" i="1"/>
  <c r="F554" i="1"/>
  <c r="E554" i="1"/>
  <c r="D554" i="1"/>
  <c r="U553" i="1"/>
  <c r="S553" i="1"/>
  <c r="R553" i="1"/>
  <c r="Q553" i="1"/>
  <c r="P553" i="1"/>
  <c r="O553" i="1"/>
  <c r="N553" i="1"/>
  <c r="L553" i="1"/>
  <c r="K553" i="1"/>
  <c r="J553" i="1"/>
  <c r="I553" i="1"/>
  <c r="H553" i="1"/>
  <c r="G553" i="1"/>
  <c r="F553" i="1"/>
  <c r="E553" i="1"/>
  <c r="D553" i="1"/>
  <c r="U552" i="1"/>
  <c r="S552" i="1"/>
  <c r="R552" i="1"/>
  <c r="Q552" i="1"/>
  <c r="P552" i="1"/>
  <c r="O552" i="1"/>
  <c r="N552" i="1"/>
  <c r="L552" i="1"/>
  <c r="K552" i="1"/>
  <c r="J552" i="1"/>
  <c r="I552" i="1"/>
  <c r="H552" i="1"/>
  <c r="G552" i="1"/>
  <c r="F552" i="1"/>
  <c r="E552" i="1"/>
  <c r="D552" i="1"/>
  <c r="U551" i="1"/>
  <c r="S551" i="1"/>
  <c r="R551" i="1"/>
  <c r="Q551" i="1"/>
  <c r="P551" i="1"/>
  <c r="O551" i="1"/>
  <c r="N551" i="1"/>
  <c r="L551" i="1"/>
  <c r="K551" i="1"/>
  <c r="J551" i="1"/>
  <c r="I551" i="1"/>
  <c r="H551" i="1"/>
  <c r="G551" i="1"/>
  <c r="F551" i="1"/>
  <c r="E551" i="1"/>
  <c r="D551" i="1"/>
  <c r="U550" i="1"/>
  <c r="S550" i="1"/>
  <c r="R550" i="1"/>
  <c r="Q550" i="1"/>
  <c r="P550" i="1"/>
  <c r="O550" i="1"/>
  <c r="N550" i="1"/>
  <c r="L550" i="1"/>
  <c r="K550" i="1"/>
  <c r="J550" i="1"/>
  <c r="I550" i="1"/>
  <c r="H550" i="1"/>
  <c r="G550" i="1"/>
  <c r="F550" i="1"/>
  <c r="E550" i="1"/>
  <c r="D550" i="1"/>
  <c r="U549" i="1"/>
  <c r="S549" i="1"/>
  <c r="R549" i="1"/>
  <c r="Q549" i="1"/>
  <c r="P549" i="1"/>
  <c r="O549" i="1"/>
  <c r="N549" i="1"/>
  <c r="L549" i="1"/>
  <c r="K549" i="1"/>
  <c r="J549" i="1"/>
  <c r="I549" i="1"/>
  <c r="H549" i="1"/>
  <c r="G549" i="1"/>
  <c r="F549" i="1"/>
  <c r="E549" i="1"/>
  <c r="D549" i="1"/>
  <c r="U548" i="1"/>
  <c r="S548" i="1"/>
  <c r="R548" i="1"/>
  <c r="Q548" i="1"/>
  <c r="P548" i="1"/>
  <c r="O548" i="1"/>
  <c r="N548" i="1"/>
  <c r="L548" i="1"/>
  <c r="K548" i="1"/>
  <c r="J548" i="1"/>
  <c r="I548" i="1"/>
  <c r="H548" i="1"/>
  <c r="G548" i="1"/>
  <c r="F548" i="1"/>
  <c r="E548" i="1"/>
  <c r="D548" i="1"/>
  <c r="U547" i="1"/>
  <c r="S547" i="1"/>
  <c r="R547" i="1"/>
  <c r="Q547" i="1"/>
  <c r="P547" i="1"/>
  <c r="O547" i="1"/>
  <c r="N547" i="1"/>
  <c r="L547" i="1"/>
  <c r="K547" i="1"/>
  <c r="J547" i="1"/>
  <c r="I547" i="1"/>
  <c r="H547" i="1"/>
  <c r="G547" i="1"/>
  <c r="F547" i="1"/>
  <c r="E547" i="1"/>
  <c r="D547" i="1"/>
  <c r="U546" i="1"/>
  <c r="S546" i="1"/>
  <c r="R546" i="1"/>
  <c r="Q546" i="1"/>
  <c r="P546" i="1"/>
  <c r="O546" i="1"/>
  <c r="N546" i="1"/>
  <c r="L546" i="1"/>
  <c r="K546" i="1"/>
  <c r="J546" i="1"/>
  <c r="I546" i="1"/>
  <c r="H546" i="1"/>
  <c r="G546" i="1"/>
  <c r="F546" i="1"/>
  <c r="E546" i="1"/>
  <c r="D546" i="1"/>
  <c r="U545" i="1"/>
  <c r="S545" i="1"/>
  <c r="R545" i="1"/>
  <c r="Q545" i="1"/>
  <c r="P545" i="1"/>
  <c r="O545" i="1"/>
  <c r="N545" i="1"/>
  <c r="L545" i="1"/>
  <c r="K545" i="1"/>
  <c r="J545" i="1"/>
  <c r="I545" i="1"/>
  <c r="H545" i="1"/>
  <c r="G545" i="1"/>
  <c r="F545" i="1"/>
  <c r="E545" i="1"/>
  <c r="D545" i="1"/>
  <c r="U544" i="1"/>
  <c r="S544" i="1"/>
  <c r="R544" i="1"/>
  <c r="Q544" i="1"/>
  <c r="P544" i="1"/>
  <c r="O544" i="1"/>
  <c r="N544" i="1"/>
  <c r="L544" i="1"/>
  <c r="K544" i="1"/>
  <c r="J544" i="1"/>
  <c r="I544" i="1"/>
  <c r="H544" i="1"/>
  <c r="G544" i="1"/>
  <c r="F544" i="1"/>
  <c r="E544" i="1"/>
  <c r="D544" i="1"/>
  <c r="U543" i="1"/>
  <c r="S543" i="1"/>
  <c r="R543" i="1"/>
  <c r="Q543" i="1"/>
  <c r="P543" i="1"/>
  <c r="O543" i="1"/>
  <c r="N543" i="1"/>
  <c r="L543" i="1"/>
  <c r="K543" i="1"/>
  <c r="J543" i="1"/>
  <c r="I543" i="1"/>
  <c r="H543" i="1"/>
  <c r="G543" i="1"/>
  <c r="F543" i="1"/>
  <c r="E543" i="1"/>
  <c r="D543" i="1"/>
  <c r="U542" i="1"/>
  <c r="S542" i="1"/>
  <c r="R542" i="1"/>
  <c r="Q542" i="1"/>
  <c r="P542" i="1"/>
  <c r="O542" i="1"/>
  <c r="N542" i="1"/>
  <c r="L542" i="1"/>
  <c r="K542" i="1"/>
  <c r="J542" i="1"/>
  <c r="I542" i="1"/>
  <c r="H542" i="1"/>
  <c r="G542" i="1"/>
  <c r="F542" i="1"/>
  <c r="E542" i="1"/>
  <c r="D542" i="1"/>
  <c r="U541" i="1"/>
  <c r="S541" i="1"/>
  <c r="R541" i="1"/>
  <c r="Q541" i="1"/>
  <c r="P541" i="1"/>
  <c r="O541" i="1"/>
  <c r="N541" i="1"/>
  <c r="L541" i="1"/>
  <c r="K541" i="1"/>
  <c r="J541" i="1"/>
  <c r="I541" i="1"/>
  <c r="H541" i="1"/>
  <c r="G541" i="1"/>
  <c r="F541" i="1"/>
  <c r="E541" i="1"/>
  <c r="D541" i="1"/>
  <c r="U540" i="1"/>
  <c r="S540" i="1"/>
  <c r="R540" i="1"/>
  <c r="Q540" i="1"/>
  <c r="P540" i="1"/>
  <c r="O540" i="1"/>
  <c r="N540" i="1"/>
  <c r="L540" i="1"/>
  <c r="K540" i="1"/>
  <c r="J540" i="1"/>
  <c r="I540" i="1"/>
  <c r="H540" i="1"/>
  <c r="G540" i="1"/>
  <c r="F540" i="1"/>
  <c r="E540" i="1"/>
  <c r="D540" i="1"/>
  <c r="U539" i="1"/>
  <c r="S539" i="1"/>
  <c r="R539" i="1"/>
  <c r="Q539" i="1"/>
  <c r="P539" i="1"/>
  <c r="O539" i="1"/>
  <c r="N539" i="1"/>
  <c r="L539" i="1"/>
  <c r="K539" i="1"/>
  <c r="J539" i="1"/>
  <c r="I539" i="1"/>
  <c r="H539" i="1"/>
  <c r="G539" i="1"/>
  <c r="F539" i="1"/>
  <c r="E539" i="1"/>
  <c r="D539" i="1"/>
  <c r="U538" i="1"/>
  <c r="S538" i="1"/>
  <c r="R538" i="1"/>
  <c r="Q538" i="1"/>
  <c r="P538" i="1"/>
  <c r="O538" i="1"/>
  <c r="N538" i="1"/>
  <c r="L538" i="1"/>
  <c r="K538" i="1"/>
  <c r="J538" i="1"/>
  <c r="I538" i="1"/>
  <c r="H538" i="1"/>
  <c r="G538" i="1"/>
  <c r="F538" i="1"/>
  <c r="E538" i="1"/>
  <c r="D538" i="1"/>
  <c r="U537" i="1"/>
  <c r="S537" i="1"/>
  <c r="R537" i="1"/>
  <c r="Q537" i="1"/>
  <c r="P537" i="1"/>
  <c r="O537" i="1"/>
  <c r="N537" i="1"/>
  <c r="L537" i="1"/>
  <c r="K537" i="1"/>
  <c r="J537" i="1"/>
  <c r="I537" i="1"/>
  <c r="H537" i="1"/>
  <c r="G537" i="1"/>
  <c r="F537" i="1"/>
  <c r="E537" i="1"/>
  <c r="D537" i="1"/>
  <c r="U536" i="1"/>
  <c r="S536" i="1"/>
  <c r="R536" i="1"/>
  <c r="Q536" i="1"/>
  <c r="P536" i="1"/>
  <c r="O536" i="1"/>
  <c r="N536" i="1"/>
  <c r="L536" i="1"/>
  <c r="K536" i="1"/>
  <c r="J536" i="1"/>
  <c r="I536" i="1"/>
  <c r="H536" i="1"/>
  <c r="G536" i="1"/>
  <c r="F536" i="1"/>
  <c r="E536" i="1"/>
  <c r="D536" i="1"/>
  <c r="U535" i="1"/>
  <c r="S535" i="1"/>
  <c r="R535" i="1"/>
  <c r="Q535" i="1"/>
  <c r="P535" i="1"/>
  <c r="O535" i="1"/>
  <c r="N535" i="1"/>
  <c r="L535" i="1"/>
  <c r="K535" i="1"/>
  <c r="J535" i="1"/>
  <c r="I535" i="1"/>
  <c r="H535" i="1"/>
  <c r="G535" i="1"/>
  <c r="F535" i="1"/>
  <c r="E535" i="1"/>
  <c r="D535" i="1"/>
  <c r="U534" i="1"/>
  <c r="S534" i="1"/>
  <c r="R534" i="1"/>
  <c r="Q534" i="1"/>
  <c r="P534" i="1"/>
  <c r="O534" i="1"/>
  <c r="N534" i="1"/>
  <c r="L534" i="1"/>
  <c r="K534" i="1"/>
  <c r="J534" i="1"/>
  <c r="I534" i="1"/>
  <c r="H534" i="1"/>
  <c r="G534" i="1"/>
  <c r="F534" i="1"/>
  <c r="E534" i="1"/>
  <c r="D534" i="1"/>
  <c r="U533" i="1"/>
  <c r="S533" i="1"/>
  <c r="R533" i="1"/>
  <c r="Q533" i="1"/>
  <c r="P533" i="1"/>
  <c r="O533" i="1"/>
  <c r="N533" i="1"/>
  <c r="L533" i="1"/>
  <c r="K533" i="1"/>
  <c r="J533" i="1"/>
  <c r="I533" i="1"/>
  <c r="H533" i="1"/>
  <c r="G533" i="1"/>
  <c r="F533" i="1"/>
  <c r="E533" i="1"/>
  <c r="D533" i="1"/>
  <c r="U532" i="1"/>
  <c r="S532" i="1"/>
  <c r="R532" i="1"/>
  <c r="Q532" i="1"/>
  <c r="P532" i="1"/>
  <c r="O532" i="1"/>
  <c r="N532" i="1"/>
  <c r="L532" i="1"/>
  <c r="K532" i="1"/>
  <c r="J532" i="1"/>
  <c r="I532" i="1"/>
  <c r="H532" i="1"/>
  <c r="G532" i="1"/>
  <c r="F532" i="1"/>
  <c r="E532" i="1"/>
  <c r="D532" i="1"/>
  <c r="U531" i="1"/>
  <c r="S531" i="1"/>
  <c r="R531" i="1"/>
  <c r="Q531" i="1"/>
  <c r="P531" i="1"/>
  <c r="O531" i="1"/>
  <c r="N531" i="1"/>
  <c r="L531" i="1"/>
  <c r="K531" i="1"/>
  <c r="J531" i="1"/>
  <c r="I531" i="1"/>
  <c r="H531" i="1"/>
  <c r="G531" i="1"/>
  <c r="F531" i="1"/>
  <c r="E531" i="1"/>
  <c r="D531" i="1"/>
  <c r="U530" i="1"/>
  <c r="S530" i="1"/>
  <c r="R530" i="1"/>
  <c r="Q530" i="1"/>
  <c r="P530" i="1"/>
  <c r="O530" i="1"/>
  <c r="N530" i="1"/>
  <c r="L530" i="1"/>
  <c r="K530" i="1"/>
  <c r="J530" i="1"/>
  <c r="I530" i="1"/>
  <c r="H530" i="1"/>
  <c r="G530" i="1"/>
  <c r="F530" i="1"/>
  <c r="E530" i="1"/>
  <c r="D530" i="1"/>
  <c r="U529" i="1"/>
  <c r="S529" i="1"/>
  <c r="R529" i="1"/>
  <c r="Q529" i="1"/>
  <c r="P529" i="1"/>
  <c r="O529" i="1"/>
  <c r="N529" i="1"/>
  <c r="L529" i="1"/>
  <c r="K529" i="1"/>
  <c r="J529" i="1"/>
  <c r="I529" i="1"/>
  <c r="H529" i="1"/>
  <c r="G529" i="1"/>
  <c r="F529" i="1"/>
  <c r="E529" i="1"/>
  <c r="D529" i="1"/>
  <c r="U528" i="1"/>
  <c r="S528" i="1"/>
  <c r="R528" i="1"/>
  <c r="Q528" i="1"/>
  <c r="P528" i="1"/>
  <c r="O528" i="1"/>
  <c r="N528" i="1"/>
  <c r="L528" i="1"/>
  <c r="K528" i="1"/>
  <c r="J528" i="1"/>
  <c r="I528" i="1"/>
  <c r="H528" i="1"/>
  <c r="G528" i="1"/>
  <c r="F528" i="1"/>
  <c r="E528" i="1"/>
  <c r="D528" i="1"/>
  <c r="U527" i="1"/>
  <c r="S527" i="1"/>
  <c r="R527" i="1"/>
  <c r="Q527" i="1"/>
  <c r="P527" i="1"/>
  <c r="O527" i="1"/>
  <c r="N527" i="1"/>
  <c r="L527" i="1"/>
  <c r="K527" i="1"/>
  <c r="J527" i="1"/>
  <c r="I527" i="1"/>
  <c r="H527" i="1"/>
  <c r="G527" i="1"/>
  <c r="F527" i="1"/>
  <c r="E527" i="1"/>
  <c r="D527" i="1"/>
  <c r="U526" i="1"/>
  <c r="S526" i="1"/>
  <c r="R526" i="1"/>
  <c r="Q526" i="1"/>
  <c r="P526" i="1"/>
  <c r="O526" i="1"/>
  <c r="N526" i="1"/>
  <c r="L526" i="1"/>
  <c r="K526" i="1"/>
  <c r="J526" i="1"/>
  <c r="I526" i="1"/>
  <c r="H526" i="1"/>
  <c r="G526" i="1"/>
  <c r="F526" i="1"/>
  <c r="E526" i="1"/>
  <c r="D526" i="1"/>
  <c r="U525" i="1"/>
  <c r="S525" i="1"/>
  <c r="R525" i="1"/>
  <c r="Q525" i="1"/>
  <c r="P525" i="1"/>
  <c r="O525" i="1"/>
  <c r="N525" i="1"/>
  <c r="L525" i="1"/>
  <c r="K525" i="1"/>
  <c r="J525" i="1"/>
  <c r="I525" i="1"/>
  <c r="H525" i="1"/>
  <c r="G525" i="1"/>
  <c r="F525" i="1"/>
  <c r="E525" i="1"/>
  <c r="D525" i="1"/>
  <c r="U524" i="1"/>
  <c r="S524" i="1"/>
  <c r="R524" i="1"/>
  <c r="Q524" i="1"/>
  <c r="P524" i="1"/>
  <c r="O524" i="1"/>
  <c r="N524" i="1"/>
  <c r="L524" i="1"/>
  <c r="K524" i="1"/>
  <c r="J524" i="1"/>
  <c r="I524" i="1"/>
  <c r="H524" i="1"/>
  <c r="G524" i="1"/>
  <c r="F524" i="1"/>
  <c r="E524" i="1"/>
  <c r="D524" i="1"/>
  <c r="U523" i="1"/>
  <c r="S523" i="1"/>
  <c r="R523" i="1"/>
  <c r="Q523" i="1"/>
  <c r="P523" i="1"/>
  <c r="O523" i="1"/>
  <c r="N523" i="1"/>
  <c r="L523" i="1"/>
  <c r="K523" i="1"/>
  <c r="J523" i="1"/>
  <c r="I523" i="1"/>
  <c r="H523" i="1"/>
  <c r="G523" i="1"/>
  <c r="F523" i="1"/>
  <c r="E523" i="1"/>
  <c r="D523" i="1"/>
  <c r="U522" i="1"/>
  <c r="S522" i="1"/>
  <c r="R522" i="1"/>
  <c r="Q522" i="1"/>
  <c r="P522" i="1"/>
  <c r="O522" i="1"/>
  <c r="N522" i="1"/>
  <c r="L522" i="1"/>
  <c r="K522" i="1"/>
  <c r="J522" i="1"/>
  <c r="I522" i="1"/>
  <c r="H522" i="1"/>
  <c r="G522" i="1"/>
  <c r="F522" i="1"/>
  <c r="E522" i="1"/>
  <c r="D522" i="1"/>
  <c r="U521" i="1"/>
  <c r="S521" i="1"/>
  <c r="R521" i="1"/>
  <c r="Q521" i="1"/>
  <c r="P521" i="1"/>
  <c r="O521" i="1"/>
  <c r="N521" i="1"/>
  <c r="L521" i="1"/>
  <c r="K521" i="1"/>
  <c r="J521" i="1"/>
  <c r="I521" i="1"/>
  <c r="H521" i="1"/>
  <c r="G521" i="1"/>
  <c r="F521" i="1"/>
  <c r="E521" i="1"/>
  <c r="D521" i="1"/>
  <c r="U520" i="1"/>
  <c r="S520" i="1"/>
  <c r="R520" i="1"/>
  <c r="Q520" i="1"/>
  <c r="P520" i="1"/>
  <c r="O520" i="1"/>
  <c r="N520" i="1"/>
  <c r="L520" i="1"/>
  <c r="K520" i="1"/>
  <c r="J520" i="1"/>
  <c r="I520" i="1"/>
  <c r="H520" i="1"/>
  <c r="G520" i="1"/>
  <c r="F520" i="1"/>
  <c r="E520" i="1"/>
  <c r="D520" i="1"/>
  <c r="U519" i="1"/>
  <c r="S519" i="1"/>
  <c r="R519" i="1"/>
  <c r="Q519" i="1"/>
  <c r="P519" i="1"/>
  <c r="O519" i="1"/>
  <c r="N519" i="1"/>
  <c r="L519" i="1"/>
  <c r="K519" i="1"/>
  <c r="J519" i="1"/>
  <c r="I519" i="1"/>
  <c r="H519" i="1"/>
  <c r="G519" i="1"/>
  <c r="F519" i="1"/>
  <c r="E519" i="1"/>
  <c r="D519" i="1"/>
  <c r="U518" i="1"/>
  <c r="S518" i="1"/>
  <c r="R518" i="1"/>
  <c r="Q518" i="1"/>
  <c r="P518" i="1"/>
  <c r="O518" i="1"/>
  <c r="N518" i="1"/>
  <c r="L518" i="1"/>
  <c r="K518" i="1"/>
  <c r="J518" i="1"/>
  <c r="I518" i="1"/>
  <c r="H518" i="1"/>
  <c r="G518" i="1"/>
  <c r="F518" i="1"/>
  <c r="E518" i="1"/>
  <c r="D518" i="1"/>
  <c r="U517" i="1"/>
  <c r="S517" i="1"/>
  <c r="R517" i="1"/>
  <c r="Q517" i="1"/>
  <c r="P517" i="1"/>
  <c r="O517" i="1"/>
  <c r="N517" i="1"/>
  <c r="L517" i="1"/>
  <c r="K517" i="1"/>
  <c r="J517" i="1"/>
  <c r="I517" i="1"/>
  <c r="H517" i="1"/>
  <c r="G517" i="1"/>
  <c r="F517" i="1"/>
  <c r="E517" i="1"/>
  <c r="D517" i="1"/>
  <c r="U516" i="1"/>
  <c r="S516" i="1"/>
  <c r="R516" i="1"/>
  <c r="Q516" i="1"/>
  <c r="P516" i="1"/>
  <c r="O516" i="1"/>
  <c r="N516" i="1"/>
  <c r="L516" i="1"/>
  <c r="K516" i="1"/>
  <c r="J516" i="1"/>
  <c r="I516" i="1"/>
  <c r="H516" i="1"/>
  <c r="G516" i="1"/>
  <c r="F516" i="1"/>
  <c r="E516" i="1"/>
  <c r="D516" i="1"/>
  <c r="U515" i="1"/>
  <c r="S515" i="1"/>
  <c r="R515" i="1"/>
  <c r="Q515" i="1"/>
  <c r="P515" i="1"/>
  <c r="O515" i="1"/>
  <c r="N515" i="1"/>
  <c r="L515" i="1"/>
  <c r="K515" i="1"/>
  <c r="J515" i="1"/>
  <c r="I515" i="1"/>
  <c r="H515" i="1"/>
  <c r="G515" i="1"/>
  <c r="F515" i="1"/>
  <c r="E515" i="1"/>
  <c r="D515" i="1"/>
  <c r="U514" i="1"/>
  <c r="S514" i="1"/>
  <c r="R514" i="1"/>
  <c r="Q514" i="1"/>
  <c r="P514" i="1"/>
  <c r="O514" i="1"/>
  <c r="N514" i="1"/>
  <c r="L514" i="1"/>
  <c r="K514" i="1"/>
  <c r="J514" i="1"/>
  <c r="I514" i="1"/>
  <c r="H514" i="1"/>
  <c r="G514" i="1"/>
  <c r="F514" i="1"/>
  <c r="E514" i="1"/>
  <c r="D514" i="1"/>
  <c r="U513" i="1"/>
  <c r="S513" i="1"/>
  <c r="R513" i="1"/>
  <c r="Q513" i="1"/>
  <c r="P513" i="1"/>
  <c r="O513" i="1"/>
  <c r="N513" i="1"/>
  <c r="L513" i="1"/>
  <c r="K513" i="1"/>
  <c r="J513" i="1"/>
  <c r="I513" i="1"/>
  <c r="H513" i="1"/>
  <c r="G513" i="1"/>
  <c r="F513" i="1"/>
  <c r="E513" i="1"/>
  <c r="D513" i="1"/>
  <c r="U512" i="1"/>
  <c r="S512" i="1"/>
  <c r="R512" i="1"/>
  <c r="Q512" i="1"/>
  <c r="P512" i="1"/>
  <c r="O512" i="1"/>
  <c r="N512" i="1"/>
  <c r="L512" i="1"/>
  <c r="K512" i="1"/>
  <c r="J512" i="1"/>
  <c r="I512" i="1"/>
  <c r="H512" i="1"/>
  <c r="G512" i="1"/>
  <c r="F512" i="1"/>
  <c r="E512" i="1"/>
  <c r="D512" i="1"/>
  <c r="U511" i="1"/>
  <c r="S511" i="1"/>
  <c r="R511" i="1"/>
  <c r="Q511" i="1"/>
  <c r="P511" i="1"/>
  <c r="O511" i="1"/>
  <c r="N511" i="1"/>
  <c r="L511" i="1"/>
  <c r="K511" i="1"/>
  <c r="J511" i="1"/>
  <c r="I511" i="1"/>
  <c r="H511" i="1"/>
  <c r="G511" i="1"/>
  <c r="F511" i="1"/>
  <c r="E511" i="1"/>
  <c r="D511" i="1"/>
  <c r="U510" i="1"/>
  <c r="S510" i="1"/>
  <c r="R510" i="1"/>
  <c r="Q510" i="1"/>
  <c r="P510" i="1"/>
  <c r="O510" i="1"/>
  <c r="N510" i="1"/>
  <c r="L510" i="1"/>
  <c r="K510" i="1"/>
  <c r="J510" i="1"/>
  <c r="I510" i="1"/>
  <c r="H510" i="1"/>
  <c r="G510" i="1"/>
  <c r="F510" i="1"/>
  <c r="E510" i="1"/>
  <c r="D510" i="1"/>
  <c r="U509" i="1"/>
  <c r="S509" i="1"/>
  <c r="R509" i="1"/>
  <c r="Q509" i="1"/>
  <c r="P509" i="1"/>
  <c r="O509" i="1"/>
  <c r="N509" i="1"/>
  <c r="L509" i="1"/>
  <c r="K509" i="1"/>
  <c r="J509" i="1"/>
  <c r="I509" i="1"/>
  <c r="H509" i="1"/>
  <c r="G509" i="1"/>
  <c r="F509" i="1"/>
  <c r="E509" i="1"/>
  <c r="D509" i="1"/>
  <c r="U508" i="1"/>
  <c r="S508" i="1"/>
  <c r="R508" i="1"/>
  <c r="Q508" i="1"/>
  <c r="P508" i="1"/>
  <c r="O508" i="1"/>
  <c r="N508" i="1"/>
  <c r="L508" i="1"/>
  <c r="K508" i="1"/>
  <c r="J508" i="1"/>
  <c r="I508" i="1"/>
  <c r="H508" i="1"/>
  <c r="G508" i="1"/>
  <c r="F508" i="1"/>
  <c r="E508" i="1"/>
  <c r="D508" i="1"/>
  <c r="U507" i="1"/>
  <c r="S507" i="1"/>
  <c r="R507" i="1"/>
  <c r="Q507" i="1"/>
  <c r="P507" i="1"/>
  <c r="O507" i="1"/>
  <c r="N507" i="1"/>
  <c r="L507" i="1"/>
  <c r="K507" i="1"/>
  <c r="J507" i="1"/>
  <c r="I507" i="1"/>
  <c r="H507" i="1"/>
  <c r="G507" i="1"/>
  <c r="F507" i="1"/>
  <c r="E507" i="1"/>
  <c r="D507" i="1"/>
  <c r="U506" i="1"/>
  <c r="S506" i="1"/>
  <c r="R506" i="1"/>
  <c r="Q506" i="1"/>
  <c r="P506" i="1"/>
  <c r="O506" i="1"/>
  <c r="N506" i="1"/>
  <c r="L506" i="1"/>
  <c r="K506" i="1"/>
  <c r="J506" i="1"/>
  <c r="I506" i="1"/>
  <c r="H506" i="1"/>
  <c r="G506" i="1"/>
  <c r="F506" i="1"/>
  <c r="E506" i="1"/>
  <c r="D506" i="1"/>
  <c r="U505" i="1"/>
  <c r="S505" i="1"/>
  <c r="R505" i="1"/>
  <c r="Q505" i="1"/>
  <c r="P505" i="1"/>
  <c r="O505" i="1"/>
  <c r="N505" i="1"/>
  <c r="L505" i="1"/>
  <c r="K505" i="1"/>
  <c r="J505" i="1"/>
  <c r="I505" i="1"/>
  <c r="H505" i="1"/>
  <c r="G505" i="1"/>
  <c r="F505" i="1"/>
  <c r="E505" i="1"/>
  <c r="D505" i="1"/>
  <c r="U504" i="1"/>
  <c r="S504" i="1"/>
  <c r="R504" i="1"/>
  <c r="Q504" i="1"/>
  <c r="P504" i="1"/>
  <c r="O504" i="1"/>
  <c r="N504" i="1"/>
  <c r="L504" i="1"/>
  <c r="K504" i="1"/>
  <c r="J504" i="1"/>
  <c r="I504" i="1"/>
  <c r="H504" i="1"/>
  <c r="G504" i="1"/>
  <c r="F504" i="1"/>
  <c r="E504" i="1"/>
  <c r="D504" i="1"/>
  <c r="U503" i="1"/>
  <c r="S503" i="1"/>
  <c r="R503" i="1"/>
  <c r="Q503" i="1"/>
  <c r="P503" i="1"/>
  <c r="O503" i="1"/>
  <c r="N503" i="1"/>
  <c r="L503" i="1"/>
  <c r="K503" i="1"/>
  <c r="J503" i="1"/>
  <c r="I503" i="1"/>
  <c r="H503" i="1"/>
  <c r="G503" i="1"/>
  <c r="F503" i="1"/>
  <c r="E503" i="1"/>
  <c r="D503" i="1"/>
  <c r="U502" i="1"/>
  <c r="S502" i="1"/>
  <c r="R502" i="1"/>
  <c r="Q502" i="1"/>
  <c r="P502" i="1"/>
  <c r="O502" i="1"/>
  <c r="N502" i="1"/>
  <c r="L502" i="1"/>
  <c r="K502" i="1"/>
  <c r="J502" i="1"/>
  <c r="I502" i="1"/>
  <c r="H502" i="1"/>
  <c r="G502" i="1"/>
  <c r="F502" i="1"/>
  <c r="E502" i="1"/>
  <c r="D502" i="1"/>
  <c r="U501" i="1"/>
  <c r="S501" i="1"/>
  <c r="R501" i="1"/>
  <c r="Q501" i="1"/>
  <c r="P501" i="1"/>
  <c r="O501" i="1"/>
  <c r="N501" i="1"/>
  <c r="L501" i="1"/>
  <c r="K501" i="1"/>
  <c r="J501" i="1"/>
  <c r="I501" i="1"/>
  <c r="H501" i="1"/>
  <c r="G501" i="1"/>
  <c r="F501" i="1"/>
  <c r="E501" i="1"/>
  <c r="D501" i="1"/>
  <c r="U500" i="1"/>
  <c r="S500" i="1"/>
  <c r="R500" i="1"/>
  <c r="Q500" i="1"/>
  <c r="P500" i="1"/>
  <c r="O500" i="1"/>
  <c r="N500" i="1"/>
  <c r="L500" i="1"/>
  <c r="K500" i="1"/>
  <c r="J500" i="1"/>
  <c r="I500" i="1"/>
  <c r="H500" i="1"/>
  <c r="G500" i="1"/>
  <c r="F500" i="1"/>
  <c r="E500" i="1"/>
  <c r="D500" i="1"/>
  <c r="U499" i="1"/>
  <c r="S499" i="1"/>
  <c r="R499" i="1"/>
  <c r="Q499" i="1"/>
  <c r="P499" i="1"/>
  <c r="O499" i="1"/>
  <c r="N499" i="1"/>
  <c r="L499" i="1"/>
  <c r="K499" i="1"/>
  <c r="J499" i="1"/>
  <c r="I499" i="1"/>
  <c r="H499" i="1"/>
  <c r="G499" i="1"/>
  <c r="F499" i="1"/>
  <c r="E499" i="1"/>
  <c r="D499" i="1"/>
  <c r="U498" i="1"/>
  <c r="S498" i="1"/>
  <c r="R498" i="1"/>
  <c r="Q498" i="1"/>
  <c r="P498" i="1"/>
  <c r="O498" i="1"/>
  <c r="N498" i="1"/>
  <c r="L498" i="1"/>
  <c r="K498" i="1"/>
  <c r="J498" i="1"/>
  <c r="I498" i="1"/>
  <c r="H498" i="1"/>
  <c r="G498" i="1"/>
  <c r="F498" i="1"/>
  <c r="E498" i="1"/>
  <c r="D498" i="1"/>
  <c r="U497" i="1"/>
  <c r="S497" i="1"/>
  <c r="R497" i="1"/>
  <c r="Q497" i="1"/>
  <c r="P497" i="1"/>
  <c r="O497" i="1"/>
  <c r="N497" i="1"/>
  <c r="L497" i="1"/>
  <c r="K497" i="1"/>
  <c r="J497" i="1"/>
  <c r="I497" i="1"/>
  <c r="H497" i="1"/>
  <c r="G497" i="1"/>
  <c r="F497" i="1"/>
  <c r="E497" i="1"/>
  <c r="D497" i="1"/>
  <c r="U496" i="1"/>
  <c r="S496" i="1"/>
  <c r="R496" i="1"/>
  <c r="Q496" i="1"/>
  <c r="P496" i="1"/>
  <c r="O496" i="1"/>
  <c r="N496" i="1"/>
  <c r="L496" i="1"/>
  <c r="K496" i="1"/>
  <c r="J496" i="1"/>
  <c r="I496" i="1"/>
  <c r="H496" i="1"/>
  <c r="G496" i="1"/>
  <c r="F496" i="1"/>
  <c r="E496" i="1"/>
  <c r="D496" i="1"/>
  <c r="U495" i="1"/>
  <c r="S495" i="1"/>
  <c r="R495" i="1"/>
  <c r="Q495" i="1"/>
  <c r="P495" i="1"/>
  <c r="O495" i="1"/>
  <c r="N495" i="1"/>
  <c r="L495" i="1"/>
  <c r="K495" i="1"/>
  <c r="J495" i="1"/>
  <c r="I495" i="1"/>
  <c r="H495" i="1"/>
  <c r="G495" i="1"/>
  <c r="F495" i="1"/>
  <c r="E495" i="1"/>
  <c r="D495" i="1"/>
  <c r="U494" i="1"/>
  <c r="S494" i="1"/>
  <c r="R494" i="1"/>
  <c r="Q494" i="1"/>
  <c r="P494" i="1"/>
  <c r="O494" i="1"/>
  <c r="N494" i="1"/>
  <c r="L494" i="1"/>
  <c r="K494" i="1"/>
  <c r="J494" i="1"/>
  <c r="I494" i="1"/>
  <c r="H494" i="1"/>
  <c r="G494" i="1"/>
  <c r="F494" i="1"/>
  <c r="E494" i="1"/>
  <c r="D494" i="1"/>
  <c r="U493" i="1"/>
  <c r="S493" i="1"/>
  <c r="R493" i="1"/>
  <c r="Q493" i="1"/>
  <c r="P493" i="1"/>
  <c r="O493" i="1"/>
  <c r="N493" i="1"/>
  <c r="L493" i="1"/>
  <c r="K493" i="1"/>
  <c r="J493" i="1"/>
  <c r="I493" i="1"/>
  <c r="H493" i="1"/>
  <c r="G493" i="1"/>
  <c r="F493" i="1"/>
  <c r="E493" i="1"/>
  <c r="D493" i="1"/>
  <c r="U492" i="1"/>
  <c r="S492" i="1"/>
  <c r="R492" i="1"/>
  <c r="Q492" i="1"/>
  <c r="P492" i="1"/>
  <c r="O492" i="1"/>
  <c r="N492" i="1"/>
  <c r="L492" i="1"/>
  <c r="K492" i="1"/>
  <c r="J492" i="1"/>
  <c r="I492" i="1"/>
  <c r="H492" i="1"/>
  <c r="G492" i="1"/>
  <c r="F492" i="1"/>
  <c r="E492" i="1"/>
  <c r="D492" i="1"/>
  <c r="U491" i="1"/>
  <c r="S491" i="1"/>
  <c r="R491" i="1"/>
  <c r="Q491" i="1"/>
  <c r="P491" i="1"/>
  <c r="O491" i="1"/>
  <c r="N491" i="1"/>
  <c r="L491" i="1"/>
  <c r="K491" i="1"/>
  <c r="J491" i="1"/>
  <c r="I491" i="1"/>
  <c r="H491" i="1"/>
  <c r="G491" i="1"/>
  <c r="F491" i="1"/>
  <c r="E491" i="1"/>
  <c r="D491" i="1"/>
  <c r="U490" i="1"/>
  <c r="S490" i="1"/>
  <c r="R490" i="1"/>
  <c r="Q490" i="1"/>
  <c r="P490" i="1"/>
  <c r="O490" i="1"/>
  <c r="N490" i="1"/>
  <c r="L490" i="1"/>
  <c r="K490" i="1"/>
  <c r="J490" i="1"/>
  <c r="I490" i="1"/>
  <c r="H490" i="1"/>
  <c r="G490" i="1"/>
  <c r="F490" i="1"/>
  <c r="E490" i="1"/>
  <c r="D490" i="1"/>
  <c r="U489" i="1"/>
  <c r="S489" i="1"/>
  <c r="R489" i="1"/>
  <c r="Q489" i="1"/>
  <c r="P489" i="1"/>
  <c r="O489" i="1"/>
  <c r="N489" i="1"/>
  <c r="L489" i="1"/>
  <c r="K489" i="1"/>
  <c r="J489" i="1"/>
  <c r="I489" i="1"/>
  <c r="H489" i="1"/>
  <c r="G489" i="1"/>
  <c r="F489" i="1"/>
  <c r="E489" i="1"/>
  <c r="D489" i="1"/>
  <c r="U488" i="1"/>
  <c r="S488" i="1"/>
  <c r="R488" i="1"/>
  <c r="Q488" i="1"/>
  <c r="P488" i="1"/>
  <c r="O488" i="1"/>
  <c r="N488" i="1"/>
  <c r="L488" i="1"/>
  <c r="K488" i="1"/>
  <c r="J488" i="1"/>
  <c r="I488" i="1"/>
  <c r="H488" i="1"/>
  <c r="G488" i="1"/>
  <c r="F488" i="1"/>
  <c r="E488" i="1"/>
  <c r="D488" i="1"/>
  <c r="U487" i="1"/>
  <c r="S487" i="1"/>
  <c r="R487" i="1"/>
  <c r="Q487" i="1"/>
  <c r="P487" i="1"/>
  <c r="O487" i="1"/>
  <c r="N487" i="1"/>
  <c r="L487" i="1"/>
  <c r="K487" i="1"/>
  <c r="J487" i="1"/>
  <c r="I487" i="1"/>
  <c r="H487" i="1"/>
  <c r="G487" i="1"/>
  <c r="F487" i="1"/>
  <c r="E487" i="1"/>
  <c r="D487" i="1"/>
  <c r="U486" i="1"/>
  <c r="S486" i="1"/>
  <c r="R486" i="1"/>
  <c r="Q486" i="1"/>
  <c r="P486" i="1"/>
  <c r="O486" i="1"/>
  <c r="N486" i="1"/>
  <c r="L486" i="1"/>
  <c r="K486" i="1"/>
  <c r="J486" i="1"/>
  <c r="I486" i="1"/>
  <c r="H486" i="1"/>
  <c r="G486" i="1"/>
  <c r="F486" i="1"/>
  <c r="E486" i="1"/>
  <c r="D486" i="1"/>
  <c r="U485" i="1"/>
  <c r="S485" i="1"/>
  <c r="R485" i="1"/>
  <c r="Q485" i="1"/>
  <c r="P485" i="1"/>
  <c r="O485" i="1"/>
  <c r="N485" i="1"/>
  <c r="L485" i="1"/>
  <c r="K485" i="1"/>
  <c r="J485" i="1"/>
  <c r="I485" i="1"/>
  <c r="H485" i="1"/>
  <c r="G485" i="1"/>
  <c r="F485" i="1"/>
  <c r="E485" i="1"/>
  <c r="D485" i="1"/>
  <c r="U484" i="1"/>
  <c r="S484" i="1"/>
  <c r="R484" i="1"/>
  <c r="Q484" i="1"/>
  <c r="P484" i="1"/>
  <c r="O484" i="1"/>
  <c r="N484" i="1"/>
  <c r="L484" i="1"/>
  <c r="K484" i="1"/>
  <c r="J484" i="1"/>
  <c r="I484" i="1"/>
  <c r="H484" i="1"/>
  <c r="G484" i="1"/>
  <c r="F484" i="1"/>
  <c r="E484" i="1"/>
  <c r="D484" i="1"/>
  <c r="U483" i="1"/>
  <c r="S483" i="1"/>
  <c r="R483" i="1"/>
  <c r="Q483" i="1"/>
  <c r="P483" i="1"/>
  <c r="O483" i="1"/>
  <c r="N483" i="1"/>
  <c r="L483" i="1"/>
  <c r="K483" i="1"/>
  <c r="J483" i="1"/>
  <c r="I483" i="1"/>
  <c r="H483" i="1"/>
  <c r="G483" i="1"/>
  <c r="F483" i="1"/>
  <c r="E483" i="1"/>
  <c r="D483" i="1"/>
  <c r="U482" i="1"/>
  <c r="S482" i="1"/>
  <c r="R482" i="1"/>
  <c r="Q482" i="1"/>
  <c r="P482" i="1"/>
  <c r="O482" i="1"/>
  <c r="N482" i="1"/>
  <c r="L482" i="1"/>
  <c r="K482" i="1"/>
  <c r="J482" i="1"/>
  <c r="I482" i="1"/>
  <c r="H482" i="1"/>
  <c r="G482" i="1"/>
  <c r="F482" i="1"/>
  <c r="E482" i="1"/>
  <c r="D482" i="1"/>
  <c r="U481" i="1"/>
  <c r="S481" i="1"/>
  <c r="R481" i="1"/>
  <c r="Q481" i="1"/>
  <c r="P481" i="1"/>
  <c r="O481" i="1"/>
  <c r="N481" i="1"/>
  <c r="L481" i="1"/>
  <c r="K481" i="1"/>
  <c r="J481" i="1"/>
  <c r="I481" i="1"/>
  <c r="H481" i="1"/>
  <c r="G481" i="1"/>
  <c r="F481" i="1"/>
  <c r="E481" i="1"/>
  <c r="D481" i="1"/>
  <c r="U480" i="1"/>
  <c r="S480" i="1"/>
  <c r="R480" i="1"/>
  <c r="Q480" i="1"/>
  <c r="P480" i="1"/>
  <c r="O480" i="1"/>
  <c r="N480" i="1"/>
  <c r="L480" i="1"/>
  <c r="K480" i="1"/>
  <c r="J480" i="1"/>
  <c r="I480" i="1"/>
  <c r="H480" i="1"/>
  <c r="G480" i="1"/>
  <c r="F480" i="1"/>
  <c r="E480" i="1"/>
  <c r="D480" i="1"/>
  <c r="U479" i="1"/>
  <c r="S479" i="1"/>
  <c r="R479" i="1"/>
  <c r="Q479" i="1"/>
  <c r="P479" i="1"/>
  <c r="O479" i="1"/>
  <c r="N479" i="1"/>
  <c r="L479" i="1"/>
  <c r="K479" i="1"/>
  <c r="J479" i="1"/>
  <c r="I479" i="1"/>
  <c r="H479" i="1"/>
  <c r="G479" i="1"/>
  <c r="F479" i="1"/>
  <c r="E479" i="1"/>
  <c r="D479" i="1"/>
  <c r="U478" i="1"/>
  <c r="S478" i="1"/>
  <c r="R478" i="1"/>
  <c r="Q478" i="1"/>
  <c r="P478" i="1"/>
  <c r="O478" i="1"/>
  <c r="N478" i="1"/>
  <c r="L478" i="1"/>
  <c r="K478" i="1"/>
  <c r="J478" i="1"/>
  <c r="I478" i="1"/>
  <c r="H478" i="1"/>
  <c r="G478" i="1"/>
  <c r="F478" i="1"/>
  <c r="E478" i="1"/>
  <c r="D478" i="1"/>
  <c r="U477" i="1"/>
  <c r="S477" i="1"/>
  <c r="R477" i="1"/>
  <c r="Q477" i="1"/>
  <c r="P477" i="1"/>
  <c r="O477" i="1"/>
  <c r="N477" i="1"/>
  <c r="L477" i="1"/>
  <c r="K477" i="1"/>
  <c r="J477" i="1"/>
  <c r="I477" i="1"/>
  <c r="H477" i="1"/>
  <c r="G477" i="1"/>
  <c r="F477" i="1"/>
  <c r="E477" i="1"/>
  <c r="D477" i="1"/>
  <c r="U476" i="1"/>
  <c r="S476" i="1"/>
  <c r="R476" i="1"/>
  <c r="Q476" i="1"/>
  <c r="P476" i="1"/>
  <c r="O476" i="1"/>
  <c r="N476" i="1"/>
  <c r="L476" i="1"/>
  <c r="K476" i="1"/>
  <c r="J476" i="1"/>
  <c r="I476" i="1"/>
  <c r="H476" i="1"/>
  <c r="G476" i="1"/>
  <c r="F476" i="1"/>
  <c r="E476" i="1"/>
  <c r="D476" i="1"/>
  <c r="U475" i="1"/>
  <c r="S475" i="1"/>
  <c r="R475" i="1"/>
  <c r="Q475" i="1"/>
  <c r="P475" i="1"/>
  <c r="O475" i="1"/>
  <c r="N475" i="1"/>
  <c r="L475" i="1"/>
  <c r="K475" i="1"/>
  <c r="J475" i="1"/>
  <c r="I475" i="1"/>
  <c r="H475" i="1"/>
  <c r="G475" i="1"/>
  <c r="F475" i="1"/>
  <c r="E475" i="1"/>
  <c r="D475" i="1"/>
  <c r="U474" i="1"/>
  <c r="S474" i="1"/>
  <c r="R474" i="1"/>
  <c r="Q474" i="1"/>
  <c r="P474" i="1"/>
  <c r="O474" i="1"/>
  <c r="N474" i="1"/>
  <c r="L474" i="1"/>
  <c r="K474" i="1"/>
  <c r="J474" i="1"/>
  <c r="I474" i="1"/>
  <c r="H474" i="1"/>
  <c r="G474" i="1"/>
  <c r="F474" i="1"/>
  <c r="E474" i="1"/>
  <c r="D474" i="1"/>
  <c r="U473" i="1"/>
  <c r="S473" i="1"/>
  <c r="R473" i="1"/>
  <c r="Q473" i="1"/>
  <c r="P473" i="1"/>
  <c r="O473" i="1"/>
  <c r="N473" i="1"/>
  <c r="L473" i="1"/>
  <c r="K473" i="1"/>
  <c r="J473" i="1"/>
  <c r="I473" i="1"/>
  <c r="H473" i="1"/>
  <c r="G473" i="1"/>
  <c r="F473" i="1"/>
  <c r="E473" i="1"/>
  <c r="D473" i="1"/>
  <c r="U472" i="1"/>
  <c r="S472" i="1"/>
  <c r="R472" i="1"/>
  <c r="Q472" i="1"/>
  <c r="P472" i="1"/>
  <c r="O472" i="1"/>
  <c r="N472" i="1"/>
  <c r="L472" i="1"/>
  <c r="K472" i="1"/>
  <c r="J472" i="1"/>
  <c r="I472" i="1"/>
  <c r="H472" i="1"/>
  <c r="G472" i="1"/>
  <c r="F472" i="1"/>
  <c r="E472" i="1"/>
  <c r="D472" i="1"/>
  <c r="U471" i="1"/>
  <c r="S471" i="1"/>
  <c r="R471" i="1"/>
  <c r="Q471" i="1"/>
  <c r="P471" i="1"/>
  <c r="O471" i="1"/>
  <c r="N471" i="1"/>
  <c r="L471" i="1"/>
  <c r="K471" i="1"/>
  <c r="J471" i="1"/>
  <c r="I471" i="1"/>
  <c r="H471" i="1"/>
  <c r="G471" i="1"/>
  <c r="F471" i="1"/>
  <c r="E471" i="1"/>
  <c r="D471" i="1"/>
  <c r="U470" i="1"/>
  <c r="S470" i="1"/>
  <c r="R470" i="1"/>
  <c r="Q470" i="1"/>
  <c r="P470" i="1"/>
  <c r="O470" i="1"/>
  <c r="N470" i="1"/>
  <c r="L470" i="1"/>
  <c r="K470" i="1"/>
  <c r="J470" i="1"/>
  <c r="I470" i="1"/>
  <c r="H470" i="1"/>
  <c r="G470" i="1"/>
  <c r="F470" i="1"/>
  <c r="E470" i="1"/>
  <c r="D470" i="1"/>
  <c r="U469" i="1"/>
  <c r="S469" i="1"/>
  <c r="R469" i="1"/>
  <c r="Q469" i="1"/>
  <c r="P469" i="1"/>
  <c r="O469" i="1"/>
  <c r="N469" i="1"/>
  <c r="L469" i="1"/>
  <c r="K469" i="1"/>
  <c r="J469" i="1"/>
  <c r="I469" i="1"/>
  <c r="H469" i="1"/>
  <c r="G469" i="1"/>
  <c r="F469" i="1"/>
  <c r="E469" i="1"/>
  <c r="D469" i="1"/>
  <c r="U468" i="1"/>
  <c r="S468" i="1"/>
  <c r="R468" i="1"/>
  <c r="Q468" i="1"/>
  <c r="P468" i="1"/>
  <c r="O468" i="1"/>
  <c r="N468" i="1"/>
  <c r="L468" i="1"/>
  <c r="K468" i="1"/>
  <c r="J468" i="1"/>
  <c r="I468" i="1"/>
  <c r="H468" i="1"/>
  <c r="G468" i="1"/>
  <c r="F468" i="1"/>
  <c r="E468" i="1"/>
  <c r="D468" i="1"/>
  <c r="U467" i="1"/>
  <c r="S467" i="1"/>
  <c r="R467" i="1"/>
  <c r="Q467" i="1"/>
  <c r="P467" i="1"/>
  <c r="O467" i="1"/>
  <c r="N467" i="1"/>
  <c r="L467" i="1"/>
  <c r="K467" i="1"/>
  <c r="J467" i="1"/>
  <c r="I467" i="1"/>
  <c r="H467" i="1"/>
  <c r="G467" i="1"/>
  <c r="F467" i="1"/>
  <c r="E467" i="1"/>
  <c r="D467" i="1"/>
  <c r="U466" i="1"/>
  <c r="S466" i="1"/>
  <c r="R466" i="1"/>
  <c r="Q466" i="1"/>
  <c r="P466" i="1"/>
  <c r="O466" i="1"/>
  <c r="N466" i="1"/>
  <c r="L466" i="1"/>
  <c r="K466" i="1"/>
  <c r="J466" i="1"/>
  <c r="I466" i="1"/>
  <c r="H466" i="1"/>
  <c r="G466" i="1"/>
  <c r="F466" i="1"/>
  <c r="E466" i="1"/>
  <c r="D466" i="1"/>
  <c r="U465" i="1"/>
  <c r="S465" i="1"/>
  <c r="R465" i="1"/>
  <c r="Q465" i="1"/>
  <c r="P465" i="1"/>
  <c r="O465" i="1"/>
  <c r="N465" i="1"/>
  <c r="L465" i="1"/>
  <c r="K465" i="1"/>
  <c r="J465" i="1"/>
  <c r="I465" i="1"/>
  <c r="H465" i="1"/>
  <c r="G465" i="1"/>
  <c r="F465" i="1"/>
  <c r="E465" i="1"/>
  <c r="D465" i="1"/>
  <c r="U464" i="1"/>
  <c r="S464" i="1"/>
  <c r="R464" i="1"/>
  <c r="Q464" i="1"/>
  <c r="P464" i="1"/>
  <c r="O464" i="1"/>
  <c r="N464" i="1"/>
  <c r="L464" i="1"/>
  <c r="K464" i="1"/>
  <c r="J464" i="1"/>
  <c r="I464" i="1"/>
  <c r="H464" i="1"/>
  <c r="G464" i="1"/>
  <c r="F464" i="1"/>
  <c r="E464" i="1"/>
  <c r="D464" i="1"/>
  <c r="U463" i="1"/>
  <c r="S463" i="1"/>
  <c r="R463" i="1"/>
  <c r="Q463" i="1"/>
  <c r="P463" i="1"/>
  <c r="O463" i="1"/>
  <c r="N463" i="1"/>
  <c r="L463" i="1"/>
  <c r="K463" i="1"/>
  <c r="J463" i="1"/>
  <c r="I463" i="1"/>
  <c r="H463" i="1"/>
  <c r="G463" i="1"/>
  <c r="F463" i="1"/>
  <c r="E463" i="1"/>
  <c r="D463" i="1"/>
  <c r="U462" i="1"/>
  <c r="S462" i="1"/>
  <c r="R462" i="1"/>
  <c r="Q462" i="1"/>
  <c r="P462" i="1"/>
  <c r="O462" i="1"/>
  <c r="N462" i="1"/>
  <c r="L462" i="1"/>
  <c r="K462" i="1"/>
  <c r="J462" i="1"/>
  <c r="I462" i="1"/>
  <c r="H462" i="1"/>
  <c r="G462" i="1"/>
  <c r="F462" i="1"/>
  <c r="E462" i="1"/>
  <c r="D462" i="1"/>
  <c r="U461" i="1"/>
  <c r="S461" i="1"/>
  <c r="R461" i="1"/>
  <c r="Q461" i="1"/>
  <c r="P461" i="1"/>
  <c r="O461" i="1"/>
  <c r="N461" i="1"/>
  <c r="L461" i="1"/>
  <c r="K461" i="1"/>
  <c r="J461" i="1"/>
  <c r="I461" i="1"/>
  <c r="H461" i="1"/>
  <c r="G461" i="1"/>
  <c r="F461" i="1"/>
  <c r="E461" i="1"/>
  <c r="D461" i="1"/>
  <c r="U460" i="1"/>
  <c r="S460" i="1"/>
  <c r="R460" i="1"/>
  <c r="Q460" i="1"/>
  <c r="P460" i="1"/>
  <c r="O460" i="1"/>
  <c r="N460" i="1"/>
  <c r="L460" i="1"/>
  <c r="K460" i="1"/>
  <c r="J460" i="1"/>
  <c r="I460" i="1"/>
  <c r="H460" i="1"/>
  <c r="G460" i="1"/>
  <c r="F460" i="1"/>
  <c r="E460" i="1"/>
  <c r="D460" i="1"/>
  <c r="U459" i="1"/>
  <c r="S459" i="1"/>
  <c r="R459" i="1"/>
  <c r="Q459" i="1"/>
  <c r="P459" i="1"/>
  <c r="O459" i="1"/>
  <c r="N459" i="1"/>
  <c r="L459" i="1"/>
  <c r="K459" i="1"/>
  <c r="J459" i="1"/>
  <c r="I459" i="1"/>
  <c r="H459" i="1"/>
  <c r="G459" i="1"/>
  <c r="F459" i="1"/>
  <c r="E459" i="1"/>
  <c r="D459" i="1"/>
  <c r="U458" i="1"/>
  <c r="S458" i="1"/>
  <c r="R458" i="1"/>
  <c r="Q458" i="1"/>
  <c r="P458" i="1"/>
  <c r="O458" i="1"/>
  <c r="N458" i="1"/>
  <c r="L458" i="1"/>
  <c r="K458" i="1"/>
  <c r="J458" i="1"/>
  <c r="I458" i="1"/>
  <c r="H458" i="1"/>
  <c r="G458" i="1"/>
  <c r="F458" i="1"/>
  <c r="E458" i="1"/>
  <c r="D458" i="1"/>
  <c r="U457" i="1"/>
  <c r="S457" i="1"/>
  <c r="R457" i="1"/>
  <c r="Q457" i="1"/>
  <c r="P457" i="1"/>
  <c r="O457" i="1"/>
  <c r="N457" i="1"/>
  <c r="L457" i="1"/>
  <c r="K457" i="1"/>
  <c r="J457" i="1"/>
  <c r="I457" i="1"/>
  <c r="H457" i="1"/>
  <c r="G457" i="1"/>
  <c r="F457" i="1"/>
  <c r="E457" i="1"/>
  <c r="D457" i="1"/>
  <c r="U456" i="1"/>
  <c r="S456" i="1"/>
  <c r="R456" i="1"/>
  <c r="Q456" i="1"/>
  <c r="P456" i="1"/>
  <c r="O456" i="1"/>
  <c r="N456" i="1"/>
  <c r="L456" i="1"/>
  <c r="K456" i="1"/>
  <c r="J456" i="1"/>
  <c r="I456" i="1"/>
  <c r="H456" i="1"/>
  <c r="G456" i="1"/>
  <c r="F456" i="1"/>
  <c r="E456" i="1"/>
  <c r="D456" i="1"/>
  <c r="U455" i="1"/>
  <c r="S455" i="1"/>
  <c r="R455" i="1"/>
  <c r="Q455" i="1"/>
  <c r="P455" i="1"/>
  <c r="O455" i="1"/>
  <c r="N455" i="1"/>
  <c r="L455" i="1"/>
  <c r="K455" i="1"/>
  <c r="J455" i="1"/>
  <c r="I455" i="1"/>
  <c r="H455" i="1"/>
  <c r="G455" i="1"/>
  <c r="F455" i="1"/>
  <c r="E455" i="1"/>
  <c r="D455" i="1"/>
  <c r="U454" i="1"/>
  <c r="S454" i="1"/>
  <c r="R454" i="1"/>
  <c r="Q454" i="1"/>
  <c r="P454" i="1"/>
  <c r="O454" i="1"/>
  <c r="N454" i="1"/>
  <c r="L454" i="1"/>
  <c r="K454" i="1"/>
  <c r="J454" i="1"/>
  <c r="I454" i="1"/>
  <c r="H454" i="1"/>
  <c r="G454" i="1"/>
  <c r="F454" i="1"/>
  <c r="E454" i="1"/>
  <c r="D454" i="1"/>
  <c r="U453" i="1"/>
  <c r="S453" i="1"/>
  <c r="R453" i="1"/>
  <c r="Q453" i="1"/>
  <c r="P453" i="1"/>
  <c r="O453" i="1"/>
  <c r="N453" i="1"/>
  <c r="L453" i="1"/>
  <c r="K453" i="1"/>
  <c r="J453" i="1"/>
  <c r="I453" i="1"/>
  <c r="H453" i="1"/>
  <c r="G453" i="1"/>
  <c r="F453" i="1"/>
  <c r="E453" i="1"/>
  <c r="D453" i="1"/>
  <c r="U452" i="1"/>
  <c r="S452" i="1"/>
  <c r="R452" i="1"/>
  <c r="Q452" i="1"/>
  <c r="P452" i="1"/>
  <c r="O452" i="1"/>
  <c r="N452" i="1"/>
  <c r="L452" i="1"/>
  <c r="K452" i="1"/>
  <c r="J452" i="1"/>
  <c r="I452" i="1"/>
  <c r="H452" i="1"/>
  <c r="G452" i="1"/>
  <c r="F452" i="1"/>
  <c r="E452" i="1"/>
  <c r="D452" i="1"/>
  <c r="U451" i="1"/>
  <c r="S451" i="1"/>
  <c r="R451" i="1"/>
  <c r="Q451" i="1"/>
  <c r="P451" i="1"/>
  <c r="O451" i="1"/>
  <c r="N451" i="1"/>
  <c r="L451" i="1"/>
  <c r="K451" i="1"/>
  <c r="J451" i="1"/>
  <c r="I451" i="1"/>
  <c r="H451" i="1"/>
  <c r="G451" i="1"/>
  <c r="F451" i="1"/>
  <c r="E451" i="1"/>
  <c r="D451" i="1"/>
  <c r="U450" i="1"/>
  <c r="S450" i="1"/>
  <c r="R450" i="1"/>
  <c r="Q450" i="1"/>
  <c r="P450" i="1"/>
  <c r="O450" i="1"/>
  <c r="N450" i="1"/>
  <c r="L450" i="1"/>
  <c r="K450" i="1"/>
  <c r="J450" i="1"/>
  <c r="I450" i="1"/>
  <c r="H450" i="1"/>
  <c r="G450" i="1"/>
  <c r="F450" i="1"/>
  <c r="E450" i="1"/>
  <c r="D450" i="1"/>
  <c r="U449" i="1"/>
  <c r="S449" i="1"/>
  <c r="R449" i="1"/>
  <c r="Q449" i="1"/>
  <c r="P449" i="1"/>
  <c r="O449" i="1"/>
  <c r="N449" i="1"/>
  <c r="L449" i="1"/>
  <c r="K449" i="1"/>
  <c r="J449" i="1"/>
  <c r="I449" i="1"/>
  <c r="H449" i="1"/>
  <c r="G449" i="1"/>
  <c r="F449" i="1"/>
  <c r="E449" i="1"/>
  <c r="D449" i="1"/>
  <c r="U448" i="1"/>
  <c r="S448" i="1"/>
  <c r="R448" i="1"/>
  <c r="Q448" i="1"/>
  <c r="P448" i="1"/>
  <c r="O448" i="1"/>
  <c r="N448" i="1"/>
  <c r="L448" i="1"/>
  <c r="K448" i="1"/>
  <c r="J448" i="1"/>
  <c r="I448" i="1"/>
  <c r="H448" i="1"/>
  <c r="G448" i="1"/>
  <c r="F448" i="1"/>
  <c r="E448" i="1"/>
  <c r="D448" i="1"/>
  <c r="U447" i="1"/>
  <c r="S447" i="1"/>
  <c r="R447" i="1"/>
  <c r="Q447" i="1"/>
  <c r="P447" i="1"/>
  <c r="O447" i="1"/>
  <c r="N447" i="1"/>
  <c r="L447" i="1"/>
  <c r="K447" i="1"/>
  <c r="J447" i="1"/>
  <c r="I447" i="1"/>
  <c r="H447" i="1"/>
  <c r="G447" i="1"/>
  <c r="F447" i="1"/>
  <c r="E447" i="1"/>
  <c r="D447" i="1"/>
  <c r="U446" i="1"/>
  <c r="S446" i="1"/>
  <c r="R446" i="1"/>
  <c r="Q446" i="1"/>
  <c r="P446" i="1"/>
  <c r="O446" i="1"/>
  <c r="N446" i="1"/>
  <c r="L446" i="1"/>
  <c r="K446" i="1"/>
  <c r="J446" i="1"/>
  <c r="I446" i="1"/>
  <c r="H446" i="1"/>
  <c r="G446" i="1"/>
  <c r="F446" i="1"/>
  <c r="E446" i="1"/>
  <c r="D446" i="1"/>
  <c r="U445" i="1"/>
  <c r="S445" i="1"/>
  <c r="R445" i="1"/>
  <c r="Q445" i="1"/>
  <c r="P445" i="1"/>
  <c r="O445" i="1"/>
  <c r="N445" i="1"/>
  <c r="L445" i="1"/>
  <c r="K445" i="1"/>
  <c r="J445" i="1"/>
  <c r="I445" i="1"/>
  <c r="H445" i="1"/>
  <c r="G445" i="1"/>
  <c r="F445" i="1"/>
  <c r="E445" i="1"/>
  <c r="D445" i="1"/>
  <c r="U444" i="1"/>
  <c r="S444" i="1"/>
  <c r="R444" i="1"/>
  <c r="Q444" i="1"/>
  <c r="P444" i="1"/>
  <c r="O444" i="1"/>
  <c r="N444" i="1"/>
  <c r="L444" i="1"/>
  <c r="K444" i="1"/>
  <c r="J444" i="1"/>
  <c r="I444" i="1"/>
  <c r="H444" i="1"/>
  <c r="G444" i="1"/>
  <c r="F444" i="1"/>
  <c r="E444" i="1"/>
  <c r="D444" i="1"/>
  <c r="U443" i="1"/>
  <c r="S443" i="1"/>
  <c r="R443" i="1"/>
  <c r="Q443" i="1"/>
  <c r="P443" i="1"/>
  <c r="O443" i="1"/>
  <c r="N443" i="1"/>
  <c r="L443" i="1"/>
  <c r="K443" i="1"/>
  <c r="J443" i="1"/>
  <c r="I443" i="1"/>
  <c r="H443" i="1"/>
  <c r="G443" i="1"/>
  <c r="F443" i="1"/>
  <c r="E443" i="1"/>
  <c r="D443" i="1"/>
  <c r="U442" i="1"/>
  <c r="S442" i="1"/>
  <c r="R442" i="1"/>
  <c r="Q442" i="1"/>
  <c r="P442" i="1"/>
  <c r="O442" i="1"/>
  <c r="N442" i="1"/>
  <c r="L442" i="1"/>
  <c r="K442" i="1"/>
  <c r="J442" i="1"/>
  <c r="I442" i="1"/>
  <c r="H442" i="1"/>
  <c r="G442" i="1"/>
  <c r="F442" i="1"/>
  <c r="E442" i="1"/>
  <c r="D442" i="1"/>
  <c r="U441" i="1"/>
  <c r="S441" i="1"/>
  <c r="R441" i="1"/>
  <c r="Q441" i="1"/>
  <c r="P441" i="1"/>
  <c r="O441" i="1"/>
  <c r="N441" i="1"/>
  <c r="L441" i="1"/>
  <c r="K441" i="1"/>
  <c r="J441" i="1"/>
  <c r="I441" i="1"/>
  <c r="H441" i="1"/>
  <c r="G441" i="1"/>
  <c r="F441" i="1"/>
  <c r="E441" i="1"/>
  <c r="D441" i="1"/>
  <c r="U440" i="1"/>
  <c r="S440" i="1"/>
  <c r="R440" i="1"/>
  <c r="Q440" i="1"/>
  <c r="P440" i="1"/>
  <c r="O440" i="1"/>
  <c r="N440" i="1"/>
  <c r="L440" i="1"/>
  <c r="K440" i="1"/>
  <c r="J440" i="1"/>
  <c r="I440" i="1"/>
  <c r="H440" i="1"/>
  <c r="G440" i="1"/>
  <c r="F440" i="1"/>
  <c r="E440" i="1"/>
  <c r="D440" i="1"/>
  <c r="U439" i="1"/>
  <c r="S439" i="1"/>
  <c r="R439" i="1"/>
  <c r="Q439" i="1"/>
  <c r="P439" i="1"/>
  <c r="O439" i="1"/>
  <c r="N439" i="1"/>
  <c r="L439" i="1"/>
  <c r="K439" i="1"/>
  <c r="J439" i="1"/>
  <c r="I439" i="1"/>
  <c r="H439" i="1"/>
  <c r="G439" i="1"/>
  <c r="F439" i="1"/>
  <c r="E439" i="1"/>
  <c r="D439" i="1"/>
  <c r="U438" i="1"/>
  <c r="S438" i="1"/>
  <c r="R438" i="1"/>
  <c r="Q438" i="1"/>
  <c r="P438" i="1"/>
  <c r="O438" i="1"/>
  <c r="N438" i="1"/>
  <c r="L438" i="1"/>
  <c r="K438" i="1"/>
  <c r="J438" i="1"/>
  <c r="I438" i="1"/>
  <c r="H438" i="1"/>
  <c r="G438" i="1"/>
  <c r="F438" i="1"/>
  <c r="E438" i="1"/>
  <c r="D438" i="1"/>
  <c r="U437" i="1"/>
  <c r="L437" i="1"/>
  <c r="K437" i="1"/>
  <c r="J437" i="1"/>
  <c r="I437" i="1"/>
  <c r="H437" i="1"/>
  <c r="G437" i="1"/>
  <c r="F437" i="1"/>
  <c r="E437" i="1"/>
  <c r="D437" i="1"/>
  <c r="U436" i="1"/>
  <c r="L436" i="1"/>
  <c r="K436" i="1"/>
  <c r="J436" i="1"/>
  <c r="I436" i="1"/>
  <c r="H436" i="1"/>
  <c r="G436" i="1"/>
  <c r="F436" i="1"/>
  <c r="E436" i="1"/>
  <c r="D436" i="1"/>
  <c r="U435" i="1"/>
  <c r="L435" i="1"/>
  <c r="K435" i="1"/>
  <c r="J435" i="1"/>
  <c r="I435" i="1"/>
  <c r="H435" i="1"/>
  <c r="G435" i="1"/>
  <c r="F435" i="1"/>
  <c r="E435" i="1"/>
  <c r="D435" i="1"/>
  <c r="U434" i="1"/>
  <c r="L434" i="1"/>
  <c r="K434" i="1"/>
  <c r="J434" i="1"/>
  <c r="I434" i="1"/>
  <c r="H434" i="1"/>
  <c r="G434" i="1"/>
  <c r="F434" i="1"/>
  <c r="E434" i="1"/>
  <c r="D434" i="1"/>
  <c r="U433" i="1"/>
  <c r="L433" i="1"/>
  <c r="K433" i="1"/>
  <c r="J433" i="1"/>
  <c r="I433" i="1"/>
  <c r="H433" i="1"/>
  <c r="G433" i="1"/>
  <c r="F433" i="1"/>
  <c r="E433" i="1"/>
  <c r="D433" i="1"/>
  <c r="U432" i="1"/>
  <c r="L432" i="1"/>
  <c r="K432" i="1"/>
  <c r="J432" i="1"/>
  <c r="I432" i="1"/>
  <c r="H432" i="1"/>
  <c r="G432" i="1"/>
  <c r="F432" i="1"/>
  <c r="E432" i="1"/>
  <c r="D432" i="1"/>
  <c r="U431" i="1"/>
  <c r="L431" i="1"/>
  <c r="K431" i="1"/>
  <c r="J431" i="1"/>
  <c r="I431" i="1"/>
  <c r="H431" i="1"/>
  <c r="G431" i="1"/>
  <c r="F431" i="1"/>
  <c r="E431" i="1"/>
  <c r="D431" i="1"/>
  <c r="U430" i="1"/>
  <c r="L430" i="1"/>
  <c r="K430" i="1"/>
  <c r="J430" i="1"/>
  <c r="I430" i="1"/>
  <c r="H430" i="1"/>
  <c r="G430" i="1"/>
  <c r="F430" i="1"/>
  <c r="E430" i="1"/>
  <c r="D430" i="1"/>
  <c r="U429" i="1"/>
  <c r="L429" i="1"/>
  <c r="K429" i="1"/>
  <c r="J429" i="1"/>
  <c r="I429" i="1"/>
  <c r="H429" i="1"/>
  <c r="G429" i="1"/>
  <c r="F429" i="1"/>
  <c r="E429" i="1"/>
  <c r="D429" i="1"/>
  <c r="U428" i="1"/>
  <c r="L428" i="1"/>
  <c r="K428" i="1"/>
  <c r="J428" i="1"/>
  <c r="I428" i="1"/>
  <c r="H428" i="1"/>
  <c r="G428" i="1"/>
  <c r="F428" i="1"/>
  <c r="E428" i="1"/>
  <c r="D428" i="1"/>
  <c r="U427" i="1"/>
  <c r="L427" i="1"/>
  <c r="K427" i="1"/>
  <c r="J427" i="1"/>
  <c r="I427" i="1"/>
  <c r="H427" i="1"/>
  <c r="G427" i="1"/>
  <c r="F427" i="1"/>
  <c r="E427" i="1"/>
  <c r="D427" i="1"/>
  <c r="U426" i="1"/>
  <c r="L426" i="1"/>
  <c r="K426" i="1"/>
  <c r="J426" i="1"/>
  <c r="I426" i="1"/>
  <c r="H426" i="1"/>
  <c r="G426" i="1"/>
  <c r="F426" i="1"/>
  <c r="E426" i="1"/>
  <c r="D426" i="1"/>
  <c r="U425" i="1"/>
  <c r="L425" i="1"/>
  <c r="K425" i="1"/>
  <c r="J425" i="1"/>
  <c r="I425" i="1"/>
  <c r="H425" i="1"/>
  <c r="G425" i="1"/>
  <c r="F425" i="1"/>
  <c r="E425" i="1"/>
  <c r="D425" i="1"/>
  <c r="U424" i="1"/>
  <c r="L424" i="1"/>
  <c r="K424" i="1"/>
  <c r="J424" i="1"/>
  <c r="I424" i="1"/>
  <c r="H424" i="1"/>
  <c r="G424" i="1"/>
  <c r="F424" i="1"/>
  <c r="E424" i="1"/>
  <c r="D424" i="1"/>
  <c r="U423" i="1"/>
  <c r="L423" i="1"/>
  <c r="K423" i="1"/>
  <c r="J423" i="1"/>
  <c r="I423" i="1"/>
  <c r="H423" i="1"/>
  <c r="G423" i="1"/>
  <c r="F423" i="1"/>
  <c r="E423" i="1"/>
  <c r="D423" i="1"/>
  <c r="U422" i="1"/>
  <c r="L422" i="1"/>
  <c r="K422" i="1"/>
  <c r="J422" i="1"/>
  <c r="I422" i="1"/>
  <c r="H422" i="1"/>
  <c r="G422" i="1"/>
  <c r="F422" i="1"/>
  <c r="E422" i="1"/>
  <c r="D422" i="1"/>
  <c r="U421" i="1"/>
  <c r="L421" i="1"/>
  <c r="K421" i="1"/>
  <c r="J421" i="1"/>
  <c r="I421" i="1"/>
  <c r="H421" i="1"/>
  <c r="G421" i="1"/>
  <c r="F421" i="1"/>
  <c r="E421" i="1"/>
  <c r="D421" i="1"/>
  <c r="U420" i="1"/>
  <c r="L420" i="1"/>
  <c r="K420" i="1"/>
  <c r="J420" i="1"/>
  <c r="I420" i="1"/>
  <c r="H420" i="1"/>
  <c r="G420" i="1"/>
  <c r="F420" i="1"/>
  <c r="E420" i="1"/>
  <c r="D420" i="1"/>
  <c r="U419" i="1"/>
  <c r="L419" i="1"/>
  <c r="K419" i="1"/>
  <c r="J419" i="1"/>
  <c r="I419" i="1"/>
  <c r="H419" i="1"/>
  <c r="G419" i="1"/>
  <c r="F419" i="1"/>
  <c r="E419" i="1"/>
  <c r="D419" i="1"/>
  <c r="U418" i="1"/>
  <c r="L418" i="1"/>
  <c r="K418" i="1"/>
  <c r="J418" i="1"/>
  <c r="I418" i="1"/>
  <c r="H418" i="1"/>
  <c r="G418" i="1"/>
  <c r="F418" i="1"/>
  <c r="E418" i="1"/>
  <c r="D418" i="1"/>
  <c r="U417" i="1"/>
  <c r="L417" i="1"/>
  <c r="K417" i="1"/>
  <c r="J417" i="1"/>
  <c r="I417" i="1"/>
  <c r="H417" i="1"/>
  <c r="G417" i="1"/>
  <c r="F417" i="1"/>
  <c r="E417" i="1"/>
  <c r="D417" i="1"/>
  <c r="U416" i="1"/>
  <c r="L416" i="1"/>
  <c r="K416" i="1"/>
  <c r="J416" i="1"/>
  <c r="I416" i="1"/>
  <c r="H416" i="1"/>
  <c r="G416" i="1"/>
  <c r="F416" i="1"/>
  <c r="E416" i="1"/>
  <c r="D416" i="1"/>
  <c r="U415" i="1"/>
  <c r="L415" i="1"/>
  <c r="K415" i="1"/>
  <c r="J415" i="1"/>
  <c r="I415" i="1"/>
  <c r="H415" i="1"/>
  <c r="G415" i="1"/>
  <c r="F415" i="1"/>
  <c r="E415" i="1"/>
  <c r="D415" i="1"/>
  <c r="U414" i="1"/>
  <c r="L414" i="1"/>
  <c r="K414" i="1"/>
  <c r="J414" i="1"/>
  <c r="I414" i="1"/>
  <c r="H414" i="1"/>
  <c r="G414" i="1"/>
  <c r="F414" i="1"/>
  <c r="E414" i="1"/>
  <c r="D414" i="1"/>
  <c r="U413" i="1"/>
  <c r="S413" i="1"/>
  <c r="R413" i="1"/>
  <c r="Q413" i="1"/>
  <c r="P413" i="1"/>
  <c r="O413" i="1"/>
  <c r="N413" i="1"/>
  <c r="L413" i="1"/>
  <c r="K413" i="1"/>
  <c r="J413" i="1"/>
  <c r="I413" i="1"/>
  <c r="H413" i="1"/>
  <c r="G413" i="1"/>
  <c r="F413" i="1"/>
  <c r="E413" i="1"/>
  <c r="D413" i="1"/>
  <c r="U412" i="1"/>
  <c r="S412" i="1"/>
  <c r="R412" i="1"/>
  <c r="Q412" i="1"/>
  <c r="P412" i="1"/>
  <c r="O412" i="1"/>
  <c r="N412" i="1"/>
  <c r="L412" i="1"/>
  <c r="K412" i="1"/>
  <c r="J412" i="1"/>
  <c r="I412" i="1"/>
  <c r="H412" i="1"/>
  <c r="G412" i="1"/>
  <c r="F412" i="1"/>
  <c r="E412" i="1"/>
  <c r="D412" i="1"/>
  <c r="U411" i="1"/>
  <c r="S411" i="1"/>
  <c r="R411" i="1"/>
  <c r="Q411" i="1"/>
  <c r="P411" i="1"/>
  <c r="O411" i="1"/>
  <c r="N411" i="1"/>
  <c r="L411" i="1"/>
  <c r="K411" i="1"/>
  <c r="J411" i="1"/>
  <c r="I411" i="1"/>
  <c r="H411" i="1"/>
  <c r="G411" i="1"/>
  <c r="F411" i="1"/>
  <c r="E411" i="1"/>
  <c r="D411" i="1"/>
  <c r="U410" i="1"/>
  <c r="S410" i="1"/>
  <c r="R410" i="1"/>
  <c r="Q410" i="1"/>
  <c r="P410" i="1"/>
  <c r="O410" i="1"/>
  <c r="N410" i="1"/>
  <c r="L410" i="1"/>
  <c r="K410" i="1"/>
  <c r="J410" i="1"/>
  <c r="I410" i="1"/>
  <c r="H410" i="1"/>
  <c r="G410" i="1"/>
  <c r="F410" i="1"/>
  <c r="E410" i="1"/>
  <c r="D410" i="1"/>
  <c r="U409" i="1"/>
  <c r="S409" i="1"/>
  <c r="R409" i="1"/>
  <c r="Q409" i="1"/>
  <c r="P409" i="1"/>
  <c r="O409" i="1"/>
  <c r="N409" i="1"/>
  <c r="L409" i="1"/>
  <c r="K409" i="1"/>
  <c r="J409" i="1"/>
  <c r="I409" i="1"/>
  <c r="H409" i="1"/>
  <c r="G409" i="1"/>
  <c r="F409" i="1"/>
  <c r="E409" i="1"/>
  <c r="D409" i="1"/>
  <c r="U408" i="1"/>
  <c r="S408" i="1"/>
  <c r="R408" i="1"/>
  <c r="Q408" i="1"/>
  <c r="P408" i="1"/>
  <c r="O408" i="1"/>
  <c r="N408" i="1"/>
  <c r="L408" i="1"/>
  <c r="K408" i="1"/>
  <c r="J408" i="1"/>
  <c r="I408" i="1"/>
  <c r="H408" i="1"/>
  <c r="G408" i="1"/>
  <c r="F408" i="1"/>
  <c r="E408" i="1"/>
  <c r="D408" i="1"/>
  <c r="U407" i="1"/>
  <c r="S407" i="1"/>
  <c r="R407" i="1"/>
  <c r="Q407" i="1"/>
  <c r="P407" i="1"/>
  <c r="O407" i="1"/>
  <c r="N407" i="1"/>
  <c r="L407" i="1"/>
  <c r="K407" i="1"/>
  <c r="J407" i="1"/>
  <c r="I407" i="1"/>
  <c r="H407" i="1"/>
  <c r="G407" i="1"/>
  <c r="F407" i="1"/>
  <c r="E407" i="1"/>
  <c r="D407" i="1"/>
  <c r="U406" i="1"/>
  <c r="S406" i="1"/>
  <c r="R406" i="1"/>
  <c r="Q406" i="1"/>
  <c r="P406" i="1"/>
  <c r="O406" i="1"/>
  <c r="N406" i="1"/>
  <c r="L406" i="1"/>
  <c r="K406" i="1"/>
  <c r="J406" i="1"/>
  <c r="I406" i="1"/>
  <c r="H406" i="1"/>
  <c r="G406" i="1"/>
  <c r="F406" i="1"/>
  <c r="E406" i="1"/>
  <c r="D406" i="1"/>
  <c r="U405" i="1"/>
  <c r="S405" i="1"/>
  <c r="R405" i="1"/>
  <c r="Q405" i="1"/>
  <c r="P405" i="1"/>
  <c r="O405" i="1"/>
  <c r="N405" i="1"/>
  <c r="L405" i="1"/>
  <c r="K405" i="1"/>
  <c r="J405" i="1"/>
  <c r="I405" i="1"/>
  <c r="H405" i="1"/>
  <c r="G405" i="1"/>
  <c r="F405" i="1"/>
  <c r="E405" i="1"/>
  <c r="D405" i="1"/>
  <c r="U404" i="1"/>
  <c r="S404" i="1"/>
  <c r="R404" i="1"/>
  <c r="Q404" i="1"/>
  <c r="P404" i="1"/>
  <c r="O404" i="1"/>
  <c r="N404" i="1"/>
  <c r="L404" i="1"/>
  <c r="K404" i="1"/>
  <c r="J404" i="1"/>
  <c r="I404" i="1"/>
  <c r="H404" i="1"/>
  <c r="G404" i="1"/>
  <c r="F404" i="1"/>
  <c r="E404" i="1"/>
  <c r="D404" i="1"/>
  <c r="U403" i="1"/>
  <c r="S403" i="1"/>
  <c r="R403" i="1"/>
  <c r="Q403" i="1"/>
  <c r="P403" i="1"/>
  <c r="O403" i="1"/>
  <c r="N403" i="1"/>
  <c r="L403" i="1"/>
  <c r="K403" i="1"/>
  <c r="J403" i="1"/>
  <c r="I403" i="1"/>
  <c r="H403" i="1"/>
  <c r="G403" i="1"/>
  <c r="F403" i="1"/>
  <c r="E403" i="1"/>
  <c r="D403" i="1"/>
  <c r="U402" i="1"/>
  <c r="S402" i="1"/>
  <c r="R402" i="1"/>
  <c r="Q402" i="1"/>
  <c r="P402" i="1"/>
  <c r="O402" i="1"/>
  <c r="N402" i="1"/>
  <c r="L402" i="1"/>
  <c r="K402" i="1"/>
  <c r="J402" i="1"/>
  <c r="I402" i="1"/>
  <c r="H402" i="1"/>
  <c r="G402" i="1"/>
  <c r="F402" i="1"/>
  <c r="E402" i="1"/>
  <c r="D402" i="1"/>
  <c r="U401" i="1"/>
  <c r="S401" i="1"/>
  <c r="R401" i="1"/>
  <c r="Q401" i="1"/>
  <c r="P401" i="1"/>
  <c r="O401" i="1"/>
  <c r="N401" i="1"/>
  <c r="L401" i="1"/>
  <c r="K401" i="1"/>
  <c r="J401" i="1"/>
  <c r="I401" i="1"/>
  <c r="H401" i="1"/>
  <c r="G401" i="1"/>
  <c r="F401" i="1"/>
  <c r="E401" i="1"/>
  <c r="D401" i="1"/>
  <c r="U400" i="1"/>
  <c r="S400" i="1"/>
  <c r="R400" i="1"/>
  <c r="Q400" i="1"/>
  <c r="P400" i="1"/>
  <c r="O400" i="1"/>
  <c r="N400" i="1"/>
  <c r="L400" i="1"/>
  <c r="K400" i="1"/>
  <c r="J400" i="1"/>
  <c r="I400" i="1"/>
  <c r="H400" i="1"/>
  <c r="G400" i="1"/>
  <c r="F400" i="1"/>
  <c r="E400" i="1"/>
  <c r="D400" i="1"/>
  <c r="U399" i="1"/>
  <c r="S399" i="1"/>
  <c r="R399" i="1"/>
  <c r="Q399" i="1"/>
  <c r="P399" i="1"/>
  <c r="O399" i="1"/>
  <c r="N399" i="1"/>
  <c r="L399" i="1"/>
  <c r="K399" i="1"/>
  <c r="J399" i="1"/>
  <c r="I399" i="1"/>
  <c r="H399" i="1"/>
  <c r="G399" i="1"/>
  <c r="F399" i="1"/>
  <c r="E399" i="1"/>
  <c r="D399" i="1"/>
  <c r="U398" i="1"/>
  <c r="S398" i="1"/>
  <c r="R398" i="1"/>
  <c r="Q398" i="1"/>
  <c r="P398" i="1"/>
  <c r="O398" i="1"/>
  <c r="N398" i="1"/>
  <c r="L398" i="1"/>
  <c r="K398" i="1"/>
  <c r="J398" i="1"/>
  <c r="I398" i="1"/>
  <c r="H398" i="1"/>
  <c r="G398" i="1"/>
  <c r="F398" i="1"/>
  <c r="E398" i="1"/>
  <c r="D398" i="1"/>
  <c r="U397" i="1"/>
  <c r="S397" i="1"/>
  <c r="R397" i="1"/>
  <c r="Q397" i="1"/>
  <c r="P397" i="1"/>
  <c r="O397" i="1"/>
  <c r="N397" i="1"/>
  <c r="L397" i="1"/>
  <c r="K397" i="1"/>
  <c r="J397" i="1"/>
  <c r="I397" i="1"/>
  <c r="H397" i="1"/>
  <c r="G397" i="1"/>
  <c r="F397" i="1"/>
  <c r="E397" i="1"/>
  <c r="D397" i="1"/>
  <c r="U396" i="1"/>
  <c r="S396" i="1"/>
  <c r="R396" i="1"/>
  <c r="Q396" i="1"/>
  <c r="P396" i="1"/>
  <c r="O396" i="1"/>
  <c r="N396" i="1"/>
  <c r="L396" i="1"/>
  <c r="K396" i="1"/>
  <c r="J396" i="1"/>
  <c r="I396" i="1"/>
  <c r="H396" i="1"/>
  <c r="G396" i="1"/>
  <c r="F396" i="1"/>
  <c r="E396" i="1"/>
  <c r="D396" i="1"/>
  <c r="U395" i="1"/>
  <c r="S395" i="1"/>
  <c r="R395" i="1"/>
  <c r="Q395" i="1"/>
  <c r="P395" i="1"/>
  <c r="O395" i="1"/>
  <c r="N395" i="1"/>
  <c r="L395" i="1"/>
  <c r="K395" i="1"/>
  <c r="J395" i="1"/>
  <c r="I395" i="1"/>
  <c r="H395" i="1"/>
  <c r="G395" i="1"/>
  <c r="F395" i="1"/>
  <c r="E395" i="1"/>
  <c r="D395" i="1"/>
  <c r="U394" i="1"/>
  <c r="S394" i="1"/>
  <c r="R394" i="1"/>
  <c r="Q394" i="1"/>
  <c r="P394" i="1"/>
  <c r="O394" i="1"/>
  <c r="N394" i="1"/>
  <c r="L394" i="1"/>
  <c r="K394" i="1"/>
  <c r="J394" i="1"/>
  <c r="I394" i="1"/>
  <c r="H394" i="1"/>
  <c r="G394" i="1"/>
  <c r="F394" i="1"/>
  <c r="E394" i="1"/>
  <c r="D394" i="1"/>
  <c r="U393" i="1"/>
  <c r="S393" i="1"/>
  <c r="R393" i="1"/>
  <c r="Q393" i="1"/>
  <c r="P393" i="1"/>
  <c r="O393" i="1"/>
  <c r="N393" i="1"/>
  <c r="L393" i="1"/>
  <c r="K393" i="1"/>
  <c r="J393" i="1"/>
  <c r="I393" i="1"/>
  <c r="H393" i="1"/>
  <c r="G393" i="1"/>
  <c r="F393" i="1"/>
  <c r="E393" i="1"/>
  <c r="D393" i="1"/>
  <c r="U392" i="1"/>
  <c r="S392" i="1"/>
  <c r="R392" i="1"/>
  <c r="Q392" i="1"/>
  <c r="P392" i="1"/>
  <c r="O392" i="1"/>
  <c r="N392" i="1"/>
  <c r="L392" i="1"/>
  <c r="K392" i="1"/>
  <c r="J392" i="1"/>
  <c r="I392" i="1"/>
  <c r="H392" i="1"/>
  <c r="G392" i="1"/>
  <c r="F392" i="1"/>
  <c r="E392" i="1"/>
  <c r="D392" i="1"/>
  <c r="U391" i="1"/>
  <c r="S391" i="1"/>
  <c r="R391" i="1"/>
  <c r="Q391" i="1"/>
  <c r="P391" i="1"/>
  <c r="O391" i="1"/>
  <c r="N391" i="1"/>
  <c r="L391" i="1"/>
  <c r="K391" i="1"/>
  <c r="J391" i="1"/>
  <c r="I391" i="1"/>
  <c r="H391" i="1"/>
  <c r="G391" i="1"/>
  <c r="F391" i="1"/>
  <c r="E391" i="1"/>
  <c r="D391" i="1"/>
  <c r="U390" i="1"/>
  <c r="S390" i="1"/>
  <c r="R390" i="1"/>
  <c r="Q390" i="1"/>
  <c r="P390" i="1"/>
  <c r="O390" i="1"/>
  <c r="N390" i="1"/>
  <c r="L390" i="1"/>
  <c r="K390" i="1"/>
  <c r="J390" i="1"/>
  <c r="I390" i="1"/>
  <c r="H390" i="1"/>
  <c r="G390" i="1"/>
  <c r="F390" i="1"/>
  <c r="E390" i="1"/>
  <c r="D390" i="1"/>
  <c r="U389" i="1"/>
  <c r="S389" i="1"/>
  <c r="R389" i="1"/>
  <c r="Q389" i="1"/>
  <c r="P389" i="1"/>
  <c r="O389" i="1"/>
  <c r="N389" i="1"/>
  <c r="L389" i="1"/>
  <c r="K389" i="1"/>
  <c r="J389" i="1"/>
  <c r="I389" i="1"/>
  <c r="H389" i="1"/>
  <c r="G389" i="1"/>
  <c r="F389" i="1"/>
  <c r="E389" i="1"/>
  <c r="D389" i="1"/>
  <c r="U388" i="1"/>
  <c r="S388" i="1"/>
  <c r="R388" i="1"/>
  <c r="Q388" i="1"/>
  <c r="P388" i="1"/>
  <c r="O388" i="1"/>
  <c r="N388" i="1"/>
  <c r="L388" i="1"/>
  <c r="K388" i="1"/>
  <c r="J388" i="1"/>
  <c r="I388" i="1"/>
  <c r="H388" i="1"/>
  <c r="G388" i="1"/>
  <c r="F388" i="1"/>
  <c r="E388" i="1"/>
  <c r="D388" i="1"/>
  <c r="U387" i="1"/>
  <c r="S387" i="1"/>
  <c r="R387" i="1"/>
  <c r="Q387" i="1"/>
  <c r="P387" i="1"/>
  <c r="O387" i="1"/>
  <c r="N387" i="1"/>
  <c r="L387" i="1"/>
  <c r="K387" i="1"/>
  <c r="J387" i="1"/>
  <c r="I387" i="1"/>
  <c r="H387" i="1"/>
  <c r="G387" i="1"/>
  <c r="F387" i="1"/>
  <c r="E387" i="1"/>
  <c r="D387" i="1"/>
  <c r="U386" i="1"/>
  <c r="S386" i="1"/>
  <c r="R386" i="1"/>
  <c r="Q386" i="1"/>
  <c r="P386" i="1"/>
  <c r="O386" i="1"/>
  <c r="N386" i="1"/>
  <c r="L386" i="1"/>
  <c r="K386" i="1"/>
  <c r="J386" i="1"/>
  <c r="I386" i="1"/>
  <c r="H386" i="1"/>
  <c r="G386" i="1"/>
  <c r="F386" i="1"/>
  <c r="E386" i="1"/>
  <c r="D386" i="1"/>
  <c r="U385" i="1"/>
  <c r="S385" i="1"/>
  <c r="R385" i="1"/>
  <c r="Q385" i="1"/>
  <c r="P385" i="1"/>
  <c r="O385" i="1"/>
  <c r="N385" i="1"/>
  <c r="L385" i="1"/>
  <c r="K385" i="1"/>
  <c r="J385" i="1"/>
  <c r="I385" i="1"/>
  <c r="H385" i="1"/>
  <c r="G385" i="1"/>
  <c r="F385" i="1"/>
  <c r="E385" i="1"/>
  <c r="D385" i="1"/>
  <c r="U384" i="1"/>
  <c r="S384" i="1"/>
  <c r="R384" i="1"/>
  <c r="Q384" i="1"/>
  <c r="P384" i="1"/>
  <c r="O384" i="1"/>
  <c r="N384" i="1"/>
  <c r="L384" i="1"/>
  <c r="K384" i="1"/>
  <c r="J384" i="1"/>
  <c r="I384" i="1"/>
  <c r="H384" i="1"/>
  <c r="G384" i="1"/>
  <c r="F384" i="1"/>
  <c r="E384" i="1"/>
  <c r="D384" i="1"/>
  <c r="U383" i="1"/>
  <c r="S383" i="1"/>
  <c r="R383" i="1"/>
  <c r="Q383" i="1"/>
  <c r="P383" i="1"/>
  <c r="O383" i="1"/>
  <c r="N383" i="1"/>
  <c r="L383" i="1"/>
  <c r="K383" i="1"/>
  <c r="J383" i="1"/>
  <c r="I383" i="1"/>
  <c r="H383" i="1"/>
  <c r="G383" i="1"/>
  <c r="F383" i="1"/>
  <c r="E383" i="1"/>
  <c r="D383" i="1"/>
  <c r="U382" i="1"/>
  <c r="S382" i="1"/>
  <c r="R382" i="1"/>
  <c r="Q382" i="1"/>
  <c r="P382" i="1"/>
  <c r="O382" i="1"/>
  <c r="N382" i="1"/>
  <c r="L382" i="1"/>
  <c r="K382" i="1"/>
  <c r="J382" i="1"/>
  <c r="I382" i="1"/>
  <c r="H382" i="1"/>
  <c r="G382" i="1"/>
  <c r="F382" i="1"/>
  <c r="E382" i="1"/>
  <c r="D382" i="1"/>
  <c r="U381" i="1"/>
  <c r="S381" i="1"/>
  <c r="R381" i="1"/>
  <c r="Q381" i="1"/>
  <c r="P381" i="1"/>
  <c r="O381" i="1"/>
  <c r="N381" i="1"/>
  <c r="L381" i="1"/>
  <c r="K381" i="1"/>
  <c r="J381" i="1"/>
  <c r="I381" i="1"/>
  <c r="H381" i="1"/>
  <c r="G381" i="1"/>
  <c r="F381" i="1"/>
  <c r="E381" i="1"/>
  <c r="D381" i="1"/>
  <c r="U380" i="1"/>
  <c r="S380" i="1"/>
  <c r="R380" i="1"/>
  <c r="Q380" i="1"/>
  <c r="P380" i="1"/>
  <c r="O380" i="1"/>
  <c r="N380" i="1"/>
  <c r="L380" i="1"/>
  <c r="K380" i="1"/>
  <c r="J380" i="1"/>
  <c r="I380" i="1"/>
  <c r="H380" i="1"/>
  <c r="G380" i="1"/>
  <c r="F380" i="1"/>
  <c r="E380" i="1"/>
  <c r="D380" i="1"/>
  <c r="U379" i="1"/>
  <c r="S379" i="1"/>
  <c r="R379" i="1"/>
  <c r="Q379" i="1"/>
  <c r="P379" i="1"/>
  <c r="O379" i="1"/>
  <c r="N379" i="1"/>
  <c r="L379" i="1"/>
  <c r="K379" i="1"/>
  <c r="J379" i="1"/>
  <c r="I379" i="1"/>
  <c r="H379" i="1"/>
  <c r="G379" i="1"/>
  <c r="F379" i="1"/>
  <c r="E379" i="1"/>
  <c r="D379" i="1"/>
  <c r="U378" i="1"/>
  <c r="S378" i="1"/>
  <c r="R378" i="1"/>
  <c r="Q378" i="1"/>
  <c r="P378" i="1"/>
  <c r="O378" i="1"/>
  <c r="N378" i="1"/>
  <c r="L378" i="1"/>
  <c r="K378" i="1"/>
  <c r="J378" i="1"/>
  <c r="I378" i="1"/>
  <c r="H378" i="1"/>
  <c r="G378" i="1"/>
  <c r="F378" i="1"/>
  <c r="E378" i="1"/>
  <c r="D378" i="1"/>
  <c r="U377" i="1"/>
  <c r="S377" i="1"/>
  <c r="R377" i="1"/>
  <c r="Q377" i="1"/>
  <c r="P377" i="1"/>
  <c r="O377" i="1"/>
  <c r="N377" i="1"/>
  <c r="L377" i="1"/>
  <c r="K377" i="1"/>
  <c r="J377" i="1"/>
  <c r="I377" i="1"/>
  <c r="H377" i="1"/>
  <c r="G377" i="1"/>
  <c r="F377" i="1"/>
  <c r="E377" i="1"/>
  <c r="D377" i="1"/>
  <c r="U376" i="1"/>
  <c r="S376" i="1"/>
  <c r="R376" i="1"/>
  <c r="Q376" i="1"/>
  <c r="P376" i="1"/>
  <c r="O376" i="1"/>
  <c r="N376" i="1"/>
  <c r="L376" i="1"/>
  <c r="K376" i="1"/>
  <c r="J376" i="1"/>
  <c r="I376" i="1"/>
  <c r="H376" i="1"/>
  <c r="G376" i="1"/>
  <c r="F376" i="1"/>
  <c r="E376" i="1"/>
  <c r="D376" i="1"/>
  <c r="U375" i="1"/>
  <c r="S375" i="1"/>
  <c r="R375" i="1"/>
  <c r="Q375" i="1"/>
  <c r="P375" i="1"/>
  <c r="O375" i="1"/>
  <c r="N375" i="1"/>
  <c r="L375" i="1"/>
  <c r="K375" i="1"/>
  <c r="J375" i="1"/>
  <c r="I375" i="1"/>
  <c r="H375" i="1"/>
  <c r="G375" i="1"/>
  <c r="F375" i="1"/>
  <c r="E375" i="1"/>
  <c r="D375" i="1"/>
  <c r="U374" i="1"/>
  <c r="S374" i="1"/>
  <c r="R374" i="1"/>
  <c r="Q374" i="1"/>
  <c r="P374" i="1"/>
  <c r="O374" i="1"/>
  <c r="N374" i="1"/>
  <c r="L374" i="1"/>
  <c r="K374" i="1"/>
  <c r="J374" i="1"/>
  <c r="I374" i="1"/>
  <c r="H374" i="1"/>
  <c r="G374" i="1"/>
  <c r="F374" i="1"/>
  <c r="E374" i="1"/>
  <c r="D374" i="1"/>
  <c r="U373" i="1"/>
  <c r="S373" i="1"/>
  <c r="R373" i="1"/>
  <c r="Q373" i="1"/>
  <c r="P373" i="1"/>
  <c r="O373" i="1"/>
  <c r="N373" i="1"/>
  <c r="L373" i="1"/>
  <c r="K373" i="1"/>
  <c r="J373" i="1"/>
  <c r="I373" i="1"/>
  <c r="H373" i="1"/>
  <c r="G373" i="1"/>
  <c r="F373" i="1"/>
  <c r="E373" i="1"/>
  <c r="D373" i="1"/>
  <c r="U372" i="1"/>
  <c r="S372" i="1"/>
  <c r="R372" i="1"/>
  <c r="Q372" i="1"/>
  <c r="P372" i="1"/>
  <c r="O372" i="1"/>
  <c r="N372" i="1"/>
  <c r="L372" i="1"/>
  <c r="K372" i="1"/>
  <c r="J372" i="1"/>
  <c r="I372" i="1"/>
  <c r="H372" i="1"/>
  <c r="G372" i="1"/>
  <c r="F372" i="1"/>
  <c r="E372" i="1"/>
  <c r="D372" i="1"/>
  <c r="U371" i="1"/>
  <c r="S371" i="1"/>
  <c r="R371" i="1"/>
  <c r="Q371" i="1"/>
  <c r="P371" i="1"/>
  <c r="O371" i="1"/>
  <c r="N371" i="1"/>
  <c r="L371" i="1"/>
  <c r="K371" i="1"/>
  <c r="J371" i="1"/>
  <c r="I371" i="1"/>
  <c r="H371" i="1"/>
  <c r="G371" i="1"/>
  <c r="F371" i="1"/>
  <c r="E371" i="1"/>
  <c r="D371" i="1"/>
  <c r="U370" i="1"/>
  <c r="S370" i="1"/>
  <c r="R370" i="1"/>
  <c r="Q370" i="1"/>
  <c r="P370" i="1"/>
  <c r="O370" i="1"/>
  <c r="N370" i="1"/>
  <c r="L370" i="1"/>
  <c r="K370" i="1"/>
  <c r="J370" i="1"/>
  <c r="I370" i="1"/>
  <c r="H370" i="1"/>
  <c r="G370" i="1"/>
  <c r="F370" i="1"/>
  <c r="E370" i="1"/>
  <c r="D370" i="1"/>
  <c r="U369" i="1"/>
  <c r="S369" i="1"/>
  <c r="R369" i="1"/>
  <c r="Q369" i="1"/>
  <c r="P369" i="1"/>
  <c r="O369" i="1"/>
  <c r="N369" i="1"/>
  <c r="L369" i="1"/>
  <c r="K369" i="1"/>
  <c r="J369" i="1"/>
  <c r="I369" i="1"/>
  <c r="H369" i="1"/>
  <c r="G369" i="1"/>
  <c r="F369" i="1"/>
  <c r="E369" i="1"/>
  <c r="D369" i="1"/>
  <c r="U368" i="1"/>
  <c r="S368" i="1"/>
  <c r="R368" i="1"/>
  <c r="Q368" i="1"/>
  <c r="P368" i="1"/>
  <c r="O368" i="1"/>
  <c r="N368" i="1"/>
  <c r="L368" i="1"/>
  <c r="K368" i="1"/>
  <c r="J368" i="1"/>
  <c r="I368" i="1"/>
  <c r="H368" i="1"/>
  <c r="G368" i="1"/>
  <c r="F368" i="1"/>
  <c r="E368" i="1"/>
  <c r="D368" i="1"/>
  <c r="U367" i="1"/>
  <c r="S367" i="1"/>
  <c r="R367" i="1"/>
  <c r="Q367" i="1"/>
  <c r="P367" i="1"/>
  <c r="O367" i="1"/>
  <c r="N367" i="1"/>
  <c r="L367" i="1"/>
  <c r="K367" i="1"/>
  <c r="J367" i="1"/>
  <c r="I367" i="1"/>
  <c r="H367" i="1"/>
  <c r="G367" i="1"/>
  <c r="F367" i="1"/>
  <c r="E367" i="1"/>
  <c r="D367" i="1"/>
  <c r="U366" i="1"/>
  <c r="S366" i="1"/>
  <c r="R366" i="1"/>
  <c r="Q366" i="1"/>
  <c r="P366" i="1"/>
  <c r="O366" i="1"/>
  <c r="N366" i="1"/>
  <c r="L366" i="1"/>
  <c r="K366" i="1"/>
  <c r="J366" i="1"/>
  <c r="I366" i="1"/>
  <c r="H366" i="1"/>
  <c r="G366" i="1"/>
  <c r="F366" i="1"/>
  <c r="E366" i="1"/>
  <c r="D366" i="1"/>
  <c r="U365" i="1"/>
  <c r="S365" i="1"/>
  <c r="R365" i="1"/>
  <c r="Q365" i="1"/>
  <c r="P365" i="1"/>
  <c r="O365" i="1"/>
  <c r="N365" i="1"/>
  <c r="L365" i="1"/>
  <c r="K365" i="1"/>
  <c r="J365" i="1"/>
  <c r="I365" i="1"/>
  <c r="H365" i="1"/>
  <c r="G365" i="1"/>
  <c r="F365" i="1"/>
  <c r="E365" i="1"/>
  <c r="D365" i="1"/>
  <c r="U364" i="1"/>
  <c r="S364" i="1"/>
  <c r="R364" i="1"/>
  <c r="Q364" i="1"/>
  <c r="P364" i="1"/>
  <c r="O364" i="1"/>
  <c r="N364" i="1"/>
  <c r="L364" i="1"/>
  <c r="K364" i="1"/>
  <c r="J364" i="1"/>
  <c r="I364" i="1"/>
  <c r="H364" i="1"/>
  <c r="G364" i="1"/>
  <c r="F364" i="1"/>
  <c r="E364" i="1"/>
  <c r="D364" i="1"/>
  <c r="U363" i="1"/>
  <c r="S363" i="1"/>
  <c r="R363" i="1"/>
  <c r="Q363" i="1"/>
  <c r="P363" i="1"/>
  <c r="O363" i="1"/>
  <c r="N363" i="1"/>
  <c r="L363" i="1"/>
  <c r="K363" i="1"/>
  <c r="J363" i="1"/>
  <c r="I363" i="1"/>
  <c r="H363" i="1"/>
  <c r="G363" i="1"/>
  <c r="F363" i="1"/>
  <c r="E363" i="1"/>
  <c r="D363" i="1"/>
  <c r="U362" i="1"/>
  <c r="S362" i="1"/>
  <c r="R362" i="1"/>
  <c r="Q362" i="1"/>
  <c r="P362" i="1"/>
  <c r="O362" i="1"/>
  <c r="N362" i="1"/>
  <c r="L362" i="1"/>
  <c r="K362" i="1"/>
  <c r="J362" i="1"/>
  <c r="I362" i="1"/>
  <c r="H362" i="1"/>
  <c r="G362" i="1"/>
  <c r="F362" i="1"/>
  <c r="E362" i="1"/>
  <c r="D362" i="1"/>
  <c r="U361" i="1"/>
  <c r="S361" i="1"/>
  <c r="R361" i="1"/>
  <c r="Q361" i="1"/>
  <c r="P361" i="1"/>
  <c r="O361" i="1"/>
  <c r="N361" i="1"/>
  <c r="L361" i="1"/>
  <c r="K361" i="1"/>
  <c r="J361" i="1"/>
  <c r="I361" i="1"/>
  <c r="H361" i="1"/>
  <c r="G361" i="1"/>
  <c r="F361" i="1"/>
  <c r="E361" i="1"/>
  <c r="D361" i="1"/>
  <c r="U360" i="1"/>
  <c r="S360" i="1"/>
  <c r="R360" i="1"/>
  <c r="Q360" i="1"/>
  <c r="P360" i="1"/>
  <c r="O360" i="1"/>
  <c r="N360" i="1"/>
  <c r="L360" i="1"/>
  <c r="K360" i="1"/>
  <c r="J360" i="1"/>
  <c r="I360" i="1"/>
  <c r="H360" i="1"/>
  <c r="G360" i="1"/>
  <c r="F360" i="1"/>
  <c r="E360" i="1"/>
  <c r="D360" i="1"/>
  <c r="S359" i="1"/>
  <c r="R359" i="1"/>
  <c r="Q359" i="1"/>
  <c r="P359" i="1"/>
  <c r="O359" i="1"/>
  <c r="N359" i="1"/>
  <c r="L359" i="1"/>
  <c r="K359" i="1"/>
  <c r="J359" i="1"/>
  <c r="I359" i="1"/>
  <c r="H359" i="1"/>
  <c r="G359" i="1"/>
  <c r="F359" i="1"/>
  <c r="E359" i="1"/>
  <c r="D359" i="1"/>
  <c r="S358" i="1"/>
  <c r="R358" i="1"/>
  <c r="U358" i="1" s="1"/>
  <c r="Q358" i="1"/>
  <c r="P358" i="1"/>
  <c r="O358" i="1"/>
  <c r="N358" i="1"/>
  <c r="L358" i="1"/>
  <c r="K358" i="1"/>
  <c r="J358" i="1"/>
  <c r="I358" i="1"/>
  <c r="H358" i="1"/>
  <c r="G358" i="1"/>
  <c r="F358" i="1"/>
  <c r="E358" i="1"/>
  <c r="D358" i="1"/>
  <c r="S357" i="1"/>
  <c r="R357" i="1"/>
  <c r="U357" i="1" s="1"/>
  <c r="Q357" i="1"/>
  <c r="P357" i="1"/>
  <c r="O357" i="1"/>
  <c r="N357" i="1"/>
  <c r="L357" i="1"/>
  <c r="K357" i="1"/>
  <c r="J357" i="1"/>
  <c r="I357" i="1"/>
  <c r="H357" i="1"/>
  <c r="G357" i="1"/>
  <c r="F357" i="1"/>
  <c r="E357" i="1"/>
  <c r="D357" i="1"/>
  <c r="S356" i="1"/>
  <c r="R356" i="1"/>
  <c r="U356" i="1" s="1"/>
  <c r="Q356" i="1"/>
  <c r="P356" i="1"/>
  <c r="O356" i="1"/>
  <c r="N356" i="1"/>
  <c r="L356" i="1"/>
  <c r="K356" i="1"/>
  <c r="J356" i="1"/>
  <c r="I356" i="1"/>
  <c r="H356" i="1"/>
  <c r="G356" i="1"/>
  <c r="F356" i="1"/>
  <c r="E356" i="1"/>
  <c r="D356" i="1"/>
  <c r="S355" i="1"/>
  <c r="R355" i="1"/>
  <c r="U355" i="1" s="1"/>
  <c r="Q355" i="1"/>
  <c r="P355" i="1"/>
  <c r="O355" i="1"/>
  <c r="N355" i="1"/>
  <c r="L355" i="1"/>
  <c r="K355" i="1"/>
  <c r="J355" i="1"/>
  <c r="I355" i="1"/>
  <c r="H355" i="1"/>
  <c r="G355" i="1"/>
  <c r="F355" i="1"/>
  <c r="E355" i="1"/>
  <c r="D355" i="1"/>
  <c r="S354" i="1"/>
  <c r="R354" i="1"/>
  <c r="U354" i="1" s="1"/>
  <c r="Q354" i="1"/>
  <c r="P354" i="1"/>
  <c r="O354" i="1"/>
  <c r="N354" i="1"/>
  <c r="L354" i="1"/>
  <c r="K354" i="1"/>
  <c r="J354" i="1"/>
  <c r="I354" i="1"/>
  <c r="H354" i="1"/>
  <c r="G354" i="1"/>
  <c r="F354" i="1"/>
  <c r="E354" i="1"/>
  <c r="D354" i="1"/>
  <c r="S353" i="1"/>
  <c r="R353" i="1"/>
  <c r="U353" i="1" s="1"/>
  <c r="Q353" i="1"/>
  <c r="P353" i="1"/>
  <c r="O353" i="1"/>
  <c r="N353" i="1"/>
  <c r="L353" i="1"/>
  <c r="K353" i="1"/>
  <c r="J353" i="1"/>
  <c r="I353" i="1"/>
  <c r="H353" i="1"/>
  <c r="G353" i="1"/>
  <c r="F353" i="1"/>
  <c r="E353" i="1"/>
  <c r="D353" i="1"/>
  <c r="S352" i="1"/>
  <c r="R352" i="1"/>
  <c r="U352" i="1" s="1"/>
  <c r="Q352" i="1"/>
  <c r="P352" i="1"/>
  <c r="O352" i="1"/>
  <c r="N352" i="1"/>
  <c r="L352" i="1"/>
  <c r="K352" i="1"/>
  <c r="J352" i="1"/>
  <c r="I352" i="1"/>
  <c r="H352" i="1"/>
  <c r="G352" i="1"/>
  <c r="F352" i="1"/>
  <c r="E352" i="1"/>
  <c r="D352" i="1"/>
  <c r="S351" i="1"/>
  <c r="R351" i="1"/>
  <c r="U351" i="1" s="1"/>
  <c r="Q351" i="1"/>
  <c r="P351" i="1"/>
  <c r="O351" i="1"/>
  <c r="N351" i="1"/>
  <c r="L351" i="1"/>
  <c r="K351" i="1"/>
  <c r="J351" i="1"/>
  <c r="I351" i="1"/>
  <c r="H351" i="1"/>
  <c r="G351" i="1"/>
  <c r="F351" i="1"/>
  <c r="E351" i="1"/>
  <c r="D351" i="1"/>
  <c r="S350" i="1"/>
  <c r="R350" i="1"/>
  <c r="U350" i="1" s="1"/>
  <c r="Q350" i="1"/>
  <c r="P350" i="1"/>
  <c r="O350" i="1"/>
  <c r="N350" i="1"/>
  <c r="L350" i="1"/>
  <c r="K350" i="1"/>
  <c r="J350" i="1"/>
  <c r="I350" i="1"/>
  <c r="H350" i="1"/>
  <c r="G350" i="1"/>
  <c r="F350" i="1"/>
  <c r="E350" i="1"/>
  <c r="D350" i="1"/>
  <c r="S349" i="1"/>
  <c r="R349" i="1"/>
  <c r="U349" i="1" s="1"/>
  <c r="Q349" i="1"/>
  <c r="P349" i="1"/>
  <c r="O349" i="1"/>
  <c r="N349" i="1"/>
  <c r="L349" i="1"/>
  <c r="K349" i="1"/>
  <c r="J349" i="1"/>
  <c r="I349" i="1"/>
  <c r="H349" i="1"/>
  <c r="G349" i="1"/>
  <c r="F349" i="1"/>
  <c r="E349" i="1"/>
  <c r="D349" i="1"/>
  <c r="S348" i="1"/>
  <c r="R348" i="1"/>
  <c r="U348" i="1" s="1"/>
  <c r="Q348" i="1"/>
  <c r="P348" i="1"/>
  <c r="O348" i="1"/>
  <c r="N348" i="1"/>
  <c r="L348" i="1"/>
  <c r="K348" i="1"/>
  <c r="J348" i="1"/>
  <c r="I348" i="1"/>
  <c r="H348" i="1"/>
  <c r="G348" i="1"/>
  <c r="F348" i="1"/>
  <c r="E348" i="1"/>
  <c r="D348" i="1"/>
  <c r="S347" i="1"/>
  <c r="R347" i="1"/>
  <c r="U347" i="1" s="1"/>
  <c r="Q347" i="1"/>
  <c r="P347" i="1"/>
  <c r="O347" i="1"/>
  <c r="N347" i="1"/>
  <c r="L347" i="1"/>
  <c r="K347" i="1"/>
  <c r="J347" i="1"/>
  <c r="I347" i="1"/>
  <c r="H347" i="1"/>
  <c r="G347" i="1"/>
  <c r="F347" i="1"/>
  <c r="E347" i="1"/>
  <c r="D347" i="1"/>
  <c r="S346" i="1"/>
  <c r="R346" i="1"/>
  <c r="U346" i="1" s="1"/>
  <c r="Q346" i="1"/>
  <c r="P346" i="1"/>
  <c r="O346" i="1"/>
  <c r="N346" i="1"/>
  <c r="L346" i="1"/>
  <c r="K346" i="1"/>
  <c r="J346" i="1"/>
  <c r="I346" i="1"/>
  <c r="H346" i="1"/>
  <c r="G346" i="1"/>
  <c r="F346" i="1"/>
  <c r="E346" i="1"/>
  <c r="D346" i="1"/>
  <c r="S345" i="1"/>
  <c r="R345" i="1"/>
  <c r="U345" i="1" s="1"/>
  <c r="Q345" i="1"/>
  <c r="P345" i="1"/>
  <c r="O345" i="1"/>
  <c r="N345" i="1"/>
  <c r="L345" i="1"/>
  <c r="K345" i="1"/>
  <c r="J345" i="1"/>
  <c r="I345" i="1"/>
  <c r="H345" i="1"/>
  <c r="G345" i="1"/>
  <c r="F345" i="1"/>
  <c r="E345" i="1"/>
  <c r="D345" i="1"/>
  <c r="S344" i="1"/>
  <c r="R344" i="1"/>
  <c r="U344" i="1" s="1"/>
  <c r="Q344" i="1"/>
  <c r="P344" i="1"/>
  <c r="O344" i="1"/>
  <c r="N344" i="1"/>
  <c r="L344" i="1"/>
  <c r="K344" i="1"/>
  <c r="J344" i="1"/>
  <c r="I344" i="1"/>
  <c r="H344" i="1"/>
  <c r="G344" i="1"/>
  <c r="F344" i="1"/>
  <c r="E344" i="1"/>
  <c r="D344" i="1"/>
  <c r="S343" i="1"/>
  <c r="R343" i="1"/>
  <c r="U343" i="1" s="1"/>
  <c r="Q343" i="1"/>
  <c r="P343" i="1"/>
  <c r="O343" i="1"/>
  <c r="N343" i="1"/>
  <c r="L343" i="1"/>
  <c r="K343" i="1"/>
  <c r="J343" i="1"/>
  <c r="I343" i="1"/>
  <c r="H343" i="1"/>
  <c r="G343" i="1"/>
  <c r="F343" i="1"/>
  <c r="E343" i="1"/>
  <c r="D343" i="1"/>
  <c r="S342" i="1"/>
  <c r="R342" i="1"/>
  <c r="U342" i="1" s="1"/>
  <c r="Q342" i="1"/>
  <c r="P342" i="1"/>
  <c r="O342" i="1"/>
  <c r="N342" i="1"/>
  <c r="L342" i="1"/>
  <c r="K342" i="1"/>
  <c r="J342" i="1"/>
  <c r="I342" i="1"/>
  <c r="H342" i="1"/>
  <c r="G342" i="1"/>
  <c r="F342" i="1"/>
  <c r="E342" i="1"/>
  <c r="D342" i="1"/>
  <c r="S341" i="1"/>
  <c r="R341" i="1"/>
  <c r="U341" i="1" s="1"/>
  <c r="Q341" i="1"/>
  <c r="P341" i="1"/>
  <c r="O341" i="1"/>
  <c r="N341" i="1"/>
  <c r="L341" i="1"/>
  <c r="K341" i="1"/>
  <c r="J341" i="1"/>
  <c r="I341" i="1"/>
  <c r="H341" i="1"/>
  <c r="G341" i="1"/>
  <c r="F341" i="1"/>
  <c r="E341" i="1"/>
  <c r="D341" i="1"/>
  <c r="S340" i="1"/>
  <c r="R340" i="1"/>
  <c r="U340" i="1" s="1"/>
  <c r="Q340" i="1"/>
  <c r="P340" i="1"/>
  <c r="O340" i="1"/>
  <c r="N340" i="1"/>
  <c r="L340" i="1"/>
  <c r="K340" i="1"/>
  <c r="J340" i="1"/>
  <c r="I340" i="1"/>
  <c r="H340" i="1"/>
  <c r="G340" i="1"/>
  <c r="F340" i="1"/>
  <c r="E340" i="1"/>
  <c r="D340" i="1"/>
  <c r="S339" i="1"/>
  <c r="R339" i="1"/>
  <c r="U339" i="1" s="1"/>
  <c r="Q339" i="1"/>
  <c r="P339" i="1"/>
  <c r="O339" i="1"/>
  <c r="N339" i="1"/>
  <c r="L339" i="1"/>
  <c r="K339" i="1"/>
  <c r="J339" i="1"/>
  <c r="I339" i="1"/>
  <c r="H339" i="1"/>
  <c r="G339" i="1"/>
  <c r="F339" i="1"/>
  <c r="E339" i="1"/>
  <c r="D339" i="1"/>
  <c r="S338" i="1"/>
  <c r="R338" i="1"/>
  <c r="U338" i="1" s="1"/>
  <c r="Q338" i="1"/>
  <c r="P338" i="1"/>
  <c r="O338" i="1"/>
  <c r="N338" i="1"/>
  <c r="L338" i="1"/>
  <c r="K338" i="1"/>
  <c r="J338" i="1"/>
  <c r="I338" i="1"/>
  <c r="H338" i="1"/>
  <c r="G338" i="1"/>
  <c r="F338" i="1"/>
  <c r="E338" i="1"/>
  <c r="D338" i="1"/>
  <c r="S337" i="1"/>
  <c r="R337" i="1"/>
  <c r="U337" i="1" s="1"/>
  <c r="Q337" i="1"/>
  <c r="P337" i="1"/>
  <c r="O337" i="1"/>
  <c r="N337" i="1"/>
  <c r="L337" i="1"/>
  <c r="K337" i="1"/>
  <c r="J337" i="1"/>
  <c r="I337" i="1"/>
  <c r="H337" i="1"/>
  <c r="G337" i="1"/>
  <c r="F337" i="1"/>
  <c r="E337" i="1"/>
  <c r="D337" i="1"/>
  <c r="S336" i="1"/>
  <c r="R336" i="1"/>
  <c r="U336" i="1" s="1"/>
  <c r="Q336" i="1"/>
  <c r="P336" i="1"/>
  <c r="O336" i="1"/>
  <c r="N336" i="1"/>
  <c r="L336" i="1"/>
  <c r="K336" i="1"/>
  <c r="J336" i="1"/>
  <c r="I336" i="1"/>
  <c r="H336" i="1"/>
  <c r="G336" i="1"/>
  <c r="F336" i="1"/>
  <c r="E336" i="1"/>
  <c r="D336" i="1"/>
  <c r="S335" i="1"/>
  <c r="R335" i="1"/>
  <c r="U335" i="1" s="1"/>
  <c r="Q335" i="1"/>
  <c r="P335" i="1"/>
  <c r="O335" i="1"/>
  <c r="N335" i="1"/>
  <c r="L335" i="1"/>
  <c r="K335" i="1"/>
  <c r="J335" i="1"/>
  <c r="I335" i="1"/>
  <c r="H335" i="1"/>
  <c r="G335" i="1"/>
  <c r="F335" i="1"/>
  <c r="E335" i="1"/>
  <c r="D335" i="1"/>
  <c r="S334" i="1"/>
  <c r="R334" i="1"/>
  <c r="U334" i="1" s="1"/>
  <c r="Q334" i="1"/>
  <c r="P334" i="1"/>
  <c r="O334" i="1"/>
  <c r="N334" i="1"/>
  <c r="L334" i="1"/>
  <c r="K334" i="1"/>
  <c r="J334" i="1"/>
  <c r="I334" i="1"/>
  <c r="H334" i="1"/>
  <c r="G334" i="1"/>
  <c r="F334" i="1"/>
  <c r="E334" i="1"/>
  <c r="D334" i="1"/>
  <c r="S333" i="1"/>
  <c r="R333" i="1"/>
  <c r="U333" i="1" s="1"/>
  <c r="Q333" i="1"/>
  <c r="P333" i="1"/>
  <c r="O333" i="1"/>
  <c r="N333" i="1"/>
  <c r="L333" i="1"/>
  <c r="K333" i="1"/>
  <c r="J333" i="1"/>
  <c r="I333" i="1"/>
  <c r="H333" i="1"/>
  <c r="G333" i="1"/>
  <c r="F333" i="1"/>
  <c r="E333" i="1"/>
  <c r="D333" i="1"/>
  <c r="S332" i="1"/>
  <c r="R332" i="1"/>
  <c r="U332" i="1" s="1"/>
  <c r="Q332" i="1"/>
  <c r="P332" i="1"/>
  <c r="O332" i="1"/>
  <c r="N332" i="1"/>
  <c r="L332" i="1"/>
  <c r="K332" i="1"/>
  <c r="J332" i="1"/>
  <c r="I332" i="1"/>
  <c r="H332" i="1"/>
  <c r="G332" i="1"/>
  <c r="F332" i="1"/>
  <c r="E332" i="1"/>
  <c r="D332" i="1"/>
  <c r="S331" i="1"/>
  <c r="R331" i="1"/>
  <c r="U331" i="1" s="1"/>
  <c r="Q331" i="1"/>
  <c r="P331" i="1"/>
  <c r="O331" i="1"/>
  <c r="N331" i="1"/>
  <c r="L331" i="1"/>
  <c r="K331" i="1"/>
  <c r="J331" i="1"/>
  <c r="I331" i="1"/>
  <c r="H331" i="1"/>
  <c r="G331" i="1"/>
  <c r="F331" i="1"/>
  <c r="E331" i="1"/>
  <c r="D331" i="1"/>
  <c r="S330" i="1"/>
  <c r="R330" i="1"/>
  <c r="U330" i="1" s="1"/>
  <c r="Q330" i="1"/>
  <c r="P330" i="1"/>
  <c r="O330" i="1"/>
  <c r="N330" i="1"/>
  <c r="L330" i="1"/>
  <c r="K330" i="1"/>
  <c r="J330" i="1"/>
  <c r="I330" i="1"/>
  <c r="H330" i="1"/>
  <c r="G330" i="1"/>
  <c r="F330" i="1"/>
  <c r="E330" i="1"/>
  <c r="D330" i="1"/>
  <c r="S329" i="1"/>
  <c r="R329" i="1"/>
  <c r="U329" i="1" s="1"/>
  <c r="Q329" i="1"/>
  <c r="P329" i="1"/>
  <c r="O329" i="1"/>
  <c r="N329" i="1"/>
  <c r="L329" i="1"/>
  <c r="K329" i="1"/>
  <c r="J329" i="1"/>
  <c r="I329" i="1"/>
  <c r="H329" i="1"/>
  <c r="G329" i="1"/>
  <c r="F329" i="1"/>
  <c r="E329" i="1"/>
  <c r="D329" i="1"/>
  <c r="S328" i="1"/>
  <c r="R328" i="1"/>
  <c r="U328" i="1" s="1"/>
  <c r="Q328" i="1"/>
  <c r="P328" i="1"/>
  <c r="O328" i="1"/>
  <c r="N328" i="1"/>
  <c r="L328" i="1"/>
  <c r="K328" i="1"/>
  <c r="J328" i="1"/>
  <c r="I328" i="1"/>
  <c r="H328" i="1"/>
  <c r="G328" i="1"/>
  <c r="F328" i="1"/>
  <c r="E328" i="1"/>
  <c r="D328" i="1"/>
  <c r="U327" i="1"/>
  <c r="S327" i="1"/>
  <c r="R327" i="1"/>
  <c r="Q327" i="1"/>
  <c r="P327" i="1"/>
  <c r="O327" i="1"/>
  <c r="N327" i="1"/>
  <c r="L327" i="1"/>
  <c r="K327" i="1"/>
  <c r="J327" i="1"/>
  <c r="I327" i="1"/>
  <c r="H327" i="1"/>
  <c r="G327" i="1"/>
  <c r="F327" i="1"/>
  <c r="E327" i="1"/>
  <c r="D327" i="1"/>
  <c r="U326" i="1"/>
  <c r="S326" i="1"/>
  <c r="R326" i="1"/>
  <c r="Q326" i="1"/>
  <c r="P326" i="1"/>
  <c r="O326" i="1"/>
  <c r="N326" i="1"/>
  <c r="L326" i="1"/>
  <c r="K326" i="1"/>
  <c r="J326" i="1"/>
  <c r="I326" i="1"/>
  <c r="H326" i="1"/>
  <c r="G326" i="1"/>
  <c r="F326" i="1"/>
  <c r="E326" i="1"/>
  <c r="D326" i="1"/>
  <c r="U325" i="1"/>
  <c r="S325" i="1"/>
  <c r="R325" i="1"/>
  <c r="Q325" i="1"/>
  <c r="P325" i="1"/>
  <c r="O325" i="1"/>
  <c r="N325" i="1"/>
  <c r="L325" i="1"/>
  <c r="K325" i="1"/>
  <c r="J325" i="1"/>
  <c r="I325" i="1"/>
  <c r="H325" i="1"/>
  <c r="G325" i="1"/>
  <c r="F325" i="1"/>
  <c r="E325" i="1"/>
  <c r="D325" i="1"/>
  <c r="U324" i="1"/>
  <c r="S324" i="1"/>
  <c r="R324" i="1"/>
  <c r="Q324" i="1"/>
  <c r="P324" i="1"/>
  <c r="O324" i="1"/>
  <c r="N324" i="1"/>
  <c r="L324" i="1"/>
  <c r="K324" i="1"/>
  <c r="J324" i="1"/>
  <c r="I324" i="1"/>
  <c r="H324" i="1"/>
  <c r="G324" i="1"/>
  <c r="F324" i="1"/>
  <c r="E324" i="1"/>
  <c r="D324" i="1"/>
  <c r="U323" i="1"/>
  <c r="S323" i="1"/>
  <c r="R323" i="1"/>
  <c r="Q323" i="1"/>
  <c r="P323" i="1"/>
  <c r="O323" i="1"/>
  <c r="N323" i="1"/>
  <c r="L323" i="1"/>
  <c r="K323" i="1"/>
  <c r="J323" i="1"/>
  <c r="I323" i="1"/>
  <c r="H323" i="1"/>
  <c r="G323" i="1"/>
  <c r="F323" i="1"/>
  <c r="E323" i="1"/>
  <c r="D323" i="1"/>
  <c r="U322" i="1"/>
  <c r="S322" i="1"/>
  <c r="R322" i="1"/>
  <c r="Q322" i="1"/>
  <c r="P322" i="1"/>
  <c r="O322" i="1"/>
  <c r="N322" i="1"/>
  <c r="L322" i="1"/>
  <c r="K322" i="1"/>
  <c r="J322" i="1"/>
  <c r="I322" i="1"/>
  <c r="H322" i="1"/>
  <c r="G322" i="1"/>
  <c r="F322" i="1"/>
  <c r="E322" i="1"/>
  <c r="D322" i="1"/>
  <c r="U321" i="1"/>
  <c r="S321" i="1"/>
  <c r="R321" i="1"/>
  <c r="Q321" i="1"/>
  <c r="P321" i="1"/>
  <c r="O321" i="1"/>
  <c r="N321" i="1"/>
  <c r="L321" i="1"/>
  <c r="K321" i="1"/>
  <c r="J321" i="1"/>
  <c r="I321" i="1"/>
  <c r="H321" i="1"/>
  <c r="G321" i="1"/>
  <c r="F321" i="1"/>
  <c r="E321" i="1"/>
  <c r="D321" i="1"/>
  <c r="U320" i="1"/>
  <c r="S320" i="1"/>
  <c r="R320" i="1"/>
  <c r="Q320" i="1"/>
  <c r="P320" i="1"/>
  <c r="O320" i="1"/>
  <c r="N320" i="1"/>
  <c r="L320" i="1"/>
  <c r="K320" i="1"/>
  <c r="J320" i="1"/>
  <c r="I320" i="1"/>
  <c r="H320" i="1"/>
  <c r="G320" i="1"/>
  <c r="F320" i="1"/>
  <c r="E320" i="1"/>
  <c r="D320" i="1"/>
  <c r="U319" i="1"/>
  <c r="S319" i="1"/>
  <c r="R319" i="1"/>
  <c r="Q319" i="1"/>
  <c r="P319" i="1"/>
  <c r="O319" i="1"/>
  <c r="N319" i="1"/>
  <c r="L319" i="1"/>
  <c r="K319" i="1"/>
  <c r="J319" i="1"/>
  <c r="I319" i="1"/>
  <c r="H319" i="1"/>
  <c r="G319" i="1"/>
  <c r="F319" i="1"/>
  <c r="E319" i="1"/>
  <c r="D319" i="1"/>
  <c r="U318" i="1"/>
  <c r="L318" i="1"/>
  <c r="K318" i="1"/>
  <c r="J318" i="1"/>
  <c r="I318" i="1"/>
  <c r="H318" i="1"/>
  <c r="G318" i="1"/>
  <c r="F318" i="1"/>
  <c r="E318" i="1"/>
  <c r="D318" i="1"/>
  <c r="U317" i="1"/>
  <c r="L317" i="1"/>
  <c r="K317" i="1"/>
  <c r="J317" i="1"/>
  <c r="I317" i="1"/>
  <c r="H317" i="1"/>
  <c r="G317" i="1"/>
  <c r="F317" i="1"/>
  <c r="E317" i="1"/>
  <c r="D317" i="1"/>
  <c r="U316" i="1"/>
  <c r="L316" i="1"/>
  <c r="K316" i="1"/>
  <c r="J316" i="1"/>
  <c r="I316" i="1"/>
  <c r="H316" i="1"/>
  <c r="G316" i="1"/>
  <c r="F316" i="1"/>
  <c r="E316" i="1"/>
  <c r="D316" i="1"/>
  <c r="U315" i="1"/>
  <c r="L315" i="1"/>
  <c r="K315" i="1"/>
  <c r="J315" i="1"/>
  <c r="I315" i="1"/>
  <c r="H315" i="1"/>
  <c r="G315" i="1"/>
  <c r="F315" i="1"/>
  <c r="E315" i="1"/>
  <c r="D315" i="1"/>
  <c r="U314" i="1"/>
  <c r="L314" i="1"/>
  <c r="K314" i="1"/>
  <c r="J314" i="1"/>
  <c r="I314" i="1"/>
  <c r="H314" i="1"/>
  <c r="G314" i="1"/>
  <c r="F314" i="1"/>
  <c r="E314" i="1"/>
  <c r="D314" i="1"/>
  <c r="S313" i="1"/>
  <c r="R313" i="1"/>
  <c r="U313" i="1" s="1"/>
  <c r="Q313" i="1"/>
  <c r="P313" i="1"/>
  <c r="O313" i="1"/>
  <c r="N313" i="1"/>
  <c r="L313" i="1"/>
  <c r="K313" i="1"/>
  <c r="J313" i="1"/>
  <c r="I313" i="1"/>
  <c r="H313" i="1"/>
  <c r="G313" i="1"/>
  <c r="F313" i="1"/>
  <c r="E313" i="1"/>
  <c r="D313" i="1"/>
  <c r="S312" i="1"/>
  <c r="R312" i="1"/>
  <c r="U312" i="1" s="1"/>
  <c r="Q312" i="1"/>
  <c r="P312" i="1"/>
  <c r="O312" i="1"/>
  <c r="N312" i="1"/>
  <c r="L312" i="1"/>
  <c r="K312" i="1"/>
  <c r="J312" i="1"/>
  <c r="I312" i="1"/>
  <c r="H312" i="1"/>
  <c r="G312" i="1"/>
  <c r="F312" i="1"/>
  <c r="E312" i="1"/>
  <c r="D312" i="1"/>
  <c r="S311" i="1"/>
  <c r="R311" i="1"/>
  <c r="U311" i="1" s="1"/>
  <c r="Q311" i="1"/>
  <c r="P311" i="1"/>
  <c r="O311" i="1"/>
  <c r="N311" i="1"/>
  <c r="L311" i="1"/>
  <c r="K311" i="1"/>
  <c r="J311" i="1"/>
  <c r="I311" i="1"/>
  <c r="H311" i="1"/>
  <c r="G311" i="1"/>
  <c r="F311" i="1"/>
  <c r="E311" i="1"/>
  <c r="D311" i="1"/>
  <c r="S310" i="1"/>
  <c r="R310" i="1"/>
  <c r="U310" i="1" s="1"/>
  <c r="Q310" i="1"/>
  <c r="P310" i="1"/>
  <c r="O310" i="1"/>
  <c r="N310" i="1"/>
  <c r="L310" i="1"/>
  <c r="K310" i="1"/>
  <c r="J310" i="1"/>
  <c r="I310" i="1"/>
  <c r="H310" i="1"/>
  <c r="G310" i="1"/>
  <c r="F310" i="1"/>
  <c r="E310" i="1"/>
  <c r="D310" i="1"/>
  <c r="S309" i="1"/>
  <c r="R309" i="1"/>
  <c r="U309" i="1" s="1"/>
  <c r="Q309" i="1"/>
  <c r="P309" i="1"/>
  <c r="O309" i="1"/>
  <c r="N309" i="1"/>
  <c r="L309" i="1"/>
  <c r="K309" i="1"/>
  <c r="J309" i="1"/>
  <c r="I309" i="1"/>
  <c r="H309" i="1"/>
  <c r="G309" i="1"/>
  <c r="F309" i="1"/>
  <c r="E309" i="1"/>
  <c r="D309" i="1"/>
  <c r="S308" i="1"/>
  <c r="R308" i="1"/>
  <c r="U308" i="1" s="1"/>
  <c r="Q308" i="1"/>
  <c r="P308" i="1"/>
  <c r="O308" i="1"/>
  <c r="N308" i="1"/>
  <c r="L308" i="1"/>
  <c r="K308" i="1"/>
  <c r="J308" i="1"/>
  <c r="I308" i="1"/>
  <c r="H308" i="1"/>
  <c r="G308" i="1"/>
  <c r="F308" i="1"/>
  <c r="E308" i="1"/>
  <c r="D308" i="1"/>
  <c r="S307" i="1"/>
  <c r="R307" i="1"/>
  <c r="U307" i="1" s="1"/>
  <c r="Q307" i="1"/>
  <c r="P307" i="1"/>
  <c r="O307" i="1"/>
  <c r="N307" i="1"/>
  <c r="L307" i="1"/>
  <c r="K307" i="1"/>
  <c r="J307" i="1"/>
  <c r="I307" i="1"/>
  <c r="H307" i="1"/>
  <c r="G307" i="1"/>
  <c r="F307" i="1"/>
  <c r="E307" i="1"/>
  <c r="D307" i="1"/>
  <c r="S306" i="1"/>
  <c r="R306" i="1"/>
  <c r="U306" i="1" s="1"/>
  <c r="Q306" i="1"/>
  <c r="P306" i="1"/>
  <c r="O306" i="1"/>
  <c r="N306" i="1"/>
  <c r="L306" i="1"/>
  <c r="K306" i="1"/>
  <c r="J306" i="1"/>
  <c r="I306" i="1"/>
  <c r="H306" i="1"/>
  <c r="G306" i="1"/>
  <c r="F306" i="1"/>
  <c r="E306" i="1"/>
  <c r="D306" i="1"/>
  <c r="S305" i="1"/>
  <c r="R305" i="1"/>
  <c r="U305" i="1" s="1"/>
  <c r="Q305" i="1"/>
  <c r="P305" i="1"/>
  <c r="O305" i="1"/>
  <c r="N305" i="1"/>
  <c r="L305" i="1"/>
  <c r="K305" i="1"/>
  <c r="J305" i="1"/>
  <c r="I305" i="1"/>
  <c r="H305" i="1"/>
  <c r="G305" i="1"/>
  <c r="F305" i="1"/>
  <c r="E305" i="1"/>
  <c r="D305" i="1"/>
  <c r="S304" i="1"/>
  <c r="R304" i="1"/>
  <c r="U304" i="1" s="1"/>
  <c r="Q304" i="1"/>
  <c r="P304" i="1"/>
  <c r="O304" i="1"/>
  <c r="N304" i="1"/>
  <c r="L304" i="1"/>
  <c r="K304" i="1"/>
  <c r="J304" i="1"/>
  <c r="I304" i="1"/>
  <c r="H304" i="1"/>
  <c r="G304" i="1"/>
  <c r="F304" i="1"/>
  <c r="E304" i="1"/>
  <c r="D304" i="1"/>
  <c r="S303" i="1"/>
  <c r="R303" i="1"/>
  <c r="U303" i="1" s="1"/>
  <c r="Q303" i="1"/>
  <c r="P303" i="1"/>
  <c r="O303" i="1"/>
  <c r="N303" i="1"/>
  <c r="L303" i="1"/>
  <c r="K303" i="1"/>
  <c r="J303" i="1"/>
  <c r="I303" i="1"/>
  <c r="H303" i="1"/>
  <c r="G303" i="1"/>
  <c r="F303" i="1"/>
  <c r="E303" i="1"/>
  <c r="D303" i="1"/>
  <c r="S302" i="1"/>
  <c r="R302" i="1"/>
  <c r="U302" i="1" s="1"/>
  <c r="Q302" i="1"/>
  <c r="P302" i="1"/>
  <c r="O302" i="1"/>
  <c r="N302" i="1"/>
  <c r="L302" i="1"/>
  <c r="K302" i="1"/>
  <c r="J302" i="1"/>
  <c r="I302" i="1"/>
  <c r="H302" i="1"/>
  <c r="G302" i="1"/>
  <c r="F302" i="1"/>
  <c r="E302" i="1"/>
  <c r="D302" i="1"/>
  <c r="S301" i="1"/>
  <c r="R301" i="1"/>
  <c r="U301" i="1" s="1"/>
  <c r="Q301" i="1"/>
  <c r="P301" i="1"/>
  <c r="O301" i="1"/>
  <c r="N301" i="1"/>
  <c r="L301" i="1"/>
  <c r="K301" i="1"/>
  <c r="J301" i="1"/>
  <c r="I301" i="1"/>
  <c r="H301" i="1"/>
  <c r="G301" i="1"/>
  <c r="F301" i="1"/>
  <c r="E301" i="1"/>
  <c r="D301" i="1"/>
  <c r="S300" i="1"/>
  <c r="R300" i="1"/>
  <c r="U300" i="1" s="1"/>
  <c r="Q300" i="1"/>
  <c r="P300" i="1"/>
  <c r="O300" i="1"/>
  <c r="N300" i="1"/>
  <c r="L300" i="1"/>
  <c r="K300" i="1"/>
  <c r="J300" i="1"/>
  <c r="I300" i="1"/>
  <c r="H300" i="1"/>
  <c r="G300" i="1"/>
  <c r="F300" i="1"/>
  <c r="E300" i="1"/>
  <c r="D300" i="1"/>
  <c r="S299" i="1"/>
  <c r="R299" i="1"/>
  <c r="U299" i="1" s="1"/>
  <c r="Q299" i="1"/>
  <c r="P299" i="1"/>
  <c r="O299" i="1"/>
  <c r="N299" i="1"/>
  <c r="L299" i="1"/>
  <c r="K299" i="1"/>
  <c r="J299" i="1"/>
  <c r="I299" i="1"/>
  <c r="H299" i="1"/>
  <c r="G299" i="1"/>
  <c r="F299" i="1"/>
  <c r="E299" i="1"/>
  <c r="D299" i="1"/>
  <c r="S298" i="1"/>
  <c r="R298" i="1"/>
  <c r="Q298" i="1"/>
  <c r="P298" i="1"/>
  <c r="O298" i="1"/>
  <c r="N298" i="1"/>
  <c r="L298" i="1"/>
  <c r="K298" i="1"/>
  <c r="J298" i="1"/>
  <c r="I298" i="1"/>
  <c r="H298" i="1"/>
  <c r="G298" i="1"/>
  <c r="F298" i="1"/>
  <c r="E298" i="1"/>
  <c r="D298" i="1"/>
  <c r="S297" i="1"/>
  <c r="R297" i="1"/>
  <c r="Q297" i="1"/>
  <c r="P297" i="1"/>
  <c r="O297" i="1"/>
  <c r="N297" i="1"/>
  <c r="L297" i="1"/>
  <c r="K297" i="1"/>
  <c r="J297" i="1"/>
  <c r="I297" i="1"/>
  <c r="H297" i="1"/>
  <c r="G297" i="1"/>
  <c r="F297" i="1"/>
  <c r="E297" i="1"/>
  <c r="D297" i="1"/>
  <c r="U296" i="1"/>
  <c r="S296" i="1"/>
  <c r="R296" i="1"/>
  <c r="Q296" i="1"/>
  <c r="P296" i="1"/>
  <c r="O296" i="1"/>
  <c r="N296" i="1"/>
  <c r="L296" i="1"/>
  <c r="K296" i="1"/>
  <c r="J296" i="1"/>
  <c r="I296" i="1"/>
  <c r="H296" i="1"/>
  <c r="G296" i="1"/>
  <c r="F296" i="1"/>
  <c r="E296" i="1"/>
  <c r="D296" i="1"/>
  <c r="U295" i="1"/>
  <c r="S295" i="1"/>
  <c r="R295" i="1"/>
  <c r="Q295" i="1"/>
  <c r="P295" i="1"/>
  <c r="O295" i="1"/>
  <c r="N295" i="1"/>
  <c r="L295" i="1"/>
  <c r="K295" i="1"/>
  <c r="J295" i="1"/>
  <c r="I295" i="1"/>
  <c r="H295" i="1"/>
  <c r="G295" i="1"/>
  <c r="F295" i="1"/>
  <c r="E295" i="1"/>
  <c r="D295" i="1"/>
  <c r="U294" i="1"/>
  <c r="S294" i="1"/>
  <c r="R294" i="1"/>
  <c r="Q294" i="1"/>
  <c r="P294" i="1"/>
  <c r="O294" i="1"/>
  <c r="N294" i="1"/>
  <c r="L294" i="1"/>
  <c r="K294" i="1"/>
  <c r="J294" i="1"/>
  <c r="I294" i="1"/>
  <c r="H294" i="1"/>
  <c r="G294" i="1"/>
  <c r="F294" i="1"/>
  <c r="E294" i="1"/>
  <c r="D294" i="1"/>
  <c r="U293" i="1"/>
  <c r="S293" i="1"/>
  <c r="R293" i="1"/>
  <c r="Q293" i="1"/>
  <c r="P293" i="1"/>
  <c r="O293" i="1"/>
  <c r="N293" i="1"/>
  <c r="L293" i="1"/>
  <c r="K293" i="1"/>
  <c r="J293" i="1"/>
  <c r="I293" i="1"/>
  <c r="H293" i="1"/>
  <c r="G293" i="1"/>
  <c r="F293" i="1"/>
  <c r="E293" i="1"/>
  <c r="D293" i="1"/>
  <c r="U292" i="1"/>
  <c r="S292" i="1"/>
  <c r="R292" i="1"/>
  <c r="Q292" i="1"/>
  <c r="P292" i="1"/>
  <c r="O292" i="1"/>
  <c r="N292" i="1"/>
  <c r="L292" i="1"/>
  <c r="K292" i="1"/>
  <c r="J292" i="1"/>
  <c r="I292" i="1"/>
  <c r="H292" i="1"/>
  <c r="G292" i="1"/>
  <c r="F292" i="1"/>
  <c r="E292" i="1"/>
  <c r="D292" i="1"/>
  <c r="U291" i="1"/>
  <c r="S291" i="1"/>
  <c r="R291" i="1"/>
  <c r="Q291" i="1"/>
  <c r="P291" i="1"/>
  <c r="O291" i="1"/>
  <c r="N291" i="1"/>
  <c r="L291" i="1"/>
  <c r="K291" i="1"/>
  <c r="J291" i="1"/>
  <c r="I291" i="1"/>
  <c r="H291" i="1"/>
  <c r="G291" i="1"/>
  <c r="F291" i="1"/>
  <c r="E291" i="1"/>
  <c r="D291" i="1"/>
  <c r="U290" i="1"/>
  <c r="S290" i="1"/>
  <c r="R290" i="1"/>
  <c r="Q290" i="1"/>
  <c r="P290" i="1"/>
  <c r="O290" i="1"/>
  <c r="N290" i="1"/>
  <c r="L290" i="1"/>
  <c r="K290" i="1"/>
  <c r="J290" i="1"/>
  <c r="I290" i="1"/>
  <c r="H290" i="1"/>
  <c r="G290" i="1"/>
  <c r="F290" i="1"/>
  <c r="E290" i="1"/>
  <c r="D290" i="1"/>
  <c r="U289" i="1"/>
  <c r="S289" i="1"/>
  <c r="R289" i="1"/>
  <c r="Q289" i="1"/>
  <c r="P289" i="1"/>
  <c r="O289" i="1"/>
  <c r="N289" i="1"/>
  <c r="L289" i="1"/>
  <c r="K289" i="1"/>
  <c r="J289" i="1"/>
  <c r="I289" i="1"/>
  <c r="H289" i="1"/>
  <c r="G289" i="1"/>
  <c r="F289" i="1"/>
  <c r="E289" i="1"/>
  <c r="D289" i="1"/>
  <c r="U288" i="1"/>
  <c r="S288" i="1"/>
  <c r="R288" i="1"/>
  <c r="Q288" i="1"/>
  <c r="P288" i="1"/>
  <c r="O288" i="1"/>
  <c r="N288" i="1"/>
  <c r="L288" i="1"/>
  <c r="K288" i="1"/>
  <c r="J288" i="1"/>
  <c r="I288" i="1"/>
  <c r="H288" i="1"/>
  <c r="G288" i="1"/>
  <c r="F288" i="1"/>
  <c r="E288" i="1"/>
  <c r="D288" i="1"/>
  <c r="U287" i="1"/>
  <c r="S287" i="1"/>
  <c r="R287" i="1"/>
  <c r="Q287" i="1"/>
  <c r="P287" i="1"/>
  <c r="O287" i="1"/>
  <c r="N287" i="1"/>
  <c r="L287" i="1"/>
  <c r="K287" i="1"/>
  <c r="J287" i="1"/>
  <c r="I287" i="1"/>
  <c r="H287" i="1"/>
  <c r="G287" i="1"/>
  <c r="F287" i="1"/>
  <c r="E287" i="1"/>
  <c r="D287" i="1"/>
  <c r="S286" i="1"/>
  <c r="R286" i="1"/>
  <c r="Q286" i="1"/>
  <c r="P286" i="1"/>
  <c r="O286" i="1"/>
  <c r="N286" i="1"/>
  <c r="L286" i="1"/>
  <c r="K286" i="1"/>
  <c r="J286" i="1"/>
  <c r="I286" i="1"/>
  <c r="H286" i="1"/>
  <c r="G286" i="1"/>
  <c r="F286" i="1"/>
  <c r="E286" i="1"/>
  <c r="D286" i="1"/>
  <c r="S285" i="1"/>
  <c r="R285" i="1"/>
  <c r="U285" i="1" s="1"/>
  <c r="Q285" i="1"/>
  <c r="P285" i="1"/>
  <c r="O285" i="1"/>
  <c r="N285" i="1"/>
  <c r="L285" i="1"/>
  <c r="K285" i="1"/>
  <c r="J285" i="1"/>
  <c r="I285" i="1"/>
  <c r="H285" i="1"/>
  <c r="G285" i="1"/>
  <c r="F285" i="1"/>
  <c r="E285" i="1"/>
  <c r="D285" i="1"/>
  <c r="S284" i="1"/>
  <c r="R284" i="1"/>
  <c r="U284" i="1" s="1"/>
  <c r="Q284" i="1"/>
  <c r="P284" i="1"/>
  <c r="O284" i="1"/>
  <c r="N284" i="1"/>
  <c r="L284" i="1"/>
  <c r="K284" i="1"/>
  <c r="J284" i="1"/>
  <c r="I284" i="1"/>
  <c r="H284" i="1"/>
  <c r="G284" i="1"/>
  <c r="F284" i="1"/>
  <c r="E284" i="1"/>
  <c r="D284" i="1"/>
  <c r="S283" i="1"/>
  <c r="R283" i="1"/>
  <c r="U283" i="1" s="1"/>
  <c r="Q283" i="1"/>
  <c r="P283" i="1"/>
  <c r="O283" i="1"/>
  <c r="N283" i="1"/>
  <c r="L283" i="1"/>
  <c r="K283" i="1"/>
  <c r="J283" i="1"/>
  <c r="I283" i="1"/>
  <c r="H283" i="1"/>
  <c r="G283" i="1"/>
  <c r="F283" i="1"/>
  <c r="E283" i="1"/>
  <c r="D283" i="1"/>
  <c r="S282" i="1"/>
  <c r="R282" i="1"/>
  <c r="U282" i="1" s="1"/>
  <c r="Q282" i="1"/>
  <c r="P282" i="1"/>
  <c r="O282" i="1"/>
  <c r="N282" i="1"/>
  <c r="L282" i="1"/>
  <c r="K282" i="1"/>
  <c r="J282" i="1"/>
  <c r="I282" i="1"/>
  <c r="H282" i="1"/>
  <c r="G282" i="1"/>
  <c r="F282" i="1"/>
  <c r="E282" i="1"/>
  <c r="D282" i="1"/>
  <c r="S281" i="1"/>
  <c r="R281" i="1"/>
  <c r="U281" i="1" s="1"/>
  <c r="Q281" i="1"/>
  <c r="P281" i="1"/>
  <c r="O281" i="1"/>
  <c r="N281" i="1"/>
  <c r="L281" i="1"/>
  <c r="K281" i="1"/>
  <c r="J281" i="1"/>
  <c r="I281" i="1"/>
  <c r="H281" i="1"/>
  <c r="G281" i="1"/>
  <c r="F281" i="1"/>
  <c r="E281" i="1"/>
  <c r="D281" i="1"/>
  <c r="S280" i="1"/>
  <c r="R280" i="1"/>
  <c r="U280" i="1" s="1"/>
  <c r="Q280" i="1"/>
  <c r="P280" i="1"/>
  <c r="O280" i="1"/>
  <c r="N280" i="1"/>
  <c r="L280" i="1"/>
  <c r="K280" i="1"/>
  <c r="J280" i="1"/>
  <c r="I280" i="1"/>
  <c r="H280" i="1"/>
  <c r="G280" i="1"/>
  <c r="F280" i="1"/>
  <c r="E280" i="1"/>
  <c r="D280" i="1"/>
  <c r="S279" i="1"/>
  <c r="R279" i="1"/>
  <c r="U279" i="1" s="1"/>
  <c r="Q279" i="1"/>
  <c r="P279" i="1"/>
  <c r="O279" i="1"/>
  <c r="N279" i="1"/>
  <c r="L279" i="1"/>
  <c r="K279" i="1"/>
  <c r="J279" i="1"/>
  <c r="I279" i="1"/>
  <c r="H279" i="1"/>
  <c r="G279" i="1"/>
  <c r="F279" i="1"/>
  <c r="E279" i="1"/>
  <c r="D279" i="1"/>
  <c r="S278" i="1"/>
  <c r="R278" i="1"/>
  <c r="U278" i="1" s="1"/>
  <c r="Q278" i="1"/>
  <c r="P278" i="1"/>
  <c r="O278" i="1"/>
  <c r="N278" i="1"/>
  <c r="L278" i="1"/>
  <c r="K278" i="1"/>
  <c r="J278" i="1"/>
  <c r="I278" i="1"/>
  <c r="H278" i="1"/>
  <c r="G278" i="1"/>
  <c r="F278" i="1"/>
  <c r="E278" i="1"/>
  <c r="D278" i="1"/>
  <c r="S277" i="1"/>
  <c r="R277" i="1"/>
  <c r="U277" i="1" s="1"/>
  <c r="Q277" i="1"/>
  <c r="P277" i="1"/>
  <c r="O277" i="1"/>
  <c r="N277" i="1"/>
  <c r="L277" i="1"/>
  <c r="K277" i="1"/>
  <c r="J277" i="1"/>
  <c r="I277" i="1"/>
  <c r="H277" i="1"/>
  <c r="G277" i="1"/>
  <c r="F277" i="1"/>
  <c r="E277" i="1"/>
  <c r="D277" i="1"/>
  <c r="U276" i="1"/>
  <c r="L276" i="1"/>
  <c r="K276" i="1"/>
  <c r="J276" i="1"/>
  <c r="I276" i="1"/>
  <c r="H276" i="1"/>
  <c r="G276" i="1"/>
  <c r="F276" i="1"/>
  <c r="E276" i="1"/>
  <c r="D276" i="1"/>
  <c r="U275" i="1"/>
  <c r="S275" i="1"/>
  <c r="R275" i="1"/>
  <c r="Q275" i="1"/>
  <c r="P275" i="1"/>
  <c r="O275" i="1"/>
  <c r="N275" i="1"/>
  <c r="L275" i="1"/>
  <c r="K275" i="1"/>
  <c r="J275" i="1"/>
  <c r="I275" i="1"/>
  <c r="H275" i="1"/>
  <c r="G275" i="1"/>
  <c r="F275" i="1"/>
  <c r="E275" i="1"/>
  <c r="D275" i="1"/>
  <c r="U274" i="1"/>
  <c r="S274" i="1"/>
  <c r="R274" i="1"/>
  <c r="Q274" i="1"/>
  <c r="P274" i="1"/>
  <c r="O274" i="1"/>
  <c r="N274" i="1"/>
  <c r="L274" i="1"/>
  <c r="K274" i="1"/>
  <c r="J274" i="1"/>
  <c r="I274" i="1"/>
  <c r="H274" i="1"/>
  <c r="G274" i="1"/>
  <c r="F274" i="1"/>
  <c r="E274" i="1"/>
  <c r="D274" i="1"/>
  <c r="U273" i="1"/>
  <c r="S273" i="1"/>
  <c r="R273" i="1"/>
  <c r="Q273" i="1"/>
  <c r="P273" i="1"/>
  <c r="O273" i="1"/>
  <c r="N273" i="1"/>
  <c r="L273" i="1"/>
  <c r="K273" i="1"/>
  <c r="J273" i="1"/>
  <c r="I273" i="1"/>
  <c r="H273" i="1"/>
  <c r="G273" i="1"/>
  <c r="F273" i="1"/>
  <c r="E273" i="1"/>
  <c r="D273" i="1"/>
  <c r="U272" i="1"/>
  <c r="S272" i="1"/>
  <c r="R272" i="1"/>
  <c r="Q272" i="1"/>
  <c r="P272" i="1"/>
  <c r="O272" i="1"/>
  <c r="N272" i="1"/>
  <c r="L272" i="1"/>
  <c r="K272" i="1"/>
  <c r="J272" i="1"/>
  <c r="I272" i="1"/>
  <c r="H272" i="1"/>
  <c r="G272" i="1"/>
  <c r="F272" i="1"/>
  <c r="E272" i="1"/>
  <c r="D272" i="1"/>
  <c r="U271" i="1"/>
  <c r="S271" i="1"/>
  <c r="R271" i="1"/>
  <c r="Q271" i="1"/>
  <c r="P271" i="1"/>
  <c r="O271" i="1"/>
  <c r="N271" i="1"/>
  <c r="L271" i="1"/>
  <c r="K271" i="1"/>
  <c r="J271" i="1"/>
  <c r="I271" i="1"/>
  <c r="H271" i="1"/>
  <c r="G271" i="1"/>
  <c r="F271" i="1"/>
  <c r="E271" i="1"/>
  <c r="D271" i="1"/>
  <c r="U270" i="1"/>
  <c r="S270" i="1"/>
  <c r="R270" i="1"/>
  <c r="Q270" i="1"/>
  <c r="P270" i="1"/>
  <c r="O270" i="1"/>
  <c r="N270" i="1"/>
  <c r="L270" i="1"/>
  <c r="K270" i="1"/>
  <c r="J270" i="1"/>
  <c r="I270" i="1"/>
  <c r="H270" i="1"/>
  <c r="G270" i="1"/>
  <c r="F270" i="1"/>
  <c r="E270" i="1"/>
  <c r="D270" i="1"/>
  <c r="U269" i="1"/>
  <c r="S269" i="1"/>
  <c r="R269" i="1"/>
  <c r="Q269" i="1"/>
  <c r="P269" i="1"/>
  <c r="O269" i="1"/>
  <c r="N269" i="1"/>
  <c r="L269" i="1"/>
  <c r="K269" i="1"/>
  <c r="J269" i="1"/>
  <c r="I269" i="1"/>
  <c r="H269" i="1"/>
  <c r="G269" i="1"/>
  <c r="F269" i="1"/>
  <c r="E269" i="1"/>
  <c r="D269" i="1"/>
  <c r="U268" i="1"/>
  <c r="S268" i="1"/>
  <c r="R268" i="1"/>
  <c r="Q268" i="1"/>
  <c r="P268" i="1"/>
  <c r="O268" i="1"/>
  <c r="N268" i="1"/>
  <c r="L268" i="1"/>
  <c r="K268" i="1"/>
  <c r="J268" i="1"/>
  <c r="I268" i="1"/>
  <c r="H268" i="1"/>
  <c r="G268" i="1"/>
  <c r="F268" i="1"/>
  <c r="E268" i="1"/>
  <c r="D268" i="1"/>
  <c r="U267" i="1"/>
  <c r="S267" i="1"/>
  <c r="R267" i="1"/>
  <c r="Q267" i="1"/>
  <c r="P267" i="1"/>
  <c r="O267" i="1"/>
  <c r="N267" i="1"/>
  <c r="L267" i="1"/>
  <c r="K267" i="1"/>
  <c r="J267" i="1"/>
  <c r="I267" i="1"/>
  <c r="H267" i="1"/>
  <c r="G267" i="1"/>
  <c r="F267" i="1"/>
  <c r="E267" i="1"/>
  <c r="D267" i="1"/>
  <c r="U266" i="1"/>
  <c r="S266" i="1"/>
  <c r="R266" i="1"/>
  <c r="Q266" i="1"/>
  <c r="P266" i="1"/>
  <c r="O266" i="1"/>
  <c r="N266" i="1"/>
  <c r="L266" i="1"/>
  <c r="K266" i="1"/>
  <c r="J266" i="1"/>
  <c r="I266" i="1"/>
  <c r="H266" i="1"/>
  <c r="G266" i="1"/>
  <c r="F266" i="1"/>
  <c r="E266" i="1"/>
  <c r="D266" i="1"/>
  <c r="U265" i="1"/>
  <c r="S265" i="1"/>
  <c r="R265" i="1"/>
  <c r="Q265" i="1"/>
  <c r="P265" i="1"/>
  <c r="O265" i="1"/>
  <c r="N265" i="1"/>
  <c r="L265" i="1"/>
  <c r="K265" i="1"/>
  <c r="J265" i="1"/>
  <c r="I265" i="1"/>
  <c r="H265" i="1"/>
  <c r="G265" i="1"/>
  <c r="F265" i="1"/>
  <c r="E265" i="1"/>
  <c r="D265" i="1"/>
  <c r="U264" i="1"/>
  <c r="S264" i="1"/>
  <c r="R264" i="1"/>
  <c r="Q264" i="1"/>
  <c r="P264" i="1"/>
  <c r="O264" i="1"/>
  <c r="N264" i="1"/>
  <c r="L264" i="1"/>
  <c r="K264" i="1"/>
  <c r="J264" i="1"/>
  <c r="I264" i="1"/>
  <c r="H264" i="1"/>
  <c r="G264" i="1"/>
  <c r="F264" i="1"/>
  <c r="E264" i="1"/>
  <c r="D264" i="1"/>
  <c r="U263" i="1"/>
  <c r="S263" i="1"/>
  <c r="R263" i="1"/>
  <c r="Q263" i="1"/>
  <c r="P263" i="1"/>
  <c r="O263" i="1"/>
  <c r="N263" i="1"/>
  <c r="L263" i="1"/>
  <c r="K263" i="1"/>
  <c r="J263" i="1"/>
  <c r="I263" i="1"/>
  <c r="H263" i="1"/>
  <c r="G263" i="1"/>
  <c r="F263" i="1"/>
  <c r="E263" i="1"/>
  <c r="D263" i="1"/>
  <c r="U262" i="1"/>
  <c r="S262" i="1"/>
  <c r="R262" i="1"/>
  <c r="Q262" i="1"/>
  <c r="P262" i="1"/>
  <c r="O262" i="1"/>
  <c r="N262" i="1"/>
  <c r="L262" i="1"/>
  <c r="K262" i="1"/>
  <c r="J262" i="1"/>
  <c r="I262" i="1"/>
  <c r="H262" i="1"/>
  <c r="G262" i="1"/>
  <c r="F262" i="1"/>
  <c r="E262" i="1"/>
  <c r="D262" i="1"/>
  <c r="S261" i="1"/>
  <c r="R261" i="1"/>
  <c r="Q261" i="1"/>
  <c r="P261" i="1"/>
  <c r="O261" i="1"/>
  <c r="N261" i="1"/>
  <c r="L261" i="1"/>
  <c r="K261" i="1"/>
  <c r="J261" i="1"/>
  <c r="I261" i="1"/>
  <c r="H261" i="1"/>
  <c r="G261" i="1"/>
  <c r="F261" i="1"/>
  <c r="E261" i="1"/>
  <c r="D261" i="1"/>
  <c r="U260" i="1"/>
  <c r="L260" i="1"/>
  <c r="K260" i="1"/>
  <c r="J260" i="1"/>
  <c r="I260" i="1"/>
  <c r="H260" i="1"/>
  <c r="G260" i="1"/>
  <c r="F260" i="1"/>
  <c r="E260" i="1"/>
  <c r="D260" i="1"/>
  <c r="U259" i="1"/>
  <c r="L259" i="1"/>
  <c r="K259" i="1"/>
  <c r="J259" i="1"/>
  <c r="I259" i="1"/>
  <c r="H259" i="1"/>
  <c r="G259" i="1"/>
  <c r="F259" i="1"/>
  <c r="E259" i="1"/>
  <c r="D259" i="1"/>
  <c r="U258" i="1"/>
  <c r="L258" i="1"/>
  <c r="K258" i="1"/>
  <c r="J258" i="1"/>
  <c r="I258" i="1"/>
  <c r="H258" i="1"/>
  <c r="G258" i="1"/>
  <c r="F258" i="1"/>
  <c r="E258" i="1"/>
  <c r="D258" i="1"/>
  <c r="U257" i="1"/>
  <c r="L257" i="1"/>
  <c r="K257" i="1"/>
  <c r="J257" i="1"/>
  <c r="I257" i="1"/>
  <c r="H257" i="1"/>
  <c r="G257" i="1"/>
  <c r="F257" i="1"/>
  <c r="E257" i="1"/>
  <c r="D257" i="1"/>
  <c r="S256" i="1"/>
  <c r="R256" i="1"/>
  <c r="U256" i="1" s="1"/>
  <c r="Q256" i="1"/>
  <c r="P256" i="1"/>
  <c r="O256" i="1"/>
  <c r="N256" i="1"/>
  <c r="L256" i="1"/>
  <c r="K256" i="1"/>
  <c r="J256" i="1"/>
  <c r="I256" i="1"/>
  <c r="H256" i="1"/>
  <c r="G256" i="1"/>
  <c r="F256" i="1"/>
  <c r="E256" i="1"/>
  <c r="D256" i="1"/>
  <c r="S255" i="1"/>
  <c r="R255" i="1"/>
  <c r="U255" i="1" s="1"/>
  <c r="Q255" i="1"/>
  <c r="P255" i="1"/>
  <c r="O255" i="1"/>
  <c r="N255" i="1"/>
  <c r="L255" i="1"/>
  <c r="K255" i="1"/>
  <c r="J255" i="1"/>
  <c r="I255" i="1"/>
  <c r="H255" i="1"/>
  <c r="G255" i="1"/>
  <c r="F255" i="1"/>
  <c r="E255" i="1"/>
  <c r="D255" i="1"/>
  <c r="S254" i="1"/>
  <c r="R254" i="1"/>
  <c r="U254" i="1" s="1"/>
  <c r="Q254" i="1"/>
  <c r="P254" i="1"/>
  <c r="O254" i="1"/>
  <c r="N254" i="1"/>
  <c r="L254" i="1"/>
  <c r="K254" i="1"/>
  <c r="J254" i="1"/>
  <c r="I254" i="1"/>
  <c r="H254" i="1"/>
  <c r="G254" i="1"/>
  <c r="F254" i="1"/>
  <c r="E254" i="1"/>
  <c r="D254" i="1"/>
  <c r="S253" i="1"/>
  <c r="R253" i="1"/>
  <c r="U253" i="1" s="1"/>
  <c r="Q253" i="1"/>
  <c r="P253" i="1"/>
  <c r="O253" i="1"/>
  <c r="N253" i="1"/>
  <c r="L253" i="1"/>
  <c r="K253" i="1"/>
  <c r="J253" i="1"/>
  <c r="I253" i="1"/>
  <c r="H253" i="1"/>
  <c r="G253" i="1"/>
  <c r="F253" i="1"/>
  <c r="E253" i="1"/>
  <c r="D253" i="1"/>
  <c r="S252" i="1"/>
  <c r="R252" i="1"/>
  <c r="U252" i="1" s="1"/>
  <c r="Q252" i="1"/>
  <c r="P252" i="1"/>
  <c r="O252" i="1"/>
  <c r="N252" i="1"/>
  <c r="L252" i="1"/>
  <c r="K252" i="1"/>
  <c r="J252" i="1"/>
  <c r="I252" i="1"/>
  <c r="H252" i="1"/>
  <c r="G252" i="1"/>
  <c r="F252" i="1"/>
  <c r="E252" i="1"/>
  <c r="D252" i="1"/>
  <c r="S251" i="1"/>
  <c r="R251" i="1"/>
  <c r="U251" i="1" s="1"/>
  <c r="Q251" i="1"/>
  <c r="P251" i="1"/>
  <c r="O251" i="1"/>
  <c r="N251" i="1"/>
  <c r="L251" i="1"/>
  <c r="K251" i="1"/>
  <c r="J251" i="1"/>
  <c r="I251" i="1"/>
  <c r="H251" i="1"/>
  <c r="G251" i="1"/>
  <c r="F251" i="1"/>
  <c r="E251" i="1"/>
  <c r="D251" i="1"/>
  <c r="S250" i="1"/>
  <c r="R250" i="1"/>
  <c r="U250" i="1" s="1"/>
  <c r="Q250" i="1"/>
  <c r="P250" i="1"/>
  <c r="O250" i="1"/>
  <c r="N250" i="1"/>
  <c r="L250" i="1"/>
  <c r="K250" i="1"/>
  <c r="J250" i="1"/>
  <c r="I250" i="1"/>
  <c r="H250" i="1"/>
  <c r="G250" i="1"/>
  <c r="F250" i="1"/>
  <c r="E250" i="1"/>
  <c r="D250" i="1"/>
  <c r="S249" i="1"/>
  <c r="R249" i="1"/>
  <c r="U249" i="1" s="1"/>
  <c r="Q249" i="1"/>
  <c r="P249" i="1"/>
  <c r="O249" i="1"/>
  <c r="N249" i="1"/>
  <c r="L249" i="1"/>
  <c r="K249" i="1"/>
  <c r="J249" i="1"/>
  <c r="I249" i="1"/>
  <c r="H249" i="1"/>
  <c r="G249" i="1"/>
  <c r="F249" i="1"/>
  <c r="E249" i="1"/>
  <c r="D249" i="1"/>
  <c r="S248" i="1"/>
  <c r="R248" i="1"/>
  <c r="U248" i="1" s="1"/>
  <c r="Q248" i="1"/>
  <c r="P248" i="1"/>
  <c r="O248" i="1"/>
  <c r="N248" i="1"/>
  <c r="L248" i="1"/>
  <c r="K248" i="1"/>
  <c r="J248" i="1"/>
  <c r="I248" i="1"/>
  <c r="H248" i="1"/>
  <c r="G248" i="1"/>
  <c r="F248" i="1"/>
  <c r="E248" i="1"/>
  <c r="D248" i="1"/>
  <c r="S247" i="1"/>
  <c r="R247" i="1"/>
  <c r="U247" i="1" s="1"/>
  <c r="Q247" i="1"/>
  <c r="P247" i="1"/>
  <c r="O247" i="1"/>
  <c r="N247" i="1"/>
  <c r="L247" i="1"/>
  <c r="K247" i="1"/>
  <c r="J247" i="1"/>
  <c r="I247" i="1"/>
  <c r="H247" i="1"/>
  <c r="G247" i="1"/>
  <c r="F247" i="1"/>
  <c r="E247" i="1"/>
  <c r="D247" i="1"/>
  <c r="U246" i="1"/>
  <c r="L246" i="1"/>
  <c r="K246" i="1"/>
  <c r="J246" i="1"/>
  <c r="I246" i="1"/>
  <c r="H246" i="1"/>
  <c r="G246" i="1"/>
  <c r="F246" i="1"/>
  <c r="E246" i="1"/>
  <c r="D246" i="1"/>
  <c r="U245" i="1"/>
  <c r="L245" i="1"/>
  <c r="K245" i="1"/>
  <c r="J245" i="1"/>
  <c r="I245" i="1"/>
  <c r="H245" i="1"/>
  <c r="G245" i="1"/>
  <c r="F245" i="1"/>
  <c r="E245" i="1"/>
  <c r="D245" i="1"/>
  <c r="U244" i="1"/>
  <c r="L244" i="1"/>
  <c r="K244" i="1"/>
  <c r="J244" i="1"/>
  <c r="I244" i="1"/>
  <c r="H244" i="1"/>
  <c r="G244" i="1"/>
  <c r="F244" i="1"/>
  <c r="E244" i="1"/>
  <c r="D244" i="1"/>
  <c r="U243" i="1"/>
  <c r="L243" i="1"/>
  <c r="K243" i="1"/>
  <c r="J243" i="1"/>
  <c r="I243" i="1"/>
  <c r="H243" i="1"/>
  <c r="G243" i="1"/>
  <c r="F243" i="1"/>
  <c r="E243" i="1"/>
  <c r="D243" i="1"/>
  <c r="U242" i="1"/>
  <c r="L242" i="1"/>
  <c r="K242" i="1"/>
  <c r="J242" i="1"/>
  <c r="I242" i="1"/>
  <c r="H242" i="1"/>
  <c r="G242" i="1"/>
  <c r="F242" i="1"/>
  <c r="E242" i="1"/>
  <c r="D242" i="1"/>
  <c r="U241" i="1"/>
  <c r="L241" i="1"/>
  <c r="K241" i="1"/>
  <c r="J241" i="1"/>
  <c r="I241" i="1"/>
  <c r="H241" i="1"/>
  <c r="G241" i="1"/>
  <c r="F241" i="1"/>
  <c r="E241" i="1"/>
  <c r="D241" i="1"/>
  <c r="U240" i="1"/>
  <c r="L240" i="1"/>
  <c r="K240" i="1"/>
  <c r="J240" i="1"/>
  <c r="I240" i="1"/>
  <c r="H240" i="1"/>
  <c r="G240" i="1"/>
  <c r="F240" i="1"/>
  <c r="E240" i="1"/>
  <c r="D240" i="1"/>
  <c r="U239" i="1"/>
  <c r="L239" i="1"/>
  <c r="K239" i="1"/>
  <c r="J239" i="1"/>
  <c r="I239" i="1"/>
  <c r="H239" i="1"/>
  <c r="G239" i="1"/>
  <c r="F239" i="1"/>
  <c r="E239" i="1"/>
  <c r="D239" i="1"/>
  <c r="U238" i="1"/>
  <c r="L238" i="1"/>
  <c r="K238" i="1"/>
  <c r="J238" i="1"/>
  <c r="I238" i="1"/>
  <c r="H238" i="1"/>
  <c r="G238" i="1"/>
  <c r="F238" i="1"/>
  <c r="E238" i="1"/>
  <c r="D238" i="1"/>
  <c r="U237" i="1"/>
  <c r="S237" i="1"/>
  <c r="R237" i="1"/>
  <c r="Q237" i="1"/>
  <c r="P237" i="1"/>
  <c r="O237" i="1"/>
  <c r="N237" i="1"/>
  <c r="L237" i="1"/>
  <c r="K237" i="1"/>
  <c r="J237" i="1"/>
  <c r="I237" i="1"/>
  <c r="H237" i="1"/>
  <c r="G237" i="1"/>
  <c r="F237" i="1"/>
  <c r="E237" i="1"/>
  <c r="D237" i="1"/>
  <c r="U236" i="1"/>
  <c r="S236" i="1"/>
  <c r="R236" i="1"/>
  <c r="Q236" i="1"/>
  <c r="P236" i="1"/>
  <c r="O236" i="1"/>
  <c r="N236" i="1"/>
  <c r="L236" i="1"/>
  <c r="K236" i="1"/>
  <c r="J236" i="1"/>
  <c r="I236" i="1"/>
  <c r="H236" i="1"/>
  <c r="G236" i="1"/>
  <c r="F236" i="1"/>
  <c r="E236" i="1"/>
  <c r="D236" i="1"/>
  <c r="U235" i="1"/>
  <c r="S235" i="1"/>
  <c r="R235" i="1"/>
  <c r="Q235" i="1"/>
  <c r="P235" i="1"/>
  <c r="O235" i="1"/>
  <c r="N235" i="1"/>
  <c r="L235" i="1"/>
  <c r="K235" i="1"/>
  <c r="J235" i="1"/>
  <c r="I235" i="1"/>
  <c r="H235" i="1"/>
  <c r="G235" i="1"/>
  <c r="F235" i="1"/>
  <c r="E235" i="1"/>
  <c r="D235" i="1"/>
  <c r="U234" i="1"/>
  <c r="S234" i="1"/>
  <c r="R234" i="1"/>
  <c r="Q234" i="1"/>
  <c r="P234" i="1"/>
  <c r="O234" i="1"/>
  <c r="N234" i="1"/>
  <c r="L234" i="1"/>
  <c r="K234" i="1"/>
  <c r="J234" i="1"/>
  <c r="I234" i="1"/>
  <c r="H234" i="1"/>
  <c r="G234" i="1"/>
  <c r="F234" i="1"/>
  <c r="E234" i="1"/>
  <c r="D234" i="1"/>
  <c r="U233" i="1"/>
  <c r="S233" i="1"/>
  <c r="R233" i="1"/>
  <c r="Q233" i="1"/>
  <c r="P233" i="1"/>
  <c r="O233" i="1"/>
  <c r="N233" i="1"/>
  <c r="L233" i="1"/>
  <c r="K233" i="1"/>
  <c r="J233" i="1"/>
  <c r="I233" i="1"/>
  <c r="H233" i="1"/>
  <c r="G233" i="1"/>
  <c r="F233" i="1"/>
  <c r="E233" i="1"/>
  <c r="D233" i="1"/>
  <c r="U232" i="1"/>
  <c r="S232" i="1"/>
  <c r="R232" i="1"/>
  <c r="Q232" i="1"/>
  <c r="P232" i="1"/>
  <c r="O232" i="1"/>
  <c r="N232" i="1"/>
  <c r="L232" i="1"/>
  <c r="K232" i="1"/>
  <c r="J232" i="1"/>
  <c r="I232" i="1"/>
  <c r="H232" i="1"/>
  <c r="G232" i="1"/>
  <c r="F232" i="1"/>
  <c r="E232" i="1"/>
  <c r="D232" i="1"/>
  <c r="U231" i="1"/>
  <c r="S231" i="1"/>
  <c r="R231" i="1"/>
  <c r="Q231" i="1"/>
  <c r="P231" i="1"/>
  <c r="O231" i="1"/>
  <c r="N231" i="1"/>
  <c r="L231" i="1"/>
  <c r="K231" i="1"/>
  <c r="J231" i="1"/>
  <c r="I231" i="1"/>
  <c r="H231" i="1"/>
  <c r="G231" i="1"/>
  <c r="F231" i="1"/>
  <c r="E231" i="1"/>
  <c r="D231" i="1"/>
  <c r="U230" i="1"/>
  <c r="S230" i="1"/>
  <c r="R230" i="1"/>
  <c r="Q230" i="1"/>
  <c r="P230" i="1"/>
  <c r="O230" i="1"/>
  <c r="N230" i="1"/>
  <c r="L230" i="1"/>
  <c r="K230" i="1"/>
  <c r="J230" i="1"/>
  <c r="I230" i="1"/>
  <c r="H230" i="1"/>
  <c r="G230" i="1"/>
  <c r="F230" i="1"/>
  <c r="E230" i="1"/>
  <c r="D230" i="1"/>
  <c r="U229" i="1"/>
  <c r="S229" i="1"/>
  <c r="R229" i="1"/>
  <c r="Q229" i="1"/>
  <c r="P229" i="1"/>
  <c r="O229" i="1"/>
  <c r="N229" i="1"/>
  <c r="L229" i="1"/>
  <c r="K229" i="1"/>
  <c r="J229" i="1"/>
  <c r="I229" i="1"/>
  <c r="H229" i="1"/>
  <c r="G229" i="1"/>
  <c r="F229" i="1"/>
  <c r="E229" i="1"/>
  <c r="D229" i="1"/>
  <c r="U228" i="1"/>
  <c r="S228" i="1"/>
  <c r="R228" i="1"/>
  <c r="Q228" i="1"/>
  <c r="P228" i="1"/>
  <c r="O228" i="1"/>
  <c r="N228" i="1"/>
  <c r="L228" i="1"/>
  <c r="K228" i="1"/>
  <c r="J228" i="1"/>
  <c r="I228" i="1"/>
  <c r="H228" i="1"/>
  <c r="G228" i="1"/>
  <c r="F228" i="1"/>
  <c r="E228" i="1"/>
  <c r="D228" i="1"/>
  <c r="U227" i="1"/>
  <c r="S227" i="1"/>
  <c r="R227" i="1"/>
  <c r="Q227" i="1"/>
  <c r="P227" i="1"/>
  <c r="O227" i="1"/>
  <c r="N227" i="1"/>
  <c r="L227" i="1"/>
  <c r="K227" i="1"/>
  <c r="J227" i="1"/>
  <c r="I227" i="1"/>
  <c r="H227" i="1"/>
  <c r="G227" i="1"/>
  <c r="F227" i="1"/>
  <c r="E227" i="1"/>
  <c r="D227" i="1"/>
  <c r="U226" i="1"/>
  <c r="S226" i="1"/>
  <c r="R226" i="1"/>
  <c r="Q226" i="1"/>
  <c r="P226" i="1"/>
  <c r="O226" i="1"/>
  <c r="N226" i="1"/>
  <c r="L226" i="1"/>
  <c r="K226" i="1"/>
  <c r="J226" i="1"/>
  <c r="I226" i="1"/>
  <c r="H226" i="1"/>
  <c r="G226" i="1"/>
  <c r="F226" i="1"/>
  <c r="E226" i="1"/>
  <c r="D226" i="1"/>
  <c r="U225" i="1"/>
  <c r="S225" i="1"/>
  <c r="R225" i="1"/>
  <c r="Q225" i="1"/>
  <c r="P225" i="1"/>
  <c r="O225" i="1"/>
  <c r="N225" i="1"/>
  <c r="L225" i="1"/>
  <c r="K225" i="1"/>
  <c r="J225" i="1"/>
  <c r="I225" i="1"/>
  <c r="H225" i="1"/>
  <c r="G225" i="1"/>
  <c r="F225" i="1"/>
  <c r="E225" i="1"/>
  <c r="D225" i="1"/>
  <c r="U224" i="1"/>
  <c r="S224" i="1"/>
  <c r="R224" i="1"/>
  <c r="Q224" i="1"/>
  <c r="P224" i="1"/>
  <c r="O224" i="1"/>
  <c r="N224" i="1"/>
  <c r="L224" i="1"/>
  <c r="K224" i="1"/>
  <c r="J224" i="1"/>
  <c r="I224" i="1"/>
  <c r="H224" i="1"/>
  <c r="G224" i="1"/>
  <c r="F224" i="1"/>
  <c r="E224" i="1"/>
  <c r="D224" i="1"/>
  <c r="U223" i="1"/>
  <c r="S223" i="1"/>
  <c r="R223" i="1"/>
  <c r="Q223" i="1"/>
  <c r="P223" i="1"/>
  <c r="O223" i="1"/>
  <c r="N223" i="1"/>
  <c r="L223" i="1"/>
  <c r="K223" i="1"/>
  <c r="J223" i="1"/>
  <c r="I223" i="1"/>
  <c r="H223" i="1"/>
  <c r="G223" i="1"/>
  <c r="F223" i="1"/>
  <c r="E223" i="1"/>
  <c r="D223" i="1"/>
  <c r="U222" i="1"/>
  <c r="S222" i="1"/>
  <c r="R222" i="1"/>
  <c r="Q222" i="1"/>
  <c r="P222" i="1"/>
  <c r="O222" i="1"/>
  <c r="N222" i="1"/>
  <c r="L222" i="1"/>
  <c r="K222" i="1"/>
  <c r="J222" i="1"/>
  <c r="I222" i="1"/>
  <c r="H222" i="1"/>
  <c r="G222" i="1"/>
  <c r="F222" i="1"/>
  <c r="E222" i="1"/>
  <c r="D222" i="1"/>
  <c r="U221" i="1"/>
  <c r="S221" i="1"/>
  <c r="R221" i="1"/>
  <c r="Q221" i="1"/>
  <c r="P221" i="1"/>
  <c r="O221" i="1"/>
  <c r="N221" i="1"/>
  <c r="L221" i="1"/>
  <c r="K221" i="1"/>
  <c r="J221" i="1"/>
  <c r="I221" i="1"/>
  <c r="H221" i="1"/>
  <c r="G221" i="1"/>
  <c r="F221" i="1"/>
  <c r="E221" i="1"/>
  <c r="D221" i="1"/>
  <c r="U220" i="1"/>
  <c r="S220" i="1"/>
  <c r="R220" i="1"/>
  <c r="Q220" i="1"/>
  <c r="P220" i="1"/>
  <c r="O220" i="1"/>
  <c r="N220" i="1"/>
  <c r="L220" i="1"/>
  <c r="K220" i="1"/>
  <c r="J220" i="1"/>
  <c r="I220" i="1"/>
  <c r="H220" i="1"/>
  <c r="G220" i="1"/>
  <c r="F220" i="1"/>
  <c r="E220" i="1"/>
  <c r="D220" i="1"/>
  <c r="U219" i="1"/>
  <c r="S219" i="1"/>
  <c r="R219" i="1"/>
  <c r="Q219" i="1"/>
  <c r="P219" i="1"/>
  <c r="O219" i="1"/>
  <c r="N219" i="1"/>
  <c r="L219" i="1"/>
  <c r="K219" i="1"/>
  <c r="J219" i="1"/>
  <c r="I219" i="1"/>
  <c r="H219" i="1"/>
  <c r="G219" i="1"/>
  <c r="F219" i="1"/>
  <c r="E219" i="1"/>
  <c r="D219" i="1"/>
  <c r="U218" i="1"/>
  <c r="S218" i="1"/>
  <c r="R218" i="1"/>
  <c r="Q218" i="1"/>
  <c r="P218" i="1"/>
  <c r="O218" i="1"/>
  <c r="N218" i="1"/>
  <c r="L218" i="1"/>
  <c r="K218" i="1"/>
  <c r="J218" i="1"/>
  <c r="I218" i="1"/>
  <c r="H218" i="1"/>
  <c r="G218" i="1"/>
  <c r="F218" i="1"/>
  <c r="E218" i="1"/>
  <c r="D218" i="1"/>
  <c r="U217" i="1"/>
  <c r="S217" i="1"/>
  <c r="R217" i="1"/>
  <c r="Q217" i="1"/>
  <c r="P217" i="1"/>
  <c r="O217" i="1"/>
  <c r="N217" i="1"/>
  <c r="L217" i="1"/>
  <c r="K217" i="1"/>
  <c r="J217" i="1"/>
  <c r="I217" i="1"/>
  <c r="H217" i="1"/>
  <c r="G217" i="1"/>
  <c r="F217" i="1"/>
  <c r="E217" i="1"/>
  <c r="D217" i="1"/>
  <c r="U216" i="1"/>
  <c r="S216" i="1"/>
  <c r="R216" i="1"/>
  <c r="Q216" i="1"/>
  <c r="P216" i="1"/>
  <c r="O216" i="1"/>
  <c r="N216" i="1"/>
  <c r="L216" i="1"/>
  <c r="K216" i="1"/>
  <c r="J216" i="1"/>
  <c r="I216" i="1"/>
  <c r="H216" i="1"/>
  <c r="G216" i="1"/>
  <c r="F216" i="1"/>
  <c r="E216" i="1"/>
  <c r="D216" i="1"/>
  <c r="U215" i="1"/>
  <c r="S215" i="1"/>
  <c r="R215" i="1"/>
  <c r="Q215" i="1"/>
  <c r="P215" i="1"/>
  <c r="O215" i="1"/>
  <c r="N215" i="1"/>
  <c r="L215" i="1"/>
  <c r="K215" i="1"/>
  <c r="J215" i="1"/>
  <c r="I215" i="1"/>
  <c r="H215" i="1"/>
  <c r="G215" i="1"/>
  <c r="F215" i="1"/>
  <c r="E215" i="1"/>
  <c r="D215" i="1"/>
  <c r="U214" i="1"/>
  <c r="S214" i="1"/>
  <c r="R214" i="1"/>
  <c r="Q214" i="1"/>
  <c r="P214" i="1"/>
  <c r="O214" i="1"/>
  <c r="N214" i="1"/>
  <c r="L214" i="1"/>
  <c r="K214" i="1"/>
  <c r="J214" i="1"/>
  <c r="I214" i="1"/>
  <c r="H214" i="1"/>
  <c r="G214" i="1"/>
  <c r="F214" i="1"/>
  <c r="E214" i="1"/>
  <c r="D214" i="1"/>
  <c r="U213" i="1"/>
  <c r="S213" i="1"/>
  <c r="R213" i="1"/>
  <c r="Q213" i="1"/>
  <c r="P213" i="1"/>
  <c r="O213" i="1"/>
  <c r="N213" i="1"/>
  <c r="L213" i="1"/>
  <c r="K213" i="1"/>
  <c r="J213" i="1"/>
  <c r="I213" i="1"/>
  <c r="H213" i="1"/>
  <c r="G213" i="1"/>
  <c r="F213" i="1"/>
  <c r="E213" i="1"/>
  <c r="D213" i="1"/>
  <c r="U212" i="1"/>
  <c r="S212" i="1"/>
  <c r="R212" i="1"/>
  <c r="Q212" i="1"/>
  <c r="P212" i="1"/>
  <c r="O212" i="1"/>
  <c r="N212" i="1"/>
  <c r="L212" i="1"/>
  <c r="K212" i="1"/>
  <c r="J212" i="1"/>
  <c r="I212" i="1"/>
  <c r="H212" i="1"/>
  <c r="G212" i="1"/>
  <c r="F212" i="1"/>
  <c r="E212" i="1"/>
  <c r="D212" i="1"/>
  <c r="U211" i="1"/>
  <c r="S211" i="1"/>
  <c r="R211" i="1"/>
  <c r="Q211" i="1"/>
  <c r="P211" i="1"/>
  <c r="O211" i="1"/>
  <c r="N211" i="1"/>
  <c r="L211" i="1"/>
  <c r="K211" i="1"/>
  <c r="J211" i="1"/>
  <c r="I211" i="1"/>
  <c r="H211" i="1"/>
  <c r="G211" i="1"/>
  <c r="F211" i="1"/>
  <c r="E211" i="1"/>
  <c r="D211" i="1"/>
  <c r="U210" i="1"/>
  <c r="S210" i="1"/>
  <c r="R210" i="1"/>
  <c r="Q210" i="1"/>
  <c r="P210" i="1"/>
  <c r="O210" i="1"/>
  <c r="N210" i="1"/>
  <c r="L210" i="1"/>
  <c r="K210" i="1"/>
  <c r="J210" i="1"/>
  <c r="I210" i="1"/>
  <c r="H210" i="1"/>
  <c r="G210" i="1"/>
  <c r="F210" i="1"/>
  <c r="E210" i="1"/>
  <c r="D210" i="1"/>
  <c r="U209" i="1"/>
  <c r="S209" i="1"/>
  <c r="R209" i="1"/>
  <c r="Q209" i="1"/>
  <c r="P209" i="1"/>
  <c r="O209" i="1"/>
  <c r="N209" i="1"/>
  <c r="L209" i="1"/>
  <c r="K209" i="1"/>
  <c r="J209" i="1"/>
  <c r="I209" i="1"/>
  <c r="H209" i="1"/>
  <c r="G209" i="1"/>
  <c r="F209" i="1"/>
  <c r="E209" i="1"/>
  <c r="D209" i="1"/>
  <c r="U208" i="1"/>
  <c r="S208" i="1"/>
  <c r="R208" i="1"/>
  <c r="Q208" i="1"/>
  <c r="P208" i="1"/>
  <c r="O208" i="1"/>
  <c r="N208" i="1"/>
  <c r="L208" i="1"/>
  <c r="K208" i="1"/>
  <c r="J208" i="1"/>
  <c r="I208" i="1"/>
  <c r="H208" i="1"/>
  <c r="G208" i="1"/>
  <c r="F208" i="1"/>
  <c r="E208" i="1"/>
  <c r="D208" i="1"/>
  <c r="U207" i="1"/>
  <c r="S207" i="1"/>
  <c r="R207" i="1"/>
  <c r="Q207" i="1"/>
  <c r="P207" i="1"/>
  <c r="O207" i="1"/>
  <c r="N207" i="1"/>
  <c r="L207" i="1"/>
  <c r="K207" i="1"/>
  <c r="J207" i="1"/>
  <c r="I207" i="1"/>
  <c r="H207" i="1"/>
  <c r="G207" i="1"/>
  <c r="F207" i="1"/>
  <c r="E207" i="1"/>
  <c r="D207" i="1"/>
  <c r="U206" i="1"/>
  <c r="S206" i="1"/>
  <c r="R206" i="1"/>
  <c r="Q206" i="1"/>
  <c r="P206" i="1"/>
  <c r="O206" i="1"/>
  <c r="N206" i="1"/>
  <c r="L206" i="1"/>
  <c r="K206" i="1"/>
  <c r="J206" i="1"/>
  <c r="I206" i="1"/>
  <c r="H206" i="1"/>
  <c r="G206" i="1"/>
  <c r="F206" i="1"/>
  <c r="E206" i="1"/>
  <c r="D206" i="1"/>
  <c r="U205" i="1"/>
  <c r="S205" i="1"/>
  <c r="R205" i="1"/>
  <c r="Q205" i="1"/>
  <c r="P205" i="1"/>
  <c r="O205" i="1"/>
  <c r="N205" i="1"/>
  <c r="L205" i="1"/>
  <c r="K205" i="1"/>
  <c r="J205" i="1"/>
  <c r="I205" i="1"/>
  <c r="H205" i="1"/>
  <c r="G205" i="1"/>
  <c r="F205" i="1"/>
  <c r="E205" i="1"/>
  <c r="D205" i="1"/>
  <c r="U204" i="1"/>
  <c r="S204" i="1"/>
  <c r="R204" i="1"/>
  <c r="Q204" i="1"/>
  <c r="P204" i="1"/>
  <c r="O204" i="1"/>
  <c r="N204" i="1"/>
  <c r="L204" i="1"/>
  <c r="K204" i="1"/>
  <c r="J204" i="1"/>
  <c r="I204" i="1"/>
  <c r="H204" i="1"/>
  <c r="G204" i="1"/>
  <c r="F204" i="1"/>
  <c r="E204" i="1"/>
  <c r="D204" i="1"/>
  <c r="U203" i="1"/>
  <c r="S203" i="1"/>
  <c r="R203" i="1"/>
  <c r="Q203" i="1"/>
  <c r="P203" i="1"/>
  <c r="O203" i="1"/>
  <c r="N203" i="1"/>
  <c r="L203" i="1"/>
  <c r="K203" i="1"/>
  <c r="J203" i="1"/>
  <c r="I203" i="1"/>
  <c r="H203" i="1"/>
  <c r="G203" i="1"/>
  <c r="F203" i="1"/>
  <c r="E203" i="1"/>
  <c r="D203" i="1"/>
  <c r="U202" i="1"/>
  <c r="S202" i="1"/>
  <c r="R202" i="1"/>
  <c r="Q202" i="1"/>
  <c r="P202" i="1"/>
  <c r="O202" i="1"/>
  <c r="N202" i="1"/>
  <c r="L202" i="1"/>
  <c r="K202" i="1"/>
  <c r="J202" i="1"/>
  <c r="I202" i="1"/>
  <c r="H202" i="1"/>
  <c r="G202" i="1"/>
  <c r="F202" i="1"/>
  <c r="E202" i="1"/>
  <c r="D202" i="1"/>
  <c r="U201" i="1"/>
  <c r="S201" i="1"/>
  <c r="R201" i="1"/>
  <c r="Q201" i="1"/>
  <c r="P201" i="1"/>
  <c r="O201" i="1"/>
  <c r="N201" i="1"/>
  <c r="L201" i="1"/>
  <c r="K201" i="1"/>
  <c r="J201" i="1"/>
  <c r="I201" i="1"/>
  <c r="H201" i="1"/>
  <c r="G201" i="1"/>
  <c r="F201" i="1"/>
  <c r="E201" i="1"/>
  <c r="D201" i="1"/>
  <c r="U200" i="1"/>
  <c r="S200" i="1"/>
  <c r="R200" i="1"/>
  <c r="Q200" i="1"/>
  <c r="P200" i="1"/>
  <c r="O200" i="1"/>
  <c r="N200" i="1"/>
  <c r="L200" i="1"/>
  <c r="K200" i="1"/>
  <c r="J200" i="1"/>
  <c r="I200" i="1"/>
  <c r="H200" i="1"/>
  <c r="G200" i="1"/>
  <c r="F200" i="1"/>
  <c r="E200" i="1"/>
  <c r="D200" i="1"/>
  <c r="U199" i="1"/>
  <c r="S199" i="1"/>
  <c r="R199" i="1"/>
  <c r="Q199" i="1"/>
  <c r="P199" i="1"/>
  <c r="O199" i="1"/>
  <c r="N199" i="1"/>
  <c r="L199" i="1"/>
  <c r="K199" i="1"/>
  <c r="J199" i="1"/>
  <c r="I199" i="1"/>
  <c r="H199" i="1"/>
  <c r="G199" i="1"/>
  <c r="F199" i="1"/>
  <c r="E199" i="1"/>
  <c r="D199" i="1"/>
  <c r="U198" i="1"/>
  <c r="S198" i="1"/>
  <c r="R198" i="1"/>
  <c r="Q198" i="1"/>
  <c r="P198" i="1"/>
  <c r="O198" i="1"/>
  <c r="N198" i="1"/>
  <c r="L198" i="1"/>
  <c r="K198" i="1"/>
  <c r="J198" i="1"/>
  <c r="I198" i="1"/>
  <c r="H198" i="1"/>
  <c r="G198" i="1"/>
  <c r="F198" i="1"/>
  <c r="E198" i="1"/>
  <c r="D198" i="1"/>
  <c r="U197" i="1"/>
  <c r="S197" i="1"/>
  <c r="R197" i="1"/>
  <c r="Q197" i="1"/>
  <c r="P197" i="1"/>
  <c r="O197" i="1"/>
  <c r="N197" i="1"/>
  <c r="L197" i="1"/>
  <c r="K197" i="1"/>
  <c r="J197" i="1"/>
  <c r="I197" i="1"/>
  <c r="H197" i="1"/>
  <c r="G197" i="1"/>
  <c r="F197" i="1"/>
  <c r="E197" i="1"/>
  <c r="D197" i="1"/>
  <c r="U196" i="1"/>
  <c r="S196" i="1"/>
  <c r="R196" i="1"/>
  <c r="Q196" i="1"/>
  <c r="P196" i="1"/>
  <c r="O196" i="1"/>
  <c r="N196" i="1"/>
  <c r="L196" i="1"/>
  <c r="K196" i="1"/>
  <c r="J196" i="1"/>
  <c r="I196" i="1"/>
  <c r="H196" i="1"/>
  <c r="G196" i="1"/>
  <c r="F196" i="1"/>
  <c r="E196" i="1"/>
  <c r="D196" i="1"/>
  <c r="U195" i="1"/>
  <c r="S195" i="1"/>
  <c r="R195" i="1"/>
  <c r="Q195" i="1"/>
  <c r="P195" i="1"/>
  <c r="O195" i="1"/>
  <c r="N195" i="1"/>
  <c r="L195" i="1"/>
  <c r="K195" i="1"/>
  <c r="J195" i="1"/>
  <c r="I195" i="1"/>
  <c r="H195" i="1"/>
  <c r="G195" i="1"/>
  <c r="F195" i="1"/>
  <c r="E195" i="1"/>
  <c r="D195" i="1"/>
  <c r="U194" i="1"/>
  <c r="S194" i="1"/>
  <c r="R194" i="1"/>
  <c r="Q194" i="1"/>
  <c r="P194" i="1"/>
  <c r="O194" i="1"/>
  <c r="N194" i="1"/>
  <c r="L194" i="1"/>
  <c r="K194" i="1"/>
  <c r="J194" i="1"/>
  <c r="I194" i="1"/>
  <c r="H194" i="1"/>
  <c r="G194" i="1"/>
  <c r="F194" i="1"/>
  <c r="E194" i="1"/>
  <c r="D194" i="1"/>
  <c r="U193" i="1"/>
  <c r="S193" i="1"/>
  <c r="R193" i="1"/>
  <c r="Q193" i="1"/>
  <c r="P193" i="1"/>
  <c r="O193" i="1"/>
  <c r="N193" i="1"/>
  <c r="L193" i="1"/>
  <c r="K193" i="1"/>
  <c r="J193" i="1"/>
  <c r="I193" i="1"/>
  <c r="H193" i="1"/>
  <c r="G193" i="1"/>
  <c r="F193" i="1"/>
  <c r="E193" i="1"/>
  <c r="D193" i="1"/>
  <c r="U192" i="1"/>
  <c r="S192" i="1"/>
  <c r="R192" i="1"/>
  <c r="Q192" i="1"/>
  <c r="P192" i="1"/>
  <c r="O192" i="1"/>
  <c r="N192" i="1"/>
  <c r="L192" i="1"/>
  <c r="K192" i="1"/>
  <c r="J192" i="1"/>
  <c r="I192" i="1"/>
  <c r="H192" i="1"/>
  <c r="G192" i="1"/>
  <c r="F192" i="1"/>
  <c r="E192" i="1"/>
  <c r="D192" i="1"/>
  <c r="U191" i="1"/>
  <c r="S191" i="1"/>
  <c r="R191" i="1"/>
  <c r="Q191" i="1"/>
  <c r="P191" i="1"/>
  <c r="O191" i="1"/>
  <c r="N191" i="1"/>
  <c r="L191" i="1"/>
  <c r="K191" i="1"/>
  <c r="J191" i="1"/>
  <c r="I191" i="1"/>
  <c r="H191" i="1"/>
  <c r="G191" i="1"/>
  <c r="F191" i="1"/>
  <c r="E191" i="1"/>
  <c r="D191" i="1"/>
  <c r="U190" i="1"/>
  <c r="S190" i="1"/>
  <c r="R190" i="1"/>
  <c r="Q190" i="1"/>
  <c r="P190" i="1"/>
  <c r="O190" i="1"/>
  <c r="N190" i="1"/>
  <c r="L190" i="1"/>
  <c r="K190" i="1"/>
  <c r="J190" i="1"/>
  <c r="I190" i="1"/>
  <c r="H190" i="1"/>
  <c r="G190" i="1"/>
  <c r="F190" i="1"/>
  <c r="E190" i="1"/>
  <c r="D190" i="1"/>
  <c r="U189" i="1"/>
  <c r="S189" i="1"/>
  <c r="R189" i="1"/>
  <c r="Q189" i="1"/>
  <c r="P189" i="1"/>
  <c r="O189" i="1"/>
  <c r="N189" i="1"/>
  <c r="L189" i="1"/>
  <c r="K189" i="1"/>
  <c r="J189" i="1"/>
  <c r="I189" i="1"/>
  <c r="H189" i="1"/>
  <c r="G189" i="1"/>
  <c r="F189" i="1"/>
  <c r="E189" i="1"/>
  <c r="D189" i="1"/>
  <c r="U188" i="1"/>
  <c r="S188" i="1"/>
  <c r="R188" i="1"/>
  <c r="Q188" i="1"/>
  <c r="P188" i="1"/>
  <c r="O188" i="1"/>
  <c r="N188" i="1"/>
  <c r="L188" i="1"/>
  <c r="K188" i="1"/>
  <c r="J188" i="1"/>
  <c r="I188" i="1"/>
  <c r="H188" i="1"/>
  <c r="G188" i="1"/>
  <c r="F188" i="1"/>
  <c r="E188" i="1"/>
  <c r="D188" i="1"/>
  <c r="U187" i="1"/>
  <c r="S187" i="1"/>
  <c r="R187" i="1"/>
  <c r="Q187" i="1"/>
  <c r="P187" i="1"/>
  <c r="O187" i="1"/>
  <c r="N187" i="1"/>
  <c r="L187" i="1"/>
  <c r="K187" i="1"/>
  <c r="J187" i="1"/>
  <c r="I187" i="1"/>
  <c r="H187" i="1"/>
  <c r="G187" i="1"/>
  <c r="F187" i="1"/>
  <c r="E187" i="1"/>
  <c r="D187" i="1"/>
  <c r="U186" i="1"/>
  <c r="S186" i="1"/>
  <c r="R186" i="1"/>
  <c r="Q186" i="1"/>
  <c r="P186" i="1"/>
  <c r="O186" i="1"/>
  <c r="N186" i="1"/>
  <c r="L186" i="1"/>
  <c r="K186" i="1"/>
  <c r="J186" i="1"/>
  <c r="I186" i="1"/>
  <c r="H186" i="1"/>
  <c r="G186" i="1"/>
  <c r="F186" i="1"/>
  <c r="E186" i="1"/>
  <c r="D186" i="1"/>
  <c r="U185" i="1"/>
  <c r="S185" i="1"/>
  <c r="R185" i="1"/>
  <c r="Q185" i="1"/>
  <c r="P185" i="1"/>
  <c r="O185" i="1"/>
  <c r="N185" i="1"/>
  <c r="L185" i="1"/>
  <c r="K185" i="1"/>
  <c r="J185" i="1"/>
  <c r="I185" i="1"/>
  <c r="H185" i="1"/>
  <c r="G185" i="1"/>
  <c r="F185" i="1"/>
  <c r="E185" i="1"/>
  <c r="D185" i="1"/>
  <c r="U184" i="1"/>
  <c r="S184" i="1"/>
  <c r="R184" i="1"/>
  <c r="Q184" i="1"/>
  <c r="P184" i="1"/>
  <c r="O184" i="1"/>
  <c r="N184" i="1"/>
  <c r="L184" i="1"/>
  <c r="K184" i="1"/>
  <c r="J184" i="1"/>
  <c r="I184" i="1"/>
  <c r="H184" i="1"/>
  <c r="G184" i="1"/>
  <c r="F184" i="1"/>
  <c r="E184" i="1"/>
  <c r="D184" i="1"/>
  <c r="U183" i="1"/>
  <c r="S183" i="1"/>
  <c r="R183" i="1"/>
  <c r="Q183" i="1"/>
  <c r="P183" i="1"/>
  <c r="O183" i="1"/>
  <c r="N183" i="1"/>
  <c r="L183" i="1"/>
  <c r="K183" i="1"/>
  <c r="J183" i="1"/>
  <c r="I183" i="1"/>
  <c r="H183" i="1"/>
  <c r="G183" i="1"/>
  <c r="F183" i="1"/>
  <c r="E183" i="1"/>
  <c r="D183" i="1"/>
  <c r="U182" i="1"/>
  <c r="S182" i="1"/>
  <c r="R182" i="1"/>
  <c r="Q182" i="1"/>
  <c r="P182" i="1"/>
  <c r="O182" i="1"/>
  <c r="N182" i="1"/>
  <c r="L182" i="1"/>
  <c r="K182" i="1"/>
  <c r="J182" i="1"/>
  <c r="I182" i="1"/>
  <c r="H182" i="1"/>
  <c r="G182" i="1"/>
  <c r="F182" i="1"/>
  <c r="E182" i="1"/>
  <c r="D182" i="1"/>
  <c r="U181" i="1"/>
  <c r="S181" i="1"/>
  <c r="R181" i="1"/>
  <c r="Q181" i="1"/>
  <c r="P181" i="1"/>
  <c r="O181" i="1"/>
  <c r="N181" i="1"/>
  <c r="L181" i="1"/>
  <c r="K181" i="1"/>
  <c r="J181" i="1"/>
  <c r="I181" i="1"/>
  <c r="H181" i="1"/>
  <c r="G181" i="1"/>
  <c r="F181" i="1"/>
  <c r="E181" i="1"/>
  <c r="D181" i="1"/>
  <c r="U180" i="1"/>
  <c r="S180" i="1"/>
  <c r="R180" i="1"/>
  <c r="Q180" i="1"/>
  <c r="P180" i="1"/>
  <c r="O180" i="1"/>
  <c r="N180" i="1"/>
  <c r="L180" i="1"/>
  <c r="K180" i="1"/>
  <c r="J180" i="1"/>
  <c r="I180" i="1"/>
  <c r="H180" i="1"/>
  <c r="G180" i="1"/>
  <c r="F180" i="1"/>
  <c r="E180" i="1"/>
  <c r="D180" i="1"/>
  <c r="U179" i="1"/>
  <c r="S179" i="1"/>
  <c r="R179" i="1"/>
  <c r="Q179" i="1"/>
  <c r="P179" i="1"/>
  <c r="O179" i="1"/>
  <c r="N179" i="1"/>
  <c r="L179" i="1"/>
  <c r="K179" i="1"/>
  <c r="J179" i="1"/>
  <c r="I179" i="1"/>
  <c r="H179" i="1"/>
  <c r="G179" i="1"/>
  <c r="F179" i="1"/>
  <c r="E179" i="1"/>
  <c r="D179" i="1"/>
  <c r="U178" i="1"/>
  <c r="S178" i="1"/>
  <c r="R178" i="1"/>
  <c r="Q178" i="1"/>
  <c r="P178" i="1"/>
  <c r="O178" i="1"/>
  <c r="N178" i="1"/>
  <c r="L178" i="1"/>
  <c r="K178" i="1"/>
  <c r="J178" i="1"/>
  <c r="I178" i="1"/>
  <c r="H178" i="1"/>
  <c r="G178" i="1"/>
  <c r="F178" i="1"/>
  <c r="E178" i="1"/>
  <c r="D178" i="1"/>
  <c r="U177" i="1"/>
  <c r="S177" i="1"/>
  <c r="R177" i="1"/>
  <c r="Q177" i="1"/>
  <c r="P177" i="1"/>
  <c r="O177" i="1"/>
  <c r="N177" i="1"/>
  <c r="L177" i="1"/>
  <c r="K177" i="1"/>
  <c r="J177" i="1"/>
  <c r="I177" i="1"/>
  <c r="H177" i="1"/>
  <c r="G177" i="1"/>
  <c r="F177" i="1"/>
  <c r="E177" i="1"/>
  <c r="D177" i="1"/>
  <c r="U176" i="1"/>
  <c r="S176" i="1"/>
  <c r="R176" i="1"/>
  <c r="Q176" i="1"/>
  <c r="P176" i="1"/>
  <c r="O176" i="1"/>
  <c r="N176" i="1"/>
  <c r="L176" i="1"/>
  <c r="K176" i="1"/>
  <c r="J176" i="1"/>
  <c r="I176" i="1"/>
  <c r="H176" i="1"/>
  <c r="G176" i="1"/>
  <c r="F176" i="1"/>
  <c r="E176" i="1"/>
  <c r="D176" i="1"/>
  <c r="U175" i="1"/>
  <c r="S175" i="1"/>
  <c r="R175" i="1"/>
  <c r="Q175" i="1"/>
  <c r="P175" i="1"/>
  <c r="O175" i="1"/>
  <c r="N175" i="1"/>
  <c r="L175" i="1"/>
  <c r="K175" i="1"/>
  <c r="J175" i="1"/>
  <c r="I175" i="1"/>
  <c r="H175" i="1"/>
  <c r="G175" i="1"/>
  <c r="F175" i="1"/>
  <c r="E175" i="1"/>
  <c r="D175" i="1"/>
  <c r="U174" i="1"/>
  <c r="S174" i="1"/>
  <c r="R174" i="1"/>
  <c r="Q174" i="1"/>
  <c r="P174" i="1"/>
  <c r="O174" i="1"/>
  <c r="N174" i="1"/>
  <c r="L174" i="1"/>
  <c r="K174" i="1"/>
  <c r="J174" i="1"/>
  <c r="I174" i="1"/>
  <c r="H174" i="1"/>
  <c r="G174" i="1"/>
  <c r="F174" i="1"/>
  <c r="E174" i="1"/>
  <c r="D174" i="1"/>
  <c r="U173" i="1"/>
  <c r="S173" i="1"/>
  <c r="R173" i="1"/>
  <c r="Q173" i="1"/>
  <c r="P173" i="1"/>
  <c r="O173" i="1"/>
  <c r="N173" i="1"/>
  <c r="L173" i="1"/>
  <c r="K173" i="1"/>
  <c r="J173" i="1"/>
  <c r="I173" i="1"/>
  <c r="H173" i="1"/>
  <c r="G173" i="1"/>
  <c r="F173" i="1"/>
  <c r="E173" i="1"/>
  <c r="D173" i="1"/>
  <c r="U172" i="1"/>
  <c r="S172" i="1"/>
  <c r="R172" i="1"/>
  <c r="Q172" i="1"/>
  <c r="P172" i="1"/>
  <c r="O172" i="1"/>
  <c r="N172" i="1"/>
  <c r="L172" i="1"/>
  <c r="K172" i="1"/>
  <c r="J172" i="1"/>
  <c r="I172" i="1"/>
  <c r="H172" i="1"/>
  <c r="G172" i="1"/>
  <c r="F172" i="1"/>
  <c r="E172" i="1"/>
  <c r="D172" i="1"/>
  <c r="U171" i="1"/>
  <c r="S171" i="1"/>
  <c r="R171" i="1"/>
  <c r="Q171" i="1"/>
  <c r="P171" i="1"/>
  <c r="O171" i="1"/>
  <c r="N171" i="1"/>
  <c r="L171" i="1"/>
  <c r="K171" i="1"/>
  <c r="J171" i="1"/>
  <c r="I171" i="1"/>
  <c r="H171" i="1"/>
  <c r="G171" i="1"/>
  <c r="F171" i="1"/>
  <c r="E171" i="1"/>
  <c r="D171" i="1"/>
  <c r="U170" i="1"/>
  <c r="S170" i="1"/>
  <c r="R170" i="1"/>
  <c r="Q170" i="1"/>
  <c r="P170" i="1"/>
  <c r="O170" i="1"/>
  <c r="N170" i="1"/>
  <c r="L170" i="1"/>
  <c r="K170" i="1"/>
  <c r="J170" i="1"/>
  <c r="I170" i="1"/>
  <c r="H170" i="1"/>
  <c r="G170" i="1"/>
  <c r="F170" i="1"/>
  <c r="E170" i="1"/>
  <c r="D170" i="1"/>
  <c r="U169" i="1"/>
  <c r="S169" i="1"/>
  <c r="R169" i="1"/>
  <c r="Q169" i="1"/>
  <c r="P169" i="1"/>
  <c r="O169" i="1"/>
  <c r="N169" i="1"/>
  <c r="L169" i="1"/>
  <c r="K169" i="1"/>
  <c r="J169" i="1"/>
  <c r="I169" i="1"/>
  <c r="H169" i="1"/>
  <c r="G169" i="1"/>
  <c r="F169" i="1"/>
  <c r="E169" i="1"/>
  <c r="D169" i="1"/>
  <c r="U168" i="1"/>
  <c r="S168" i="1"/>
  <c r="R168" i="1"/>
  <c r="Q168" i="1"/>
  <c r="P168" i="1"/>
  <c r="O168" i="1"/>
  <c r="N168" i="1"/>
  <c r="L168" i="1"/>
  <c r="K168" i="1"/>
  <c r="J168" i="1"/>
  <c r="I168" i="1"/>
  <c r="H168" i="1"/>
  <c r="G168" i="1"/>
  <c r="F168" i="1"/>
  <c r="E168" i="1"/>
  <c r="D168" i="1"/>
  <c r="U167" i="1"/>
  <c r="S167" i="1"/>
  <c r="R167" i="1"/>
  <c r="Q167" i="1"/>
  <c r="P167" i="1"/>
  <c r="O167" i="1"/>
  <c r="N167" i="1"/>
  <c r="L167" i="1"/>
  <c r="K167" i="1"/>
  <c r="J167" i="1"/>
  <c r="I167" i="1"/>
  <c r="H167" i="1"/>
  <c r="G167" i="1"/>
  <c r="F167" i="1"/>
  <c r="E167" i="1"/>
  <c r="D167" i="1"/>
  <c r="U166" i="1"/>
  <c r="S166" i="1"/>
  <c r="R166" i="1"/>
  <c r="Q166" i="1"/>
  <c r="P166" i="1"/>
  <c r="O166" i="1"/>
  <c r="N166" i="1"/>
  <c r="L166" i="1"/>
  <c r="K166" i="1"/>
  <c r="J166" i="1"/>
  <c r="I166" i="1"/>
  <c r="H166" i="1"/>
  <c r="G166" i="1"/>
  <c r="F166" i="1"/>
  <c r="E166" i="1"/>
  <c r="D166" i="1"/>
  <c r="U165" i="1"/>
  <c r="S165" i="1"/>
  <c r="R165" i="1"/>
  <c r="Q165" i="1"/>
  <c r="P165" i="1"/>
  <c r="O165" i="1"/>
  <c r="N165" i="1"/>
  <c r="L165" i="1"/>
  <c r="K165" i="1"/>
  <c r="J165" i="1"/>
  <c r="I165" i="1"/>
  <c r="H165" i="1"/>
  <c r="G165" i="1"/>
  <c r="F165" i="1"/>
  <c r="E165" i="1"/>
  <c r="D165" i="1"/>
  <c r="U164" i="1"/>
  <c r="S164" i="1"/>
  <c r="R164" i="1"/>
  <c r="Q164" i="1"/>
  <c r="P164" i="1"/>
  <c r="O164" i="1"/>
  <c r="N164" i="1"/>
  <c r="L164" i="1"/>
  <c r="K164" i="1"/>
  <c r="J164" i="1"/>
  <c r="I164" i="1"/>
  <c r="H164" i="1"/>
  <c r="G164" i="1"/>
  <c r="F164" i="1"/>
  <c r="E164" i="1"/>
  <c r="D164" i="1"/>
  <c r="U163" i="1"/>
  <c r="S163" i="1"/>
  <c r="R163" i="1"/>
  <c r="Q163" i="1"/>
  <c r="P163" i="1"/>
  <c r="O163" i="1"/>
  <c r="N163" i="1"/>
  <c r="L163" i="1"/>
  <c r="K163" i="1"/>
  <c r="J163" i="1"/>
  <c r="I163" i="1"/>
  <c r="H163" i="1"/>
  <c r="G163" i="1"/>
  <c r="F163" i="1"/>
  <c r="E163" i="1"/>
  <c r="D163" i="1"/>
  <c r="U162" i="1"/>
  <c r="S162" i="1"/>
  <c r="R162" i="1"/>
  <c r="Q162" i="1"/>
  <c r="P162" i="1"/>
  <c r="O162" i="1"/>
  <c r="N162" i="1"/>
  <c r="L162" i="1"/>
  <c r="K162" i="1"/>
  <c r="J162" i="1"/>
  <c r="I162" i="1"/>
  <c r="H162" i="1"/>
  <c r="G162" i="1"/>
  <c r="F162" i="1"/>
  <c r="E162" i="1"/>
  <c r="D162" i="1"/>
  <c r="U161" i="1"/>
  <c r="S161" i="1"/>
  <c r="R161" i="1"/>
  <c r="Q161" i="1"/>
  <c r="P161" i="1"/>
  <c r="O161" i="1"/>
  <c r="N161" i="1"/>
  <c r="L161" i="1"/>
  <c r="K161" i="1"/>
  <c r="J161" i="1"/>
  <c r="I161" i="1"/>
  <c r="H161" i="1"/>
  <c r="G161" i="1"/>
  <c r="F161" i="1"/>
  <c r="E161" i="1"/>
  <c r="D161" i="1"/>
  <c r="U160" i="1"/>
  <c r="S160" i="1"/>
  <c r="R160" i="1"/>
  <c r="Q160" i="1"/>
  <c r="P160" i="1"/>
  <c r="O160" i="1"/>
  <c r="N160" i="1"/>
  <c r="L160" i="1"/>
  <c r="K160" i="1"/>
  <c r="J160" i="1"/>
  <c r="I160" i="1"/>
  <c r="H160" i="1"/>
  <c r="G160" i="1"/>
  <c r="F160" i="1"/>
  <c r="E160" i="1"/>
  <c r="D160" i="1"/>
  <c r="U159" i="1"/>
  <c r="S159" i="1"/>
  <c r="R159" i="1"/>
  <c r="Q159" i="1"/>
  <c r="P159" i="1"/>
  <c r="O159" i="1"/>
  <c r="N159" i="1"/>
  <c r="L159" i="1"/>
  <c r="K159" i="1"/>
  <c r="J159" i="1"/>
  <c r="I159" i="1"/>
  <c r="H159" i="1"/>
  <c r="G159" i="1"/>
  <c r="F159" i="1"/>
  <c r="E159" i="1"/>
  <c r="D159" i="1"/>
  <c r="U158" i="1"/>
  <c r="S158" i="1"/>
  <c r="R158" i="1"/>
  <c r="Q158" i="1"/>
  <c r="P158" i="1"/>
  <c r="O158" i="1"/>
  <c r="N158" i="1"/>
  <c r="L158" i="1"/>
  <c r="K158" i="1"/>
  <c r="J158" i="1"/>
  <c r="I158" i="1"/>
  <c r="H158" i="1"/>
  <c r="G158" i="1"/>
  <c r="F158" i="1"/>
  <c r="E158" i="1"/>
  <c r="D158" i="1"/>
  <c r="U157" i="1"/>
  <c r="S157" i="1"/>
  <c r="R157" i="1"/>
  <c r="Q157" i="1"/>
  <c r="P157" i="1"/>
  <c r="O157" i="1"/>
  <c r="N157" i="1"/>
  <c r="L157" i="1"/>
  <c r="K157" i="1"/>
  <c r="J157" i="1"/>
  <c r="I157" i="1"/>
  <c r="H157" i="1"/>
  <c r="G157" i="1"/>
  <c r="F157" i="1"/>
  <c r="E157" i="1"/>
  <c r="D157" i="1"/>
  <c r="U156" i="1"/>
  <c r="S156" i="1"/>
  <c r="R156" i="1"/>
  <c r="Q156" i="1"/>
  <c r="P156" i="1"/>
  <c r="O156" i="1"/>
  <c r="N156" i="1"/>
  <c r="L156" i="1"/>
  <c r="K156" i="1"/>
  <c r="J156" i="1"/>
  <c r="I156" i="1"/>
  <c r="H156" i="1"/>
  <c r="G156" i="1"/>
  <c r="F156" i="1"/>
  <c r="E156" i="1"/>
  <c r="D156" i="1"/>
  <c r="U155" i="1"/>
  <c r="S155" i="1"/>
  <c r="R155" i="1"/>
  <c r="Q155" i="1"/>
  <c r="P155" i="1"/>
  <c r="O155" i="1"/>
  <c r="N155" i="1"/>
  <c r="L155" i="1"/>
  <c r="K155" i="1"/>
  <c r="J155" i="1"/>
  <c r="I155" i="1"/>
  <c r="H155" i="1"/>
  <c r="G155" i="1"/>
  <c r="F155" i="1"/>
  <c r="E155" i="1"/>
  <c r="D155" i="1"/>
  <c r="U154" i="1"/>
  <c r="S154" i="1"/>
  <c r="R154" i="1"/>
  <c r="Q154" i="1"/>
  <c r="P154" i="1"/>
  <c r="O154" i="1"/>
  <c r="N154" i="1"/>
  <c r="L154" i="1"/>
  <c r="K154" i="1"/>
  <c r="J154" i="1"/>
  <c r="I154" i="1"/>
  <c r="H154" i="1"/>
  <c r="G154" i="1"/>
  <c r="F154" i="1"/>
  <c r="E154" i="1"/>
  <c r="D154" i="1"/>
  <c r="U153" i="1"/>
  <c r="S153" i="1"/>
  <c r="R153" i="1"/>
  <c r="Q153" i="1"/>
  <c r="P153" i="1"/>
  <c r="O153" i="1"/>
  <c r="N153" i="1"/>
  <c r="L153" i="1"/>
  <c r="K153" i="1"/>
  <c r="J153" i="1"/>
  <c r="I153" i="1"/>
  <c r="H153" i="1"/>
  <c r="G153" i="1"/>
  <c r="F153" i="1"/>
  <c r="E153" i="1"/>
  <c r="D153" i="1"/>
  <c r="U152" i="1"/>
  <c r="S152" i="1"/>
  <c r="R152" i="1"/>
  <c r="Q152" i="1"/>
  <c r="P152" i="1"/>
  <c r="O152" i="1"/>
  <c r="N152" i="1"/>
  <c r="L152" i="1"/>
  <c r="K152" i="1"/>
  <c r="J152" i="1"/>
  <c r="I152" i="1"/>
  <c r="H152" i="1"/>
  <c r="G152" i="1"/>
  <c r="F152" i="1"/>
  <c r="E152" i="1"/>
  <c r="D152" i="1"/>
  <c r="U151" i="1"/>
  <c r="S151" i="1"/>
  <c r="R151" i="1"/>
  <c r="Q151" i="1"/>
  <c r="P151" i="1"/>
  <c r="O151" i="1"/>
  <c r="N151" i="1"/>
  <c r="L151" i="1"/>
  <c r="K151" i="1"/>
  <c r="J151" i="1"/>
  <c r="I151" i="1"/>
  <c r="H151" i="1"/>
  <c r="G151" i="1"/>
  <c r="F151" i="1"/>
  <c r="E151" i="1"/>
  <c r="D151" i="1"/>
  <c r="U150" i="1"/>
  <c r="S150" i="1"/>
  <c r="R150" i="1"/>
  <c r="Q150" i="1"/>
  <c r="P150" i="1"/>
  <c r="O150" i="1"/>
  <c r="N150" i="1"/>
  <c r="L150" i="1"/>
  <c r="K150" i="1"/>
  <c r="J150" i="1"/>
  <c r="I150" i="1"/>
  <c r="H150" i="1"/>
  <c r="G150" i="1"/>
  <c r="F150" i="1"/>
  <c r="E150" i="1"/>
  <c r="D150" i="1"/>
  <c r="U149" i="1"/>
  <c r="S149" i="1"/>
  <c r="R149" i="1"/>
  <c r="Q149" i="1"/>
  <c r="P149" i="1"/>
  <c r="O149" i="1"/>
  <c r="N149" i="1"/>
  <c r="L149" i="1"/>
  <c r="K149" i="1"/>
  <c r="J149" i="1"/>
  <c r="I149" i="1"/>
  <c r="H149" i="1"/>
  <c r="G149" i="1"/>
  <c r="F149" i="1"/>
  <c r="E149" i="1"/>
  <c r="D149" i="1"/>
  <c r="U148" i="1"/>
  <c r="S148" i="1"/>
  <c r="R148" i="1"/>
  <c r="Q148" i="1"/>
  <c r="P148" i="1"/>
  <c r="O148" i="1"/>
  <c r="N148" i="1"/>
  <c r="L148" i="1"/>
  <c r="K148" i="1"/>
  <c r="J148" i="1"/>
  <c r="I148" i="1"/>
  <c r="H148" i="1"/>
  <c r="G148" i="1"/>
  <c r="F148" i="1"/>
  <c r="E148" i="1"/>
  <c r="D148" i="1"/>
  <c r="U147" i="1"/>
  <c r="S147" i="1"/>
  <c r="R147" i="1"/>
  <c r="Q147" i="1"/>
  <c r="P147" i="1"/>
  <c r="O147" i="1"/>
  <c r="N147" i="1"/>
  <c r="L147" i="1"/>
  <c r="K147" i="1"/>
  <c r="J147" i="1"/>
  <c r="I147" i="1"/>
  <c r="H147" i="1"/>
  <c r="G147" i="1"/>
  <c r="F147" i="1"/>
  <c r="E147" i="1"/>
  <c r="D147" i="1"/>
  <c r="U146" i="1"/>
  <c r="S146" i="1"/>
  <c r="R146" i="1"/>
  <c r="Q146" i="1"/>
  <c r="P146" i="1"/>
  <c r="O146" i="1"/>
  <c r="N146" i="1"/>
  <c r="L146" i="1"/>
  <c r="K146" i="1"/>
  <c r="J146" i="1"/>
  <c r="I146" i="1"/>
  <c r="H146" i="1"/>
  <c r="G146" i="1"/>
  <c r="F146" i="1"/>
  <c r="E146" i="1"/>
  <c r="D146" i="1"/>
  <c r="U145" i="1"/>
  <c r="S145" i="1"/>
  <c r="R145" i="1"/>
  <c r="Q145" i="1"/>
  <c r="P145" i="1"/>
  <c r="O145" i="1"/>
  <c r="N145" i="1"/>
  <c r="L145" i="1"/>
  <c r="K145" i="1"/>
  <c r="J145" i="1"/>
  <c r="I145" i="1"/>
  <c r="H145" i="1"/>
  <c r="G145" i="1"/>
  <c r="F145" i="1"/>
  <c r="E145" i="1"/>
  <c r="D145" i="1"/>
  <c r="U144" i="1"/>
  <c r="S144" i="1"/>
  <c r="R144" i="1"/>
  <c r="Q144" i="1"/>
  <c r="P144" i="1"/>
  <c r="O144" i="1"/>
  <c r="N144" i="1"/>
  <c r="L144" i="1"/>
  <c r="K144" i="1"/>
  <c r="J144" i="1"/>
  <c r="I144" i="1"/>
  <c r="H144" i="1"/>
  <c r="G144" i="1"/>
  <c r="F144" i="1"/>
  <c r="E144" i="1"/>
  <c r="D144" i="1"/>
  <c r="U143" i="1"/>
  <c r="S143" i="1"/>
  <c r="R143" i="1"/>
  <c r="Q143" i="1"/>
  <c r="P143" i="1"/>
  <c r="O143" i="1"/>
  <c r="N143" i="1"/>
  <c r="L143" i="1"/>
  <c r="K143" i="1"/>
  <c r="J143" i="1"/>
  <c r="I143" i="1"/>
  <c r="H143" i="1"/>
  <c r="G143" i="1"/>
  <c r="F143" i="1"/>
  <c r="E143" i="1"/>
  <c r="D143" i="1"/>
  <c r="U142" i="1"/>
  <c r="S142" i="1"/>
  <c r="R142" i="1"/>
  <c r="Q142" i="1"/>
  <c r="P142" i="1"/>
  <c r="O142" i="1"/>
  <c r="N142" i="1"/>
  <c r="L142" i="1"/>
  <c r="K142" i="1"/>
  <c r="J142" i="1"/>
  <c r="I142" i="1"/>
  <c r="H142" i="1"/>
  <c r="G142" i="1"/>
  <c r="F142" i="1"/>
  <c r="E142" i="1"/>
  <c r="D142" i="1"/>
  <c r="U141" i="1"/>
  <c r="S141" i="1"/>
  <c r="R141" i="1"/>
  <c r="Q141" i="1"/>
  <c r="P141" i="1"/>
  <c r="O141" i="1"/>
  <c r="N141" i="1"/>
  <c r="L141" i="1"/>
  <c r="K141" i="1"/>
  <c r="J141" i="1"/>
  <c r="I141" i="1"/>
  <c r="H141" i="1"/>
  <c r="G141" i="1"/>
  <c r="F141" i="1"/>
  <c r="E141" i="1"/>
  <c r="D141" i="1"/>
  <c r="U140" i="1"/>
  <c r="S140" i="1"/>
  <c r="R140" i="1"/>
  <c r="Q140" i="1"/>
  <c r="P140" i="1"/>
  <c r="O140" i="1"/>
  <c r="N140" i="1"/>
  <c r="L140" i="1"/>
  <c r="K140" i="1"/>
  <c r="J140" i="1"/>
  <c r="I140" i="1"/>
  <c r="H140" i="1"/>
  <c r="G140" i="1"/>
  <c r="F140" i="1"/>
  <c r="E140" i="1"/>
  <c r="D140" i="1"/>
  <c r="U139" i="1"/>
  <c r="S139" i="1"/>
  <c r="R139" i="1"/>
  <c r="Q139" i="1"/>
  <c r="P139" i="1"/>
  <c r="O139" i="1"/>
  <c r="N139" i="1"/>
  <c r="L139" i="1"/>
  <c r="K139" i="1"/>
  <c r="J139" i="1"/>
  <c r="I139" i="1"/>
  <c r="H139" i="1"/>
  <c r="G139" i="1"/>
  <c r="F139" i="1"/>
  <c r="E139" i="1"/>
  <c r="D139" i="1"/>
  <c r="U138" i="1"/>
  <c r="S138" i="1"/>
  <c r="R138" i="1"/>
  <c r="Q138" i="1"/>
  <c r="P138" i="1"/>
  <c r="O138" i="1"/>
  <c r="N138" i="1"/>
  <c r="L138" i="1"/>
  <c r="K138" i="1"/>
  <c r="J138" i="1"/>
  <c r="I138" i="1"/>
  <c r="H138" i="1"/>
  <c r="G138" i="1"/>
  <c r="F138" i="1"/>
  <c r="E138" i="1"/>
  <c r="D138" i="1"/>
  <c r="U137" i="1"/>
  <c r="S137" i="1"/>
  <c r="R137" i="1"/>
  <c r="Q137" i="1"/>
  <c r="P137" i="1"/>
  <c r="O137" i="1"/>
  <c r="N137" i="1"/>
  <c r="L137" i="1"/>
  <c r="K137" i="1"/>
  <c r="J137" i="1"/>
  <c r="I137" i="1"/>
  <c r="H137" i="1"/>
  <c r="G137" i="1"/>
  <c r="F137" i="1"/>
  <c r="E137" i="1"/>
  <c r="D137" i="1"/>
  <c r="U136" i="1"/>
  <c r="S136" i="1"/>
  <c r="R136" i="1"/>
  <c r="Q136" i="1"/>
  <c r="P136" i="1"/>
  <c r="O136" i="1"/>
  <c r="N136" i="1"/>
  <c r="L136" i="1"/>
  <c r="K136" i="1"/>
  <c r="J136" i="1"/>
  <c r="I136" i="1"/>
  <c r="H136" i="1"/>
  <c r="G136" i="1"/>
  <c r="F136" i="1"/>
  <c r="E136" i="1"/>
  <c r="D136" i="1"/>
  <c r="U135" i="1"/>
  <c r="S135" i="1"/>
  <c r="R135" i="1"/>
  <c r="Q135" i="1"/>
  <c r="P135" i="1"/>
  <c r="O135" i="1"/>
  <c r="N135" i="1"/>
  <c r="L135" i="1"/>
  <c r="K135" i="1"/>
  <c r="J135" i="1"/>
  <c r="I135" i="1"/>
  <c r="H135" i="1"/>
  <c r="G135" i="1"/>
  <c r="F135" i="1"/>
  <c r="E135" i="1"/>
  <c r="D135" i="1"/>
  <c r="U134" i="1"/>
  <c r="S134" i="1"/>
  <c r="R134" i="1"/>
  <c r="Q134" i="1"/>
  <c r="P134" i="1"/>
  <c r="O134" i="1"/>
  <c r="N134" i="1"/>
  <c r="L134" i="1"/>
  <c r="K134" i="1"/>
  <c r="J134" i="1"/>
  <c r="I134" i="1"/>
  <c r="H134" i="1"/>
  <c r="G134" i="1"/>
  <c r="F134" i="1"/>
  <c r="E134" i="1"/>
  <c r="D134" i="1"/>
  <c r="U133" i="1"/>
  <c r="S133" i="1"/>
  <c r="R133" i="1"/>
  <c r="Q133" i="1"/>
  <c r="P133" i="1"/>
  <c r="O133" i="1"/>
  <c r="N133" i="1"/>
  <c r="L133" i="1"/>
  <c r="K133" i="1"/>
  <c r="J133" i="1"/>
  <c r="I133" i="1"/>
  <c r="H133" i="1"/>
  <c r="G133" i="1"/>
  <c r="F133" i="1"/>
  <c r="E133" i="1"/>
  <c r="D133" i="1"/>
  <c r="U132" i="1"/>
  <c r="S132" i="1"/>
  <c r="R132" i="1"/>
  <c r="Q132" i="1"/>
  <c r="P132" i="1"/>
  <c r="O132" i="1"/>
  <c r="N132" i="1"/>
  <c r="L132" i="1"/>
  <c r="K132" i="1"/>
  <c r="J132" i="1"/>
  <c r="I132" i="1"/>
  <c r="H132" i="1"/>
  <c r="G132" i="1"/>
  <c r="F132" i="1"/>
  <c r="E132" i="1"/>
  <c r="D132" i="1"/>
  <c r="U131" i="1"/>
  <c r="S131" i="1"/>
  <c r="R131" i="1"/>
  <c r="Q131" i="1"/>
  <c r="P131" i="1"/>
  <c r="O131" i="1"/>
  <c r="N131" i="1"/>
  <c r="L131" i="1"/>
  <c r="K131" i="1"/>
  <c r="J131" i="1"/>
  <c r="I131" i="1"/>
  <c r="H131" i="1"/>
  <c r="G131" i="1"/>
  <c r="F131" i="1"/>
  <c r="E131" i="1"/>
  <c r="D131" i="1"/>
  <c r="U130" i="1"/>
  <c r="S130" i="1"/>
  <c r="R130" i="1"/>
  <c r="Q130" i="1"/>
  <c r="P130" i="1"/>
  <c r="O130" i="1"/>
  <c r="N130" i="1"/>
  <c r="L130" i="1"/>
  <c r="K130" i="1"/>
  <c r="J130" i="1"/>
  <c r="I130" i="1"/>
  <c r="H130" i="1"/>
  <c r="G130" i="1"/>
  <c r="F130" i="1"/>
  <c r="E130" i="1"/>
  <c r="D130" i="1"/>
  <c r="U129" i="1"/>
  <c r="S129" i="1"/>
  <c r="R129" i="1"/>
  <c r="Q129" i="1"/>
  <c r="P129" i="1"/>
  <c r="O129" i="1"/>
  <c r="N129" i="1"/>
  <c r="L129" i="1"/>
  <c r="K129" i="1"/>
  <c r="J129" i="1"/>
  <c r="I129" i="1"/>
  <c r="H129" i="1"/>
  <c r="G129" i="1"/>
  <c r="F129" i="1"/>
  <c r="E129" i="1"/>
  <c r="D129" i="1"/>
  <c r="U128" i="1"/>
  <c r="S128" i="1"/>
  <c r="R128" i="1"/>
  <c r="Q128" i="1"/>
  <c r="P128" i="1"/>
  <c r="O128" i="1"/>
  <c r="N128" i="1"/>
  <c r="L128" i="1"/>
  <c r="K128" i="1"/>
  <c r="J128" i="1"/>
  <c r="I128" i="1"/>
  <c r="H128" i="1"/>
  <c r="G128" i="1"/>
  <c r="F128" i="1"/>
  <c r="E128" i="1"/>
  <c r="D128" i="1"/>
  <c r="U127" i="1"/>
  <c r="S127" i="1"/>
  <c r="Q127" i="1"/>
  <c r="P127" i="1"/>
  <c r="O127" i="1"/>
  <c r="N127" i="1"/>
  <c r="L127" i="1"/>
  <c r="K127" i="1"/>
  <c r="J127" i="1"/>
  <c r="I127" i="1"/>
  <c r="H127" i="1"/>
  <c r="G127" i="1"/>
  <c r="F127" i="1"/>
  <c r="E127" i="1"/>
  <c r="D127" i="1"/>
  <c r="U126" i="1"/>
  <c r="S126" i="1"/>
  <c r="R126" i="1"/>
  <c r="Q126" i="1"/>
  <c r="P126" i="1"/>
  <c r="O126" i="1"/>
  <c r="N126" i="1"/>
  <c r="L126" i="1"/>
  <c r="K126" i="1"/>
  <c r="J126" i="1"/>
  <c r="I126" i="1"/>
  <c r="H126" i="1"/>
  <c r="G126" i="1"/>
  <c r="F126" i="1"/>
  <c r="E126" i="1"/>
  <c r="D126" i="1"/>
  <c r="U125" i="1"/>
  <c r="S125" i="1"/>
  <c r="R125" i="1"/>
  <c r="Q125" i="1"/>
  <c r="P125" i="1"/>
  <c r="O125" i="1"/>
  <c r="N125" i="1"/>
  <c r="L125" i="1"/>
  <c r="K125" i="1"/>
  <c r="J125" i="1"/>
  <c r="I125" i="1"/>
  <c r="H125" i="1"/>
  <c r="G125" i="1"/>
  <c r="F125" i="1"/>
  <c r="E125" i="1"/>
  <c r="D125" i="1"/>
  <c r="U124" i="1"/>
  <c r="S124" i="1"/>
  <c r="R124" i="1"/>
  <c r="Q124" i="1"/>
  <c r="P124" i="1"/>
  <c r="O124" i="1"/>
  <c r="N124" i="1"/>
  <c r="L124" i="1"/>
  <c r="K124" i="1"/>
  <c r="J124" i="1"/>
  <c r="I124" i="1"/>
  <c r="H124" i="1"/>
  <c r="G124" i="1"/>
  <c r="F124" i="1"/>
  <c r="E124" i="1"/>
  <c r="D124" i="1"/>
  <c r="U123" i="1"/>
  <c r="S123" i="1"/>
  <c r="R123" i="1"/>
  <c r="Q123" i="1"/>
  <c r="P123" i="1"/>
  <c r="O123" i="1"/>
  <c r="N123" i="1"/>
  <c r="L123" i="1"/>
  <c r="K123" i="1"/>
  <c r="J123" i="1"/>
  <c r="I123" i="1"/>
  <c r="H123" i="1"/>
  <c r="G123" i="1"/>
  <c r="F123" i="1"/>
  <c r="E123" i="1"/>
  <c r="D123" i="1"/>
  <c r="U122" i="1"/>
  <c r="S122" i="1"/>
  <c r="R122" i="1"/>
  <c r="Q122" i="1"/>
  <c r="P122" i="1"/>
  <c r="O122" i="1"/>
  <c r="N122" i="1"/>
  <c r="L122" i="1"/>
  <c r="K122" i="1"/>
  <c r="J122" i="1"/>
  <c r="I122" i="1"/>
  <c r="H122" i="1"/>
  <c r="G122" i="1"/>
  <c r="F122" i="1"/>
  <c r="E122" i="1"/>
  <c r="D122" i="1"/>
  <c r="U121" i="1"/>
  <c r="S121" i="1"/>
  <c r="R121" i="1"/>
  <c r="Q121" i="1"/>
  <c r="P121" i="1"/>
  <c r="O121" i="1"/>
  <c r="N121" i="1"/>
  <c r="L121" i="1"/>
  <c r="K121" i="1"/>
  <c r="J121" i="1"/>
  <c r="I121" i="1"/>
  <c r="H121" i="1"/>
  <c r="G121" i="1"/>
  <c r="F121" i="1"/>
  <c r="E121" i="1"/>
  <c r="D121" i="1"/>
  <c r="U120" i="1"/>
  <c r="S120" i="1"/>
  <c r="R120" i="1"/>
  <c r="Q120" i="1"/>
  <c r="P120" i="1"/>
  <c r="O120" i="1"/>
  <c r="N120" i="1"/>
  <c r="L120" i="1"/>
  <c r="K120" i="1"/>
  <c r="J120" i="1"/>
  <c r="I120" i="1"/>
  <c r="H120" i="1"/>
  <c r="G120" i="1"/>
  <c r="F120" i="1"/>
  <c r="E120" i="1"/>
  <c r="D120" i="1"/>
  <c r="U119" i="1"/>
  <c r="S119" i="1"/>
  <c r="R119" i="1"/>
  <c r="Q119" i="1"/>
  <c r="P119" i="1"/>
  <c r="O119" i="1"/>
  <c r="N119" i="1"/>
  <c r="L119" i="1"/>
  <c r="K119" i="1"/>
  <c r="J119" i="1"/>
  <c r="I119" i="1"/>
  <c r="H119" i="1"/>
  <c r="G119" i="1"/>
  <c r="F119" i="1"/>
  <c r="E119" i="1"/>
  <c r="D119" i="1"/>
  <c r="U118" i="1"/>
  <c r="S118" i="1"/>
  <c r="R118" i="1"/>
  <c r="Q118" i="1"/>
  <c r="P118" i="1"/>
  <c r="O118" i="1"/>
  <c r="N118" i="1"/>
  <c r="L118" i="1"/>
  <c r="K118" i="1"/>
  <c r="J118" i="1"/>
  <c r="I118" i="1"/>
  <c r="H118" i="1"/>
  <c r="G118" i="1"/>
  <c r="F118" i="1"/>
  <c r="E118" i="1"/>
  <c r="D118" i="1"/>
  <c r="U117" i="1"/>
  <c r="S117" i="1"/>
  <c r="R117" i="1"/>
  <c r="Q117" i="1"/>
  <c r="P117" i="1"/>
  <c r="O117" i="1"/>
  <c r="N117" i="1"/>
  <c r="L117" i="1"/>
  <c r="K117" i="1"/>
  <c r="J117" i="1"/>
  <c r="I117" i="1"/>
  <c r="H117" i="1"/>
  <c r="G117" i="1"/>
  <c r="F117" i="1"/>
  <c r="E117" i="1"/>
  <c r="D117" i="1"/>
  <c r="U116" i="1"/>
  <c r="S116" i="1"/>
  <c r="R116" i="1"/>
  <c r="Q116" i="1"/>
  <c r="P116" i="1"/>
  <c r="O116" i="1"/>
  <c r="N116" i="1"/>
  <c r="L116" i="1"/>
  <c r="K116" i="1"/>
  <c r="J116" i="1"/>
  <c r="I116" i="1"/>
  <c r="H116" i="1"/>
  <c r="G116" i="1"/>
  <c r="F116" i="1"/>
  <c r="E116" i="1"/>
  <c r="D116" i="1"/>
  <c r="U115" i="1"/>
  <c r="S115" i="1"/>
  <c r="R115" i="1"/>
  <c r="Q115" i="1"/>
  <c r="P115" i="1"/>
  <c r="O115" i="1"/>
  <c r="N115" i="1"/>
  <c r="L115" i="1"/>
  <c r="K115" i="1"/>
  <c r="J115" i="1"/>
  <c r="I115" i="1"/>
  <c r="H115" i="1"/>
  <c r="G115" i="1"/>
  <c r="F115" i="1"/>
  <c r="E115" i="1"/>
  <c r="D115" i="1"/>
  <c r="U114" i="1"/>
  <c r="S114" i="1"/>
  <c r="R114" i="1"/>
  <c r="Q114" i="1"/>
  <c r="P114" i="1"/>
  <c r="O114" i="1"/>
  <c r="N114" i="1"/>
  <c r="L114" i="1"/>
  <c r="K114" i="1"/>
  <c r="J114" i="1"/>
  <c r="I114" i="1"/>
  <c r="H114" i="1"/>
  <c r="G114" i="1"/>
  <c r="F114" i="1"/>
  <c r="E114" i="1"/>
  <c r="D114" i="1"/>
  <c r="U113" i="1"/>
  <c r="S113" i="1"/>
  <c r="R113" i="1"/>
  <c r="Q113" i="1"/>
  <c r="P113" i="1"/>
  <c r="O113" i="1"/>
  <c r="N113" i="1"/>
  <c r="L113" i="1"/>
  <c r="K113" i="1"/>
  <c r="J113" i="1"/>
  <c r="I113" i="1"/>
  <c r="H113" i="1"/>
  <c r="G113" i="1"/>
  <c r="F113" i="1"/>
  <c r="E113" i="1"/>
  <c r="D113" i="1"/>
  <c r="U112" i="1"/>
  <c r="S112" i="1"/>
  <c r="R112" i="1"/>
  <c r="Q112" i="1"/>
  <c r="P112" i="1"/>
  <c r="O112" i="1"/>
  <c r="N112" i="1"/>
  <c r="L112" i="1"/>
  <c r="K112" i="1"/>
  <c r="J112" i="1"/>
  <c r="I112" i="1"/>
  <c r="H112" i="1"/>
  <c r="G112" i="1"/>
  <c r="F112" i="1"/>
  <c r="E112" i="1"/>
  <c r="D112" i="1"/>
  <c r="U111" i="1"/>
  <c r="S111" i="1"/>
  <c r="R111" i="1"/>
  <c r="Q111" i="1"/>
  <c r="P111" i="1"/>
  <c r="O111" i="1"/>
  <c r="N111" i="1"/>
  <c r="L111" i="1"/>
  <c r="K111" i="1"/>
  <c r="J111" i="1"/>
  <c r="I111" i="1"/>
  <c r="H111" i="1"/>
  <c r="G111" i="1"/>
  <c r="F111" i="1"/>
  <c r="E111" i="1"/>
  <c r="D111" i="1"/>
  <c r="U110" i="1"/>
  <c r="S110" i="1"/>
  <c r="R110" i="1"/>
  <c r="Q110" i="1"/>
  <c r="P110" i="1"/>
  <c r="O110" i="1"/>
  <c r="N110" i="1"/>
  <c r="L110" i="1"/>
  <c r="K110" i="1"/>
  <c r="J110" i="1"/>
  <c r="I110" i="1"/>
  <c r="H110" i="1"/>
  <c r="G110" i="1"/>
  <c r="F110" i="1"/>
  <c r="E110" i="1"/>
  <c r="D110" i="1"/>
  <c r="U109" i="1"/>
  <c r="S109" i="1"/>
  <c r="R109" i="1"/>
  <c r="Q109" i="1"/>
  <c r="P109" i="1"/>
  <c r="O109" i="1"/>
  <c r="N109" i="1"/>
  <c r="L109" i="1"/>
  <c r="K109" i="1"/>
  <c r="J109" i="1"/>
  <c r="I109" i="1"/>
  <c r="H109" i="1"/>
  <c r="G109" i="1"/>
  <c r="F109" i="1"/>
  <c r="E109" i="1"/>
  <c r="D109" i="1"/>
  <c r="U108" i="1"/>
  <c r="S108" i="1"/>
  <c r="R108" i="1"/>
  <c r="Q108" i="1"/>
  <c r="P108" i="1"/>
  <c r="O108" i="1"/>
  <c r="N108" i="1"/>
  <c r="L108" i="1"/>
  <c r="K108" i="1"/>
  <c r="J108" i="1"/>
  <c r="I108" i="1"/>
  <c r="H108" i="1"/>
  <c r="G108" i="1"/>
  <c r="F108" i="1"/>
  <c r="E108" i="1"/>
  <c r="D108" i="1"/>
  <c r="U107" i="1"/>
  <c r="S107" i="1"/>
  <c r="R107" i="1"/>
  <c r="Q107" i="1"/>
  <c r="P107" i="1"/>
  <c r="O107" i="1"/>
  <c r="N107" i="1"/>
  <c r="L107" i="1"/>
  <c r="K107" i="1"/>
  <c r="J107" i="1"/>
  <c r="I107" i="1"/>
  <c r="H107" i="1"/>
  <c r="G107" i="1"/>
  <c r="F107" i="1"/>
  <c r="E107" i="1"/>
  <c r="D107" i="1"/>
  <c r="U106" i="1"/>
  <c r="S106" i="1"/>
  <c r="R106" i="1"/>
  <c r="Q106" i="1"/>
  <c r="P106" i="1"/>
  <c r="O106" i="1"/>
  <c r="N106" i="1"/>
  <c r="L106" i="1"/>
  <c r="K106" i="1"/>
  <c r="J106" i="1"/>
  <c r="I106" i="1"/>
  <c r="H106" i="1"/>
  <c r="G106" i="1"/>
  <c r="F106" i="1"/>
  <c r="E106" i="1"/>
  <c r="D106" i="1"/>
  <c r="U105" i="1"/>
  <c r="S105" i="1"/>
  <c r="R105" i="1"/>
  <c r="Q105" i="1"/>
  <c r="P105" i="1"/>
  <c r="O105" i="1"/>
  <c r="N105" i="1"/>
  <c r="L105" i="1"/>
  <c r="K105" i="1"/>
  <c r="J105" i="1"/>
  <c r="I105" i="1"/>
  <c r="H105" i="1"/>
  <c r="G105" i="1"/>
  <c r="F105" i="1"/>
  <c r="E105" i="1"/>
  <c r="D105" i="1"/>
  <c r="U104" i="1"/>
  <c r="S104" i="1"/>
  <c r="R104" i="1"/>
  <c r="Q104" i="1"/>
  <c r="P104" i="1"/>
  <c r="O104" i="1"/>
  <c r="N104" i="1"/>
  <c r="L104" i="1"/>
  <c r="K104" i="1"/>
  <c r="J104" i="1"/>
  <c r="I104" i="1"/>
  <c r="H104" i="1"/>
  <c r="G104" i="1"/>
  <c r="F104" i="1"/>
  <c r="E104" i="1"/>
  <c r="D104" i="1"/>
  <c r="U103" i="1"/>
  <c r="S103" i="1"/>
  <c r="R103" i="1"/>
  <c r="Q103" i="1"/>
  <c r="P103" i="1"/>
  <c r="O103" i="1"/>
  <c r="N103" i="1"/>
  <c r="L103" i="1"/>
  <c r="K103" i="1"/>
  <c r="J103" i="1"/>
  <c r="I103" i="1"/>
  <c r="H103" i="1"/>
  <c r="G103" i="1"/>
  <c r="F103" i="1"/>
  <c r="E103" i="1"/>
  <c r="D103" i="1"/>
  <c r="U102" i="1"/>
  <c r="S102" i="1"/>
  <c r="R102" i="1"/>
  <c r="Q102" i="1"/>
  <c r="P102" i="1"/>
  <c r="O102" i="1"/>
  <c r="N102" i="1"/>
  <c r="L102" i="1"/>
  <c r="K102" i="1"/>
  <c r="J102" i="1"/>
  <c r="I102" i="1"/>
  <c r="H102" i="1"/>
  <c r="G102" i="1"/>
  <c r="F102" i="1"/>
  <c r="E102" i="1"/>
  <c r="D102" i="1"/>
  <c r="U101" i="1"/>
  <c r="S101" i="1"/>
  <c r="Q101" i="1"/>
  <c r="P101" i="1"/>
  <c r="O101" i="1"/>
  <c r="N101" i="1"/>
  <c r="L101" i="1"/>
  <c r="K101" i="1"/>
  <c r="J101" i="1"/>
  <c r="I101" i="1"/>
  <c r="H101" i="1"/>
  <c r="G101" i="1"/>
  <c r="F101" i="1"/>
  <c r="E101" i="1"/>
  <c r="D101" i="1"/>
  <c r="S100" i="1"/>
  <c r="R100" i="1"/>
  <c r="U100" i="1" s="1"/>
  <c r="Q100" i="1"/>
  <c r="P100" i="1"/>
  <c r="O100" i="1"/>
  <c r="N100" i="1"/>
  <c r="L100" i="1"/>
  <c r="K100" i="1"/>
  <c r="J100" i="1"/>
  <c r="I100" i="1"/>
  <c r="H100" i="1"/>
  <c r="G100" i="1"/>
  <c r="F100" i="1"/>
  <c r="E100" i="1"/>
  <c r="D100" i="1"/>
  <c r="S99" i="1"/>
  <c r="R99" i="1"/>
  <c r="U99" i="1" s="1"/>
  <c r="Q99" i="1"/>
  <c r="P99" i="1"/>
  <c r="O99" i="1"/>
  <c r="N99" i="1"/>
  <c r="L99" i="1"/>
  <c r="K99" i="1"/>
  <c r="J99" i="1"/>
  <c r="I99" i="1"/>
  <c r="H99" i="1"/>
  <c r="G99" i="1"/>
  <c r="F99" i="1"/>
  <c r="E99" i="1"/>
  <c r="D99" i="1"/>
  <c r="S98" i="1"/>
  <c r="R98" i="1"/>
  <c r="U98" i="1" s="1"/>
  <c r="Q98" i="1"/>
  <c r="P98" i="1"/>
  <c r="O98" i="1"/>
  <c r="N98" i="1"/>
  <c r="L98" i="1"/>
  <c r="K98" i="1"/>
  <c r="J98" i="1"/>
  <c r="I98" i="1"/>
  <c r="H98" i="1"/>
  <c r="G98" i="1"/>
  <c r="F98" i="1"/>
  <c r="E98" i="1"/>
  <c r="D98" i="1"/>
  <c r="S97" i="1"/>
  <c r="R97" i="1"/>
  <c r="Q97" i="1"/>
  <c r="P97" i="1"/>
  <c r="O97" i="1"/>
  <c r="N97" i="1"/>
  <c r="L97" i="1"/>
  <c r="K97" i="1"/>
  <c r="J97" i="1"/>
  <c r="I97" i="1"/>
  <c r="H97" i="1"/>
  <c r="G97" i="1"/>
  <c r="F97" i="1"/>
  <c r="E97" i="1"/>
  <c r="D97" i="1"/>
  <c r="S96" i="1"/>
  <c r="R96" i="1"/>
  <c r="U96" i="1" s="1"/>
  <c r="Q96" i="1"/>
  <c r="P96" i="1"/>
  <c r="O96" i="1"/>
  <c r="N96" i="1"/>
  <c r="L96" i="1"/>
  <c r="K96" i="1"/>
  <c r="J96" i="1"/>
  <c r="I96" i="1"/>
  <c r="H96" i="1"/>
  <c r="G96" i="1"/>
  <c r="F96" i="1"/>
  <c r="E96" i="1"/>
  <c r="D96" i="1"/>
  <c r="S95" i="1"/>
  <c r="R95" i="1"/>
  <c r="U95" i="1" s="1"/>
  <c r="Q95" i="1"/>
  <c r="P95" i="1"/>
  <c r="O95" i="1"/>
  <c r="N95" i="1"/>
  <c r="L95" i="1"/>
  <c r="K95" i="1"/>
  <c r="J95" i="1"/>
  <c r="I95" i="1"/>
  <c r="H95" i="1"/>
  <c r="G95" i="1"/>
  <c r="F95" i="1"/>
  <c r="E95" i="1"/>
  <c r="D95" i="1"/>
  <c r="S94" i="1"/>
  <c r="R94" i="1"/>
  <c r="U94" i="1" s="1"/>
  <c r="Q94" i="1"/>
  <c r="P94" i="1"/>
  <c r="O94" i="1"/>
  <c r="N94" i="1"/>
  <c r="L94" i="1"/>
  <c r="K94" i="1"/>
  <c r="J94" i="1"/>
  <c r="I94" i="1"/>
  <c r="H94" i="1"/>
  <c r="G94" i="1"/>
  <c r="F94" i="1"/>
  <c r="E94" i="1"/>
  <c r="D94" i="1"/>
  <c r="S93" i="1"/>
  <c r="R93" i="1"/>
  <c r="U93" i="1" s="1"/>
  <c r="Q93" i="1"/>
  <c r="P93" i="1"/>
  <c r="O93" i="1"/>
  <c r="N93" i="1"/>
  <c r="L93" i="1"/>
  <c r="K93" i="1"/>
  <c r="J93" i="1"/>
  <c r="I93" i="1"/>
  <c r="H93" i="1"/>
  <c r="G93" i="1"/>
  <c r="F93" i="1"/>
  <c r="E93" i="1"/>
  <c r="D93" i="1"/>
  <c r="S92" i="1"/>
  <c r="R92" i="1"/>
  <c r="U92" i="1" s="1"/>
  <c r="Q92" i="1"/>
  <c r="P92" i="1"/>
  <c r="O92" i="1"/>
  <c r="N92" i="1"/>
  <c r="L92" i="1"/>
  <c r="K92" i="1"/>
  <c r="J92" i="1"/>
  <c r="I92" i="1"/>
  <c r="H92" i="1"/>
  <c r="G92" i="1"/>
  <c r="F92" i="1"/>
  <c r="E92" i="1"/>
  <c r="D92" i="1"/>
  <c r="S91" i="1"/>
  <c r="R91" i="1"/>
  <c r="U91" i="1" s="1"/>
  <c r="Q91" i="1"/>
  <c r="P91" i="1"/>
  <c r="O91" i="1"/>
  <c r="N91" i="1"/>
  <c r="L91" i="1"/>
  <c r="K91" i="1"/>
  <c r="J91" i="1"/>
  <c r="I91" i="1"/>
  <c r="H91" i="1"/>
  <c r="G91" i="1"/>
  <c r="F91" i="1"/>
  <c r="E91" i="1"/>
  <c r="D91" i="1"/>
  <c r="S90" i="1"/>
  <c r="R90" i="1"/>
  <c r="U90" i="1" s="1"/>
  <c r="Q90" i="1"/>
  <c r="P90" i="1"/>
  <c r="O90" i="1"/>
  <c r="N90" i="1"/>
  <c r="L90" i="1"/>
  <c r="K90" i="1"/>
  <c r="J90" i="1"/>
  <c r="I90" i="1"/>
  <c r="H90" i="1"/>
  <c r="G90" i="1"/>
  <c r="F90" i="1"/>
  <c r="E90" i="1"/>
  <c r="D90" i="1"/>
  <c r="S89" i="1"/>
  <c r="R89" i="1"/>
  <c r="U89" i="1" s="1"/>
  <c r="Q89" i="1"/>
  <c r="P89" i="1"/>
  <c r="O89" i="1"/>
  <c r="N89" i="1"/>
  <c r="L89" i="1"/>
  <c r="K89" i="1"/>
  <c r="J89" i="1"/>
  <c r="I89" i="1"/>
  <c r="H89" i="1"/>
  <c r="G89" i="1"/>
  <c r="F89" i="1"/>
  <c r="E89" i="1"/>
  <c r="D89" i="1"/>
  <c r="S88" i="1"/>
  <c r="R88" i="1"/>
  <c r="U88" i="1" s="1"/>
  <c r="Q88" i="1"/>
  <c r="P88" i="1"/>
  <c r="O88" i="1"/>
  <c r="N88" i="1"/>
  <c r="L88" i="1"/>
  <c r="K88" i="1"/>
  <c r="J88" i="1"/>
  <c r="I88" i="1"/>
  <c r="H88" i="1"/>
  <c r="G88" i="1"/>
  <c r="F88" i="1"/>
  <c r="E88" i="1"/>
  <c r="D88" i="1"/>
  <c r="S87" i="1"/>
  <c r="R87" i="1"/>
  <c r="U87" i="1" s="1"/>
  <c r="Q87" i="1"/>
  <c r="P87" i="1"/>
  <c r="O87" i="1"/>
  <c r="N87" i="1"/>
  <c r="L87" i="1"/>
  <c r="K87" i="1"/>
  <c r="J87" i="1"/>
  <c r="I87" i="1"/>
  <c r="H87" i="1"/>
  <c r="G87" i="1"/>
  <c r="F87" i="1"/>
  <c r="E87" i="1"/>
  <c r="D87" i="1"/>
  <c r="S86" i="1"/>
  <c r="R86" i="1"/>
  <c r="U86" i="1" s="1"/>
  <c r="Q86" i="1"/>
  <c r="P86" i="1"/>
  <c r="O86" i="1"/>
  <c r="N86" i="1"/>
  <c r="L86" i="1"/>
  <c r="K86" i="1"/>
  <c r="J86" i="1"/>
  <c r="I86" i="1"/>
  <c r="H86" i="1"/>
  <c r="G86" i="1"/>
  <c r="F86" i="1"/>
  <c r="E86" i="1"/>
  <c r="D86" i="1"/>
  <c r="S85" i="1"/>
  <c r="R85" i="1"/>
  <c r="U85" i="1" s="1"/>
  <c r="Q85" i="1"/>
  <c r="P85" i="1"/>
  <c r="O85" i="1"/>
  <c r="N85" i="1"/>
  <c r="L85" i="1"/>
  <c r="K85" i="1"/>
  <c r="J85" i="1"/>
  <c r="I85" i="1"/>
  <c r="H85" i="1"/>
  <c r="G85" i="1"/>
  <c r="F85" i="1"/>
  <c r="E85" i="1"/>
  <c r="D85" i="1"/>
  <c r="S84" i="1"/>
  <c r="R84" i="1"/>
  <c r="U84" i="1" s="1"/>
  <c r="Q84" i="1"/>
  <c r="P84" i="1"/>
  <c r="O84" i="1"/>
  <c r="N84" i="1"/>
  <c r="L84" i="1"/>
  <c r="K84" i="1"/>
  <c r="J84" i="1"/>
  <c r="I84" i="1"/>
  <c r="H84" i="1"/>
  <c r="G84" i="1"/>
  <c r="F84" i="1"/>
  <c r="E84" i="1"/>
  <c r="D84" i="1"/>
  <c r="S83" i="1"/>
  <c r="R83" i="1"/>
  <c r="U83" i="1" s="1"/>
  <c r="Q83" i="1"/>
  <c r="P83" i="1"/>
  <c r="O83" i="1"/>
  <c r="N83" i="1"/>
  <c r="L83" i="1"/>
  <c r="K83" i="1"/>
  <c r="J83" i="1"/>
  <c r="I83" i="1"/>
  <c r="H83" i="1"/>
  <c r="G83" i="1"/>
  <c r="F83" i="1"/>
  <c r="E83" i="1"/>
  <c r="D83" i="1"/>
  <c r="S82" i="1"/>
  <c r="R82" i="1"/>
  <c r="U82" i="1" s="1"/>
  <c r="Q82" i="1"/>
  <c r="P82" i="1"/>
  <c r="O82" i="1"/>
  <c r="N82" i="1"/>
  <c r="L82" i="1"/>
  <c r="K82" i="1"/>
  <c r="J82" i="1"/>
  <c r="I82" i="1"/>
  <c r="H82" i="1"/>
  <c r="G82" i="1"/>
  <c r="F82" i="1"/>
  <c r="E82" i="1"/>
  <c r="D82" i="1"/>
  <c r="S81" i="1"/>
  <c r="R81" i="1"/>
  <c r="U81" i="1" s="1"/>
  <c r="Q81" i="1"/>
  <c r="P81" i="1"/>
  <c r="O81" i="1"/>
  <c r="N81" i="1"/>
  <c r="L81" i="1"/>
  <c r="K81" i="1"/>
  <c r="J81" i="1"/>
  <c r="I81" i="1"/>
  <c r="H81" i="1"/>
  <c r="G81" i="1"/>
  <c r="F81" i="1"/>
  <c r="E81" i="1"/>
  <c r="D81" i="1"/>
  <c r="S80" i="1"/>
  <c r="R80" i="1"/>
  <c r="U80" i="1" s="1"/>
  <c r="Q80" i="1"/>
  <c r="P80" i="1"/>
  <c r="O80" i="1"/>
  <c r="N80" i="1"/>
  <c r="L80" i="1"/>
  <c r="K80" i="1"/>
  <c r="J80" i="1"/>
  <c r="I80" i="1"/>
  <c r="H80" i="1"/>
  <c r="G80" i="1"/>
  <c r="F80" i="1"/>
  <c r="E80" i="1"/>
  <c r="D80" i="1"/>
  <c r="S79" i="1"/>
  <c r="R79" i="1"/>
  <c r="U79" i="1" s="1"/>
  <c r="Q79" i="1"/>
  <c r="P79" i="1"/>
  <c r="O79" i="1"/>
  <c r="N79" i="1"/>
  <c r="L79" i="1"/>
  <c r="K79" i="1"/>
  <c r="J79" i="1"/>
  <c r="I79" i="1"/>
  <c r="H79" i="1"/>
  <c r="G79" i="1"/>
  <c r="F79" i="1"/>
  <c r="E79" i="1"/>
  <c r="D79" i="1"/>
  <c r="S78" i="1"/>
  <c r="R78" i="1"/>
  <c r="U78" i="1" s="1"/>
  <c r="Q78" i="1"/>
  <c r="P78" i="1"/>
  <c r="O78" i="1"/>
  <c r="N78" i="1"/>
  <c r="L78" i="1"/>
  <c r="K78" i="1"/>
  <c r="J78" i="1"/>
  <c r="I78" i="1"/>
  <c r="H78" i="1"/>
  <c r="G78" i="1"/>
  <c r="F78" i="1"/>
  <c r="E78" i="1"/>
  <c r="D78" i="1"/>
  <c r="S77" i="1"/>
  <c r="R77" i="1"/>
  <c r="U77" i="1" s="1"/>
  <c r="Q77" i="1"/>
  <c r="P77" i="1"/>
  <c r="O77" i="1"/>
  <c r="N77" i="1"/>
  <c r="L77" i="1"/>
  <c r="K77" i="1"/>
  <c r="J77" i="1"/>
  <c r="I77" i="1"/>
  <c r="H77" i="1"/>
  <c r="G77" i="1"/>
  <c r="F77" i="1"/>
  <c r="E77" i="1"/>
  <c r="D77" i="1"/>
  <c r="S76" i="1"/>
  <c r="R76" i="1"/>
  <c r="U76" i="1" s="1"/>
  <c r="Q76" i="1"/>
  <c r="P76" i="1"/>
  <c r="O76" i="1"/>
  <c r="N76" i="1"/>
  <c r="L76" i="1"/>
  <c r="K76" i="1"/>
  <c r="J76" i="1"/>
  <c r="I76" i="1"/>
  <c r="H76" i="1"/>
  <c r="G76" i="1"/>
  <c r="F76" i="1"/>
  <c r="E76" i="1"/>
  <c r="D76" i="1"/>
  <c r="S75" i="1"/>
  <c r="R75" i="1"/>
  <c r="U75" i="1" s="1"/>
  <c r="Q75" i="1"/>
  <c r="P75" i="1"/>
  <c r="O75" i="1"/>
  <c r="N75" i="1"/>
  <c r="L75" i="1"/>
  <c r="K75" i="1"/>
  <c r="J75" i="1"/>
  <c r="I75" i="1"/>
  <c r="H75" i="1"/>
  <c r="G75" i="1"/>
  <c r="F75" i="1"/>
  <c r="E75" i="1"/>
  <c r="D75" i="1"/>
  <c r="S74" i="1"/>
  <c r="R74" i="1"/>
  <c r="U74" i="1" s="1"/>
  <c r="Q74" i="1"/>
  <c r="P74" i="1"/>
  <c r="O74" i="1"/>
  <c r="N74" i="1"/>
  <c r="L74" i="1"/>
  <c r="K74" i="1"/>
  <c r="J74" i="1"/>
  <c r="I74" i="1"/>
  <c r="H74" i="1"/>
  <c r="G74" i="1"/>
  <c r="F74" i="1"/>
  <c r="E74" i="1"/>
  <c r="D74" i="1"/>
  <c r="S73" i="1"/>
  <c r="R73" i="1"/>
  <c r="U73" i="1" s="1"/>
  <c r="Q73" i="1"/>
  <c r="P73" i="1"/>
  <c r="O73" i="1"/>
  <c r="N73" i="1"/>
  <c r="L73" i="1"/>
  <c r="K73" i="1"/>
  <c r="J73" i="1"/>
  <c r="I73" i="1"/>
  <c r="H73" i="1"/>
  <c r="G73" i="1"/>
  <c r="F73" i="1"/>
  <c r="E73" i="1"/>
  <c r="D73" i="1"/>
  <c r="S72" i="1"/>
  <c r="R72" i="1"/>
  <c r="U72" i="1" s="1"/>
  <c r="Q72" i="1"/>
  <c r="P72" i="1"/>
  <c r="O72" i="1"/>
  <c r="N72" i="1"/>
  <c r="L72" i="1"/>
  <c r="K72" i="1"/>
  <c r="J72" i="1"/>
  <c r="I72" i="1"/>
  <c r="H72" i="1"/>
  <c r="G72" i="1"/>
  <c r="F72" i="1"/>
  <c r="E72" i="1"/>
  <c r="D72" i="1"/>
  <c r="S71" i="1"/>
  <c r="R71" i="1"/>
  <c r="U71" i="1" s="1"/>
  <c r="Q71" i="1"/>
  <c r="P71" i="1"/>
  <c r="O71" i="1"/>
  <c r="N71" i="1"/>
  <c r="L71" i="1"/>
  <c r="K71" i="1"/>
  <c r="J71" i="1"/>
  <c r="I71" i="1"/>
  <c r="H71" i="1"/>
  <c r="G71" i="1"/>
  <c r="F71" i="1"/>
  <c r="E71" i="1"/>
  <c r="D71" i="1"/>
  <c r="S70" i="1"/>
  <c r="R70" i="1"/>
  <c r="U70" i="1" s="1"/>
  <c r="Q70" i="1"/>
  <c r="P70" i="1"/>
  <c r="O70" i="1"/>
  <c r="N70" i="1"/>
  <c r="L70" i="1"/>
  <c r="K70" i="1"/>
  <c r="J70" i="1"/>
  <c r="I70" i="1"/>
  <c r="H70" i="1"/>
  <c r="G70" i="1"/>
  <c r="F70" i="1"/>
  <c r="E70" i="1"/>
  <c r="D70" i="1"/>
  <c r="S69" i="1"/>
  <c r="R69" i="1"/>
  <c r="U69" i="1" s="1"/>
  <c r="Q69" i="1"/>
  <c r="P69" i="1"/>
  <c r="O69" i="1"/>
  <c r="N69" i="1"/>
  <c r="L69" i="1"/>
  <c r="K69" i="1"/>
  <c r="J69" i="1"/>
  <c r="I69" i="1"/>
  <c r="H69" i="1"/>
  <c r="G69" i="1"/>
  <c r="F69" i="1"/>
  <c r="E69" i="1"/>
  <c r="D69" i="1"/>
  <c r="S68" i="1"/>
  <c r="R68" i="1"/>
  <c r="U68" i="1" s="1"/>
  <c r="Q68" i="1"/>
  <c r="P68" i="1"/>
  <c r="O68" i="1"/>
  <c r="N68" i="1"/>
  <c r="L68" i="1"/>
  <c r="K68" i="1"/>
  <c r="J68" i="1"/>
  <c r="I68" i="1"/>
  <c r="H68" i="1"/>
  <c r="G68" i="1"/>
  <c r="F68" i="1"/>
  <c r="E68" i="1"/>
  <c r="D68" i="1"/>
  <c r="S67" i="1"/>
  <c r="R67" i="1"/>
  <c r="Q67" i="1"/>
  <c r="P67" i="1"/>
  <c r="O67" i="1"/>
  <c r="N67" i="1"/>
  <c r="L67" i="1"/>
  <c r="K67" i="1"/>
  <c r="J67" i="1"/>
  <c r="I67" i="1"/>
  <c r="H67" i="1"/>
  <c r="G67" i="1"/>
  <c r="F67" i="1"/>
  <c r="E67" i="1"/>
  <c r="D67" i="1"/>
  <c r="U66" i="1"/>
  <c r="S66" i="1"/>
  <c r="R66" i="1"/>
  <c r="Q66" i="1"/>
  <c r="P66" i="1"/>
  <c r="O66" i="1"/>
  <c r="N66" i="1"/>
  <c r="L66" i="1"/>
  <c r="K66" i="1"/>
  <c r="J66" i="1"/>
  <c r="I66" i="1"/>
  <c r="H66" i="1"/>
  <c r="G66" i="1"/>
  <c r="F66" i="1"/>
  <c r="E66" i="1"/>
  <c r="D66" i="1"/>
  <c r="U65" i="1"/>
  <c r="S65" i="1"/>
  <c r="R65" i="1"/>
  <c r="Q65" i="1"/>
  <c r="P65" i="1"/>
  <c r="O65" i="1"/>
  <c r="N65" i="1"/>
  <c r="L65" i="1"/>
  <c r="K65" i="1"/>
  <c r="J65" i="1"/>
  <c r="I65" i="1"/>
  <c r="H65" i="1"/>
  <c r="G65" i="1"/>
  <c r="F65" i="1"/>
  <c r="E65" i="1"/>
  <c r="D65" i="1"/>
  <c r="U64" i="1"/>
  <c r="S64" i="1"/>
  <c r="R64" i="1"/>
  <c r="Q64" i="1"/>
  <c r="P64" i="1"/>
  <c r="O64" i="1"/>
  <c r="N64" i="1"/>
  <c r="L64" i="1"/>
  <c r="K64" i="1"/>
  <c r="J64" i="1"/>
  <c r="I64" i="1"/>
  <c r="H64" i="1"/>
  <c r="G64" i="1"/>
  <c r="F64" i="1"/>
  <c r="E64" i="1"/>
  <c r="D64" i="1"/>
  <c r="U63" i="1"/>
  <c r="L63" i="1"/>
  <c r="K63" i="1"/>
  <c r="J63" i="1"/>
  <c r="I63" i="1"/>
  <c r="H63" i="1"/>
  <c r="G63" i="1"/>
  <c r="F63" i="1"/>
  <c r="E63" i="1"/>
  <c r="D63" i="1"/>
  <c r="S62" i="1"/>
  <c r="R62" i="1"/>
  <c r="U62" i="1" s="1"/>
  <c r="Q62" i="1"/>
  <c r="P62" i="1"/>
  <c r="O62" i="1"/>
  <c r="N62" i="1"/>
  <c r="L62" i="1"/>
  <c r="K62" i="1"/>
  <c r="J62" i="1"/>
  <c r="I62" i="1"/>
  <c r="H62" i="1"/>
  <c r="G62" i="1"/>
  <c r="F62" i="1"/>
  <c r="E62" i="1"/>
  <c r="D62" i="1"/>
  <c r="S61" i="1"/>
  <c r="R61" i="1"/>
  <c r="U61" i="1" s="1"/>
  <c r="Q61" i="1"/>
  <c r="P61" i="1"/>
  <c r="O61" i="1"/>
  <c r="N61" i="1"/>
  <c r="L61" i="1"/>
  <c r="K61" i="1"/>
  <c r="J61" i="1"/>
  <c r="I61" i="1"/>
  <c r="H61" i="1"/>
  <c r="G61" i="1"/>
  <c r="F61" i="1"/>
  <c r="E61" i="1"/>
  <c r="D61" i="1"/>
  <c r="S60" i="1"/>
  <c r="R60" i="1"/>
  <c r="U60" i="1" s="1"/>
  <c r="Q60" i="1"/>
  <c r="P60" i="1"/>
  <c r="O60" i="1"/>
  <c r="N60" i="1"/>
  <c r="L60" i="1"/>
  <c r="K60" i="1"/>
  <c r="J60" i="1"/>
  <c r="I60" i="1"/>
  <c r="H60" i="1"/>
  <c r="G60" i="1"/>
  <c r="F60" i="1"/>
  <c r="E60" i="1"/>
  <c r="D60" i="1"/>
  <c r="S59" i="1"/>
  <c r="R59" i="1"/>
  <c r="U59" i="1" s="1"/>
  <c r="Q59" i="1"/>
  <c r="P59" i="1"/>
  <c r="O59" i="1"/>
  <c r="N59" i="1"/>
  <c r="L59" i="1"/>
  <c r="K59" i="1"/>
  <c r="J59" i="1"/>
  <c r="I59" i="1"/>
  <c r="H59" i="1"/>
  <c r="G59" i="1"/>
  <c r="F59" i="1"/>
  <c r="E59" i="1"/>
  <c r="D59" i="1"/>
  <c r="S58" i="1"/>
  <c r="R58" i="1"/>
  <c r="U58" i="1" s="1"/>
  <c r="Q58" i="1"/>
  <c r="P58" i="1"/>
  <c r="O58" i="1"/>
  <c r="N58" i="1"/>
  <c r="L58" i="1"/>
  <c r="K58" i="1"/>
  <c r="J58" i="1"/>
  <c r="I58" i="1"/>
  <c r="H58" i="1"/>
  <c r="G58" i="1"/>
  <c r="F58" i="1"/>
  <c r="E58" i="1"/>
  <c r="D58" i="1"/>
  <c r="S57" i="1"/>
  <c r="R57" i="1"/>
  <c r="U57" i="1" s="1"/>
  <c r="Q57" i="1"/>
  <c r="P57" i="1"/>
  <c r="O57" i="1"/>
  <c r="N57" i="1"/>
  <c r="L57" i="1"/>
  <c r="K57" i="1"/>
  <c r="J57" i="1"/>
  <c r="I57" i="1"/>
  <c r="H57" i="1"/>
  <c r="G57" i="1"/>
  <c r="F57" i="1"/>
  <c r="E57" i="1"/>
  <c r="D57" i="1"/>
  <c r="S56" i="1"/>
  <c r="R56" i="1"/>
  <c r="U56" i="1" s="1"/>
  <c r="Q56" i="1"/>
  <c r="P56" i="1"/>
  <c r="O56" i="1"/>
  <c r="N56" i="1"/>
  <c r="L56" i="1"/>
  <c r="K56" i="1"/>
  <c r="J56" i="1"/>
  <c r="I56" i="1"/>
  <c r="H56" i="1"/>
  <c r="G56" i="1"/>
  <c r="F56" i="1"/>
  <c r="E56" i="1"/>
  <c r="D56" i="1"/>
  <c r="S55" i="1"/>
  <c r="R55" i="1"/>
  <c r="U55" i="1" s="1"/>
  <c r="Q55" i="1"/>
  <c r="P55" i="1"/>
  <c r="O55" i="1"/>
  <c r="N55" i="1"/>
  <c r="L55" i="1"/>
  <c r="K55" i="1"/>
  <c r="J55" i="1"/>
  <c r="I55" i="1"/>
  <c r="H55" i="1"/>
  <c r="G55" i="1"/>
  <c r="F55" i="1"/>
  <c r="E55" i="1"/>
  <c r="D55" i="1"/>
  <c r="U54" i="1"/>
  <c r="L54" i="1"/>
  <c r="K54" i="1"/>
  <c r="J54" i="1"/>
  <c r="I54" i="1"/>
  <c r="H54" i="1"/>
  <c r="G54" i="1"/>
  <c r="F54" i="1"/>
  <c r="E54" i="1"/>
  <c r="D54" i="1"/>
  <c r="U53" i="1"/>
  <c r="L53" i="1"/>
  <c r="K53" i="1"/>
  <c r="J53" i="1"/>
  <c r="I53" i="1"/>
  <c r="H53" i="1"/>
  <c r="G53" i="1"/>
  <c r="F53" i="1"/>
  <c r="E53" i="1"/>
  <c r="D53" i="1"/>
  <c r="U52" i="1"/>
  <c r="L52" i="1"/>
  <c r="K52" i="1"/>
  <c r="J52" i="1"/>
  <c r="I52" i="1"/>
  <c r="H52" i="1"/>
  <c r="G52" i="1"/>
  <c r="F52" i="1"/>
  <c r="E52" i="1"/>
  <c r="D52" i="1"/>
  <c r="U51" i="1"/>
  <c r="L51" i="1"/>
  <c r="K51" i="1"/>
  <c r="J51" i="1"/>
  <c r="I51" i="1"/>
  <c r="H51" i="1"/>
  <c r="G51" i="1"/>
  <c r="F51" i="1"/>
  <c r="E51" i="1"/>
  <c r="D51" i="1"/>
  <c r="U50" i="1"/>
  <c r="L50" i="1"/>
  <c r="K50" i="1"/>
  <c r="J50" i="1"/>
  <c r="I50" i="1"/>
  <c r="H50" i="1"/>
  <c r="G50" i="1"/>
  <c r="F50" i="1"/>
  <c r="E50" i="1"/>
  <c r="D50" i="1"/>
  <c r="U49" i="1"/>
  <c r="L49" i="1"/>
  <c r="K49" i="1"/>
  <c r="J49" i="1"/>
  <c r="I49" i="1"/>
  <c r="H49" i="1"/>
  <c r="G49" i="1"/>
  <c r="F49" i="1"/>
  <c r="E49" i="1"/>
  <c r="D49" i="1"/>
  <c r="U48" i="1"/>
  <c r="L48" i="1"/>
  <c r="K48" i="1"/>
  <c r="J48" i="1"/>
  <c r="I48" i="1"/>
  <c r="H48" i="1"/>
  <c r="G48" i="1"/>
  <c r="F48" i="1"/>
  <c r="E48" i="1"/>
  <c r="D48" i="1"/>
  <c r="U47" i="1"/>
  <c r="S47" i="1"/>
  <c r="R47" i="1"/>
  <c r="Q47" i="1"/>
  <c r="P47" i="1"/>
  <c r="O47" i="1"/>
  <c r="N47" i="1"/>
  <c r="L47" i="1"/>
  <c r="K47" i="1"/>
  <c r="J47" i="1"/>
  <c r="I47" i="1"/>
  <c r="H47" i="1"/>
  <c r="G47" i="1"/>
  <c r="F47" i="1"/>
  <c r="E47" i="1"/>
  <c r="D47" i="1"/>
  <c r="U46" i="1"/>
  <c r="S46" i="1"/>
  <c r="R46" i="1"/>
  <c r="Q46" i="1"/>
  <c r="P46" i="1"/>
  <c r="O46" i="1"/>
  <c r="N46" i="1"/>
  <c r="L46" i="1"/>
  <c r="K46" i="1"/>
  <c r="J46" i="1"/>
  <c r="I46" i="1"/>
  <c r="H46" i="1"/>
  <c r="G46" i="1"/>
  <c r="F46" i="1"/>
  <c r="E46" i="1"/>
  <c r="D46" i="1"/>
  <c r="U45" i="1"/>
  <c r="S45" i="1"/>
  <c r="R45" i="1"/>
  <c r="Q45" i="1"/>
  <c r="P45" i="1"/>
  <c r="O45" i="1"/>
  <c r="N45" i="1"/>
  <c r="L45" i="1"/>
  <c r="K45" i="1"/>
  <c r="J45" i="1"/>
  <c r="I45" i="1"/>
  <c r="H45" i="1"/>
  <c r="G45" i="1"/>
  <c r="F45" i="1"/>
  <c r="E45" i="1"/>
  <c r="D45" i="1"/>
  <c r="U44" i="1"/>
  <c r="S44" i="1"/>
  <c r="R44" i="1"/>
  <c r="Q44" i="1"/>
  <c r="P44" i="1"/>
  <c r="O44" i="1"/>
  <c r="N44" i="1"/>
  <c r="L44" i="1"/>
  <c r="K44" i="1"/>
  <c r="J44" i="1"/>
  <c r="I44" i="1"/>
  <c r="H44" i="1"/>
  <c r="G44" i="1"/>
  <c r="F44" i="1"/>
  <c r="E44" i="1"/>
  <c r="D44" i="1"/>
  <c r="U43" i="1"/>
  <c r="S43" i="1"/>
  <c r="R43" i="1"/>
  <c r="Q43" i="1"/>
  <c r="P43" i="1"/>
  <c r="O43" i="1"/>
  <c r="N43" i="1"/>
  <c r="L43" i="1"/>
  <c r="K43" i="1"/>
  <c r="J43" i="1"/>
  <c r="I43" i="1"/>
  <c r="H43" i="1"/>
  <c r="G43" i="1"/>
  <c r="F43" i="1"/>
  <c r="E43" i="1"/>
  <c r="D43" i="1"/>
  <c r="U42" i="1"/>
  <c r="S42" i="1"/>
  <c r="R42" i="1"/>
  <c r="Q42" i="1"/>
  <c r="P42" i="1"/>
  <c r="O42" i="1"/>
  <c r="N42" i="1"/>
  <c r="L42" i="1"/>
  <c r="K42" i="1"/>
  <c r="J42" i="1"/>
  <c r="I42" i="1"/>
  <c r="H42" i="1"/>
  <c r="G42" i="1"/>
  <c r="F42" i="1"/>
  <c r="E42" i="1"/>
  <c r="D42" i="1"/>
  <c r="U41" i="1"/>
  <c r="S41" i="1"/>
  <c r="R41" i="1"/>
  <c r="Q41" i="1"/>
  <c r="P41" i="1"/>
  <c r="O41" i="1"/>
  <c r="N41" i="1"/>
  <c r="L41" i="1"/>
  <c r="K41" i="1"/>
  <c r="J41" i="1"/>
  <c r="I41" i="1"/>
  <c r="H41" i="1"/>
  <c r="G41" i="1"/>
  <c r="F41" i="1"/>
  <c r="E41" i="1"/>
  <c r="D41" i="1"/>
  <c r="U40" i="1"/>
  <c r="S40" i="1"/>
  <c r="R40" i="1"/>
  <c r="Q40" i="1"/>
  <c r="P40" i="1"/>
  <c r="O40" i="1"/>
  <c r="N40" i="1"/>
  <c r="L40" i="1"/>
  <c r="K40" i="1"/>
  <c r="J40" i="1"/>
  <c r="I40" i="1"/>
  <c r="H40" i="1"/>
  <c r="G40" i="1"/>
  <c r="F40" i="1"/>
  <c r="E40" i="1"/>
  <c r="D40" i="1"/>
  <c r="U39" i="1"/>
  <c r="S39" i="1"/>
  <c r="R39" i="1"/>
  <c r="Q39" i="1"/>
  <c r="P39" i="1"/>
  <c r="O39" i="1"/>
  <c r="N39" i="1"/>
  <c r="L39" i="1"/>
  <c r="K39" i="1"/>
  <c r="J39" i="1"/>
  <c r="I39" i="1"/>
  <c r="H39" i="1"/>
  <c r="G39" i="1"/>
  <c r="F39" i="1"/>
  <c r="E39" i="1"/>
  <c r="D39" i="1"/>
  <c r="U38" i="1"/>
  <c r="S38" i="1"/>
  <c r="R38" i="1"/>
  <c r="Q38" i="1"/>
  <c r="P38" i="1"/>
  <c r="O38" i="1"/>
  <c r="N38" i="1"/>
  <c r="L38" i="1"/>
  <c r="K38" i="1"/>
  <c r="J38" i="1"/>
  <c r="I38" i="1"/>
  <c r="H38" i="1"/>
  <c r="G38" i="1"/>
  <c r="F38" i="1"/>
  <c r="E38" i="1"/>
  <c r="D38" i="1"/>
  <c r="U37" i="1"/>
  <c r="S37" i="1"/>
  <c r="R37" i="1"/>
  <c r="Q37" i="1"/>
  <c r="P37" i="1"/>
  <c r="O37" i="1"/>
  <c r="N37" i="1"/>
  <c r="L37" i="1"/>
  <c r="K37" i="1"/>
  <c r="J37" i="1"/>
  <c r="I37" i="1"/>
  <c r="H37" i="1"/>
  <c r="G37" i="1"/>
  <c r="F37" i="1"/>
  <c r="E37" i="1"/>
  <c r="D37" i="1"/>
  <c r="U36" i="1"/>
  <c r="S36" i="1"/>
  <c r="R36" i="1"/>
  <c r="Q36" i="1"/>
  <c r="P36" i="1"/>
  <c r="O36" i="1"/>
  <c r="N36" i="1"/>
  <c r="L36" i="1"/>
  <c r="K36" i="1"/>
  <c r="J36" i="1"/>
  <c r="I36" i="1"/>
  <c r="H36" i="1"/>
  <c r="G36" i="1"/>
  <c r="F36" i="1"/>
  <c r="E36" i="1"/>
  <c r="D36" i="1"/>
  <c r="U35" i="1"/>
  <c r="S35" i="1"/>
  <c r="R35" i="1"/>
  <c r="Q35" i="1"/>
  <c r="P35" i="1"/>
  <c r="O35" i="1"/>
  <c r="N35" i="1"/>
  <c r="L35" i="1"/>
  <c r="K35" i="1"/>
  <c r="J35" i="1"/>
  <c r="I35" i="1"/>
  <c r="H35" i="1"/>
  <c r="G35" i="1"/>
  <c r="F35" i="1"/>
  <c r="E35" i="1"/>
  <c r="D35" i="1"/>
  <c r="U34" i="1"/>
  <c r="S34" i="1"/>
  <c r="R34" i="1"/>
  <c r="Q34" i="1"/>
  <c r="P34" i="1"/>
  <c r="O34" i="1"/>
  <c r="N34" i="1"/>
  <c r="L34" i="1"/>
  <c r="K34" i="1"/>
  <c r="J34" i="1"/>
  <c r="I34" i="1"/>
  <c r="H34" i="1"/>
  <c r="G34" i="1"/>
  <c r="F34" i="1"/>
  <c r="E34" i="1"/>
  <c r="D34" i="1"/>
  <c r="U33" i="1"/>
  <c r="S33" i="1"/>
  <c r="R33" i="1"/>
  <c r="Q33" i="1"/>
  <c r="P33" i="1"/>
  <c r="O33" i="1"/>
  <c r="N33" i="1"/>
  <c r="L33" i="1"/>
  <c r="K33" i="1"/>
  <c r="J33" i="1"/>
  <c r="I33" i="1"/>
  <c r="H33" i="1"/>
  <c r="G33" i="1"/>
  <c r="F33" i="1"/>
  <c r="E33" i="1"/>
  <c r="D33" i="1"/>
  <c r="U32" i="1"/>
  <c r="S32" i="1"/>
  <c r="R32" i="1"/>
  <c r="Q32" i="1"/>
  <c r="P32" i="1"/>
  <c r="O32" i="1"/>
  <c r="N32" i="1"/>
  <c r="L32" i="1"/>
  <c r="K32" i="1"/>
  <c r="J32" i="1"/>
  <c r="I32" i="1"/>
  <c r="H32" i="1"/>
  <c r="G32" i="1"/>
  <c r="F32" i="1"/>
  <c r="E32" i="1"/>
  <c r="D32" i="1"/>
  <c r="U31" i="1"/>
  <c r="S31" i="1"/>
  <c r="R31" i="1"/>
  <c r="Q31" i="1"/>
  <c r="P31" i="1"/>
  <c r="O31" i="1"/>
  <c r="N31" i="1"/>
  <c r="L31" i="1"/>
  <c r="K31" i="1"/>
  <c r="J31" i="1"/>
  <c r="I31" i="1"/>
  <c r="H31" i="1"/>
  <c r="G31" i="1"/>
  <c r="F31" i="1"/>
  <c r="E31" i="1"/>
  <c r="D31" i="1"/>
  <c r="S30" i="1"/>
  <c r="R30" i="1"/>
  <c r="Q30" i="1"/>
  <c r="P30" i="1"/>
  <c r="O30" i="1"/>
  <c r="N30" i="1"/>
  <c r="L30" i="1"/>
  <c r="K30" i="1"/>
  <c r="J30" i="1"/>
  <c r="I30" i="1"/>
  <c r="H30" i="1"/>
  <c r="G30" i="1"/>
  <c r="F30" i="1"/>
  <c r="E30" i="1"/>
  <c r="D30" i="1"/>
  <c r="U29" i="1"/>
  <c r="S29" i="1"/>
  <c r="R29" i="1"/>
  <c r="Q29" i="1"/>
  <c r="P29" i="1"/>
  <c r="O29" i="1"/>
  <c r="N29" i="1"/>
  <c r="L29" i="1"/>
  <c r="K29" i="1"/>
  <c r="J29" i="1"/>
  <c r="I29" i="1"/>
  <c r="H29" i="1"/>
  <c r="G29" i="1"/>
  <c r="F29" i="1"/>
  <c r="E29" i="1"/>
  <c r="D29" i="1"/>
  <c r="S28" i="1"/>
  <c r="R28" i="1"/>
  <c r="Q28" i="1"/>
  <c r="P28" i="1"/>
  <c r="O28" i="1"/>
  <c r="N28" i="1"/>
  <c r="L28" i="1"/>
  <c r="K28" i="1"/>
  <c r="J28" i="1"/>
  <c r="I28" i="1"/>
  <c r="H28" i="1"/>
  <c r="G28" i="1"/>
  <c r="F28" i="1"/>
  <c r="E28" i="1"/>
  <c r="D28" i="1"/>
  <c r="S27" i="1"/>
  <c r="R27" i="1"/>
  <c r="Q27" i="1"/>
  <c r="P27" i="1"/>
  <c r="O27" i="1"/>
  <c r="N27" i="1"/>
  <c r="L27" i="1"/>
  <c r="K27" i="1"/>
  <c r="J27" i="1"/>
  <c r="I27" i="1"/>
  <c r="H27" i="1"/>
  <c r="G27" i="1"/>
  <c r="F27" i="1"/>
  <c r="E27" i="1"/>
  <c r="D27" i="1"/>
  <c r="S26" i="1"/>
  <c r="R26" i="1"/>
  <c r="U26" i="1" s="1"/>
  <c r="Q26" i="1"/>
  <c r="P26" i="1"/>
  <c r="O26" i="1"/>
  <c r="N26" i="1"/>
  <c r="L26" i="1"/>
  <c r="K26" i="1"/>
  <c r="J26" i="1"/>
  <c r="I26" i="1"/>
  <c r="H26" i="1"/>
  <c r="G26" i="1"/>
  <c r="F26" i="1"/>
  <c r="E26" i="1"/>
  <c r="D26" i="1"/>
  <c r="S25" i="1"/>
  <c r="R25" i="1"/>
  <c r="U25" i="1" s="1"/>
  <c r="Q25" i="1"/>
  <c r="P25" i="1"/>
  <c r="O25" i="1"/>
  <c r="N25" i="1"/>
  <c r="L25" i="1"/>
  <c r="K25" i="1"/>
  <c r="J25" i="1"/>
  <c r="I25" i="1"/>
  <c r="H25" i="1"/>
  <c r="G25" i="1"/>
  <c r="F25" i="1"/>
  <c r="E25" i="1"/>
  <c r="D25" i="1"/>
  <c r="S24" i="1"/>
  <c r="R24" i="1"/>
  <c r="U24" i="1" s="1"/>
  <c r="Q24" i="1"/>
  <c r="P24" i="1"/>
  <c r="O24" i="1"/>
  <c r="N24" i="1"/>
  <c r="L24" i="1"/>
  <c r="K24" i="1"/>
  <c r="J24" i="1"/>
  <c r="I24" i="1"/>
  <c r="H24" i="1"/>
  <c r="G24" i="1"/>
  <c r="F24" i="1"/>
  <c r="E24" i="1"/>
  <c r="D24" i="1"/>
  <c r="S23" i="1"/>
  <c r="R23" i="1"/>
  <c r="U23" i="1" s="1"/>
  <c r="Q23" i="1"/>
  <c r="P23" i="1"/>
  <c r="O23" i="1"/>
  <c r="N23" i="1"/>
  <c r="L23" i="1"/>
  <c r="K23" i="1"/>
  <c r="J23" i="1"/>
  <c r="I23" i="1"/>
  <c r="H23" i="1"/>
  <c r="G23" i="1"/>
  <c r="F23" i="1"/>
  <c r="E23" i="1"/>
  <c r="D23" i="1"/>
  <c r="S22" i="1"/>
  <c r="R22" i="1"/>
  <c r="U22" i="1" s="1"/>
  <c r="Q22" i="1"/>
  <c r="P22" i="1"/>
  <c r="O22" i="1"/>
  <c r="N22" i="1"/>
  <c r="L22" i="1"/>
  <c r="K22" i="1"/>
  <c r="J22" i="1"/>
  <c r="I22" i="1"/>
  <c r="H22" i="1"/>
  <c r="G22" i="1"/>
  <c r="F22" i="1"/>
  <c r="E22" i="1"/>
  <c r="D22" i="1"/>
  <c r="S21" i="1"/>
  <c r="R21" i="1"/>
  <c r="U21" i="1" s="1"/>
  <c r="Q21" i="1"/>
  <c r="P21" i="1"/>
  <c r="O21" i="1"/>
  <c r="N21" i="1"/>
  <c r="L21" i="1"/>
  <c r="K21" i="1"/>
  <c r="J21" i="1"/>
  <c r="I21" i="1"/>
  <c r="H21" i="1"/>
  <c r="G21" i="1"/>
  <c r="F21" i="1"/>
  <c r="E21" i="1"/>
  <c r="D21" i="1"/>
  <c r="S20" i="1"/>
  <c r="R20" i="1"/>
  <c r="U20" i="1" s="1"/>
  <c r="Q20" i="1"/>
  <c r="P20" i="1"/>
  <c r="O20" i="1"/>
  <c r="N20" i="1"/>
  <c r="L20" i="1"/>
  <c r="K20" i="1"/>
  <c r="J20" i="1"/>
  <c r="I20" i="1"/>
  <c r="H20" i="1"/>
  <c r="G20" i="1"/>
  <c r="F20" i="1"/>
  <c r="E20" i="1"/>
  <c r="D20" i="1"/>
  <c r="S19" i="1"/>
  <c r="R19" i="1"/>
  <c r="U19" i="1" s="1"/>
  <c r="Q19" i="1"/>
  <c r="P19" i="1"/>
  <c r="O19" i="1"/>
  <c r="N19" i="1"/>
  <c r="L19" i="1"/>
  <c r="K19" i="1"/>
  <c r="J19" i="1"/>
  <c r="I19" i="1"/>
  <c r="H19" i="1"/>
  <c r="G19" i="1"/>
  <c r="F19" i="1"/>
  <c r="E19" i="1"/>
  <c r="D19" i="1"/>
  <c r="S18" i="1"/>
  <c r="R18" i="1"/>
  <c r="U18" i="1" s="1"/>
  <c r="Q18" i="1"/>
  <c r="P18" i="1"/>
  <c r="O18" i="1"/>
  <c r="N18" i="1"/>
  <c r="L18" i="1"/>
  <c r="K18" i="1"/>
  <c r="J18" i="1"/>
  <c r="I18" i="1"/>
  <c r="H18" i="1"/>
  <c r="G18" i="1"/>
  <c r="F18" i="1"/>
  <c r="E18" i="1"/>
  <c r="D18" i="1"/>
  <c r="S17" i="1"/>
  <c r="R17" i="1"/>
  <c r="U17" i="1" s="1"/>
  <c r="Q17" i="1"/>
  <c r="P17" i="1"/>
  <c r="O17" i="1"/>
  <c r="N17" i="1"/>
  <c r="L17" i="1"/>
  <c r="K17" i="1"/>
  <c r="J17" i="1"/>
  <c r="I17" i="1"/>
  <c r="H17" i="1"/>
  <c r="G17" i="1"/>
  <c r="F17" i="1"/>
  <c r="E17" i="1"/>
  <c r="D17" i="1"/>
  <c r="S16" i="1"/>
  <c r="R16" i="1"/>
  <c r="U16" i="1" s="1"/>
  <c r="Q16" i="1"/>
  <c r="P16" i="1"/>
  <c r="O16" i="1"/>
  <c r="N16" i="1"/>
  <c r="L16" i="1"/>
  <c r="K16" i="1"/>
  <c r="J16" i="1"/>
  <c r="I16" i="1"/>
  <c r="H16" i="1"/>
  <c r="G16" i="1"/>
  <c r="F16" i="1"/>
  <c r="E16" i="1"/>
  <c r="D16" i="1"/>
  <c r="S15" i="1"/>
  <c r="R15" i="1"/>
  <c r="U15" i="1" s="1"/>
  <c r="Q15" i="1"/>
  <c r="P15" i="1"/>
  <c r="O15" i="1"/>
  <c r="N15" i="1"/>
  <c r="L15" i="1"/>
  <c r="K15" i="1"/>
  <c r="J15" i="1"/>
  <c r="I15" i="1"/>
  <c r="H15" i="1"/>
  <c r="G15" i="1"/>
  <c r="F15" i="1"/>
  <c r="E15" i="1"/>
  <c r="D15" i="1"/>
  <c r="S14" i="1"/>
  <c r="R14" i="1"/>
  <c r="U14" i="1" s="1"/>
  <c r="Q14" i="1"/>
  <c r="P14" i="1"/>
  <c r="O14" i="1"/>
  <c r="N14" i="1"/>
  <c r="L14" i="1"/>
  <c r="K14" i="1"/>
  <c r="J14" i="1"/>
  <c r="I14" i="1"/>
  <c r="H14" i="1"/>
  <c r="G14" i="1"/>
  <c r="F14" i="1"/>
  <c r="E14" i="1"/>
  <c r="D14" i="1"/>
  <c r="S13" i="1"/>
  <c r="R13" i="1"/>
  <c r="U13" i="1" s="1"/>
  <c r="Q13" i="1"/>
  <c r="P13" i="1"/>
  <c r="O13" i="1"/>
  <c r="N13" i="1"/>
  <c r="L13" i="1"/>
  <c r="K13" i="1"/>
  <c r="J13" i="1"/>
  <c r="I13" i="1"/>
  <c r="H13" i="1"/>
  <c r="G13" i="1"/>
  <c r="F13" i="1"/>
  <c r="E13" i="1"/>
  <c r="D13" i="1"/>
  <c r="S12" i="1"/>
  <c r="R12" i="1"/>
  <c r="U12" i="1" s="1"/>
  <c r="Q12" i="1"/>
  <c r="P12" i="1"/>
  <c r="O12" i="1"/>
  <c r="N12" i="1"/>
  <c r="L12" i="1"/>
  <c r="K12" i="1"/>
  <c r="J12" i="1"/>
  <c r="I12" i="1"/>
  <c r="H12" i="1"/>
  <c r="G12" i="1"/>
  <c r="F12" i="1"/>
  <c r="E12" i="1"/>
  <c r="D12" i="1"/>
  <c r="S11" i="1"/>
  <c r="R11" i="1"/>
  <c r="U11" i="1" s="1"/>
  <c r="Q11" i="1"/>
  <c r="P11" i="1"/>
  <c r="O11" i="1"/>
  <c r="N11" i="1"/>
  <c r="L11" i="1"/>
  <c r="K11" i="1"/>
  <c r="J11" i="1"/>
  <c r="I11" i="1"/>
  <c r="H11" i="1"/>
  <c r="G11" i="1"/>
  <c r="F11" i="1"/>
  <c r="E11" i="1"/>
  <c r="D11" i="1"/>
  <c r="S10" i="1"/>
  <c r="R10" i="1"/>
  <c r="U10" i="1" s="1"/>
  <c r="Q10" i="1"/>
  <c r="P10" i="1"/>
  <c r="O10" i="1"/>
  <c r="N10" i="1"/>
  <c r="L10" i="1"/>
  <c r="K10" i="1"/>
  <c r="J10" i="1"/>
  <c r="I10" i="1"/>
  <c r="H10" i="1"/>
  <c r="G10" i="1"/>
  <c r="F10" i="1"/>
  <c r="E10" i="1"/>
  <c r="D10" i="1"/>
  <c r="S9" i="1"/>
  <c r="R9" i="1"/>
  <c r="U9" i="1" s="1"/>
  <c r="Q9" i="1"/>
  <c r="P9" i="1"/>
  <c r="O9" i="1"/>
  <c r="N9" i="1"/>
  <c r="L9" i="1"/>
  <c r="K9" i="1"/>
  <c r="J9" i="1"/>
  <c r="I9" i="1"/>
  <c r="H9" i="1"/>
  <c r="G9" i="1"/>
  <c r="F9" i="1"/>
  <c r="E9" i="1"/>
  <c r="D9" i="1"/>
  <c r="S8" i="1"/>
  <c r="R8" i="1"/>
  <c r="U8" i="1" s="1"/>
  <c r="Q8" i="1"/>
  <c r="P8" i="1"/>
  <c r="O8" i="1"/>
  <c r="N8" i="1"/>
  <c r="L8" i="1"/>
  <c r="K8" i="1"/>
  <c r="J8" i="1"/>
  <c r="I8" i="1"/>
  <c r="H8" i="1"/>
  <c r="G8" i="1"/>
  <c r="F8" i="1"/>
  <c r="E8" i="1"/>
  <c r="D8" i="1"/>
  <c r="S7" i="1"/>
  <c r="R7" i="1"/>
  <c r="U7" i="1" s="1"/>
  <c r="Q7" i="1"/>
  <c r="P7" i="1"/>
  <c r="O7" i="1"/>
  <c r="N7" i="1"/>
  <c r="L7" i="1"/>
  <c r="K7" i="1"/>
  <c r="J7" i="1"/>
  <c r="I7" i="1"/>
  <c r="H7" i="1"/>
  <c r="G7" i="1"/>
  <c r="F7" i="1"/>
  <c r="E7" i="1"/>
  <c r="D7" i="1"/>
  <c r="S6" i="1"/>
  <c r="R6" i="1"/>
  <c r="U6" i="1" s="1"/>
  <c r="Q6" i="1"/>
  <c r="P6" i="1"/>
  <c r="O6" i="1"/>
  <c r="N6" i="1"/>
  <c r="L6" i="1"/>
  <c r="K6" i="1"/>
  <c r="J6" i="1"/>
  <c r="I6" i="1"/>
  <c r="H6" i="1"/>
  <c r="G6" i="1"/>
  <c r="F6" i="1"/>
  <c r="E6" i="1"/>
  <c r="D6" i="1"/>
  <c r="U5" i="1"/>
  <c r="L5" i="1"/>
  <c r="K5" i="1"/>
  <c r="J5" i="1"/>
  <c r="I5" i="1"/>
  <c r="H5" i="1"/>
  <c r="G5" i="1"/>
  <c r="F5" i="1"/>
  <c r="E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D8270562-0307-48E3-8AFC-B512EB14D468}">
      <text>
        <r>
          <rPr>
            <sz val="11"/>
            <color theme="1"/>
            <rFont val="Calibri"/>
            <scheme val="minor"/>
          </rPr>
          <t>======
ID#AAABylypXrQ
MARA INGENIEROS SAS    (2026-01-14 18:48:58)
Ingresar el Codigo</t>
        </r>
      </text>
    </comment>
    <comment ref="X4" authorId="0" shapeId="0" xr:uid="{EE38BC86-6678-4211-89F5-D33D191BFA1B}">
      <text>
        <r>
          <rPr>
            <sz val="11"/>
            <color theme="1"/>
            <rFont val="Calibri"/>
            <scheme val="minor"/>
          </rPr>
          <t>======
ID#AAABylypXrU
MARA INGENIEROS SAS    (2026-01-14 18:49:39)
Ingresar el numero de Acta conciliatoria</t>
        </r>
      </text>
    </comment>
  </commentList>
</comments>
</file>

<file path=xl/sharedStrings.xml><?xml version="1.0" encoding="utf-8"?>
<sst xmlns="http://schemas.openxmlformats.org/spreadsheetml/2006/main" count="2542" uniqueCount="281">
  <si>
    <t xml:space="preserve">TABLA FINANCIERA DE CONTROL DE FACTURACION X CLIENTES/PROYECTO </t>
  </si>
  <si>
    <t>N°</t>
  </si>
  <si>
    <t>CONTEO</t>
  </si>
  <si>
    <t>NOMBRE DEL PROYECTO</t>
  </si>
  <si>
    <t>CODIGO</t>
  </si>
  <si>
    <t>FECHA DE INICIO</t>
  </si>
  <si>
    <t>LATITUD</t>
  </si>
  <si>
    <t>LONGITUD</t>
  </si>
  <si>
    <t>DEPARTAMENTO</t>
  </si>
  <si>
    <t>CLIENTE FINAL</t>
  </si>
  <si>
    <t>ZONA</t>
  </si>
  <si>
    <t>INTERVENTOR</t>
  </si>
  <si>
    <t>ESTADO</t>
  </si>
  <si>
    <t>BOMCODE</t>
  </si>
  <si>
    <t>LPU FLM</t>
  </si>
  <si>
    <t>DESCRIPCIÓN
LPU WOM</t>
  </si>
  <si>
    <t>ESPECIALIDAD</t>
  </si>
  <si>
    <t>UM</t>
  </si>
  <si>
    <t>PRICE</t>
  </si>
  <si>
    <t>ACTIVIDAD</t>
  </si>
  <si>
    <t>CANTIDAD</t>
  </si>
  <si>
    <t>VALOR 
TOTAL</t>
  </si>
  <si>
    <t>DESCRIPCIÓN</t>
  </si>
  <si>
    <t>N° DE REQUERIMIENTO</t>
  </si>
  <si>
    <t>ACTA DE CONCILIACIÓN</t>
  </si>
  <si>
    <t>JSUC Majagual</t>
  </si>
  <si>
    <t>PAGO DIRECTO</t>
  </si>
  <si>
    <t>SIN CONCILIAR</t>
  </si>
  <si>
    <t>JSUC La Union B</t>
  </si>
  <si>
    <t>JSUC Tierra Santa</t>
  </si>
  <si>
    <t>JCOR Villa Esperanza</t>
  </si>
  <si>
    <t>MARA 0023</t>
  </si>
  <si>
    <t>CES Santa Rosa</t>
  </si>
  <si>
    <t>JSUC San Marcos</t>
  </si>
  <si>
    <t>JCOR Playa Rica</t>
  </si>
  <si>
    <t>CAMBIO DE TRANSFORMADOR</t>
  </si>
  <si>
    <t>JSAN Otoval B</t>
  </si>
  <si>
    <t>INSTALACION DE EQUIPOS SITIO NUEVO</t>
  </si>
  <si>
    <t>MARA_0009</t>
  </si>
  <si>
    <t>NOR Pamplona Seminario Menor</t>
  </si>
  <si>
    <t>MOVIMEINTO Y RECONEXION</t>
  </si>
  <si>
    <t>JBOY La Playa</t>
  </si>
  <si>
    <t>REAPARACION DE TRANSFORMADOR</t>
  </si>
  <si>
    <t>JPUT Paraiso</t>
  </si>
  <si>
    <t>REPARACION ELECTRICA</t>
  </si>
  <si>
    <t>MARA_0005</t>
  </si>
  <si>
    <t>JCUN San Antonio</t>
  </si>
  <si>
    <t>Riendadas de Torre</t>
  </si>
  <si>
    <t>JCUN Olivos B</t>
  </si>
  <si>
    <t>JCUN Olivos</t>
  </si>
  <si>
    <t>CLI Piedra Grande B</t>
  </si>
  <si>
    <t>CORREO WOM-SW-0012 - CLI_01711</t>
  </si>
  <si>
    <t>ENERGIA</t>
  </si>
  <si>
    <t>Global</t>
  </si>
  <si>
    <t>MANTENIMIENTO UNIRED</t>
  </si>
  <si>
    <t>CAMBIO DE TRANFORMADOR DE 45 KVA</t>
  </si>
  <si>
    <t>MARA_0003-2</t>
  </si>
  <si>
    <t>CUN_VILLETA_II</t>
  </si>
  <si>
    <t>No. C-1-10 Y  No. C-1-6</t>
  </si>
  <si>
    <t>CAMBIO DE TRANFORMADOR DE 25 KVA</t>
  </si>
  <si>
    <t>MARA 0026</t>
  </si>
  <si>
    <t>NAR_IMUES</t>
  </si>
  <si>
    <t>MARA_0003</t>
  </si>
  <si>
    <t>GACHANTIVA</t>
  </si>
  <si>
    <t>PALMARITO</t>
  </si>
  <si>
    <t>CORREO CENT-COT-1135VIC0005PALMARITO</t>
  </si>
  <si>
    <t>PORCE</t>
  </si>
  <si>
    <t>COTIZACION COTIZACIÓN MIS-20250178</t>
  </si>
  <si>
    <t>MARA_0004-2</t>
  </si>
  <si>
    <t>VAC BENDICIONES</t>
  </si>
  <si>
    <t>POP Popayan Colombia I</t>
  </si>
  <si>
    <t>SUMINISTRO DE MATERIAL</t>
  </si>
  <si>
    <t>CLI Ciudad Los Alamos</t>
  </si>
  <si>
    <t>CLI MIO Chapinero</t>
  </si>
  <si>
    <t>REPARACION SOLDADURA TOKEN  MIO CALI</t>
  </si>
  <si>
    <t>JSUC SUCRE</t>
  </si>
  <si>
    <t>BTA Cundinamarca</t>
  </si>
  <si>
    <t>seguridad baterias</t>
  </si>
  <si>
    <t>MARA_00005</t>
  </si>
  <si>
    <t>SAN DIEGO CALDAS</t>
  </si>
  <si>
    <t>COTIZACION COTIZACIÓN C-1-17-SAN DIEGO</t>
  </si>
  <si>
    <t>CAMBIO DE TRANFORMADOR DE 15 KVA 3FS</t>
  </si>
  <si>
    <t>MARA_0008</t>
  </si>
  <si>
    <t>JCOR Las Camelias</t>
  </si>
  <si>
    <t>PRUEBA EN VACIO DEL TRANSFORMADOR</t>
  </si>
  <si>
    <t xml:space="preserve">JSUC San Gregorio </t>
  </si>
  <si>
    <t>MARA_0010</t>
  </si>
  <si>
    <t>JSUC LA CEJA DEL MANGO</t>
  </si>
  <si>
    <t>JCOR Pueblo Buho</t>
  </si>
  <si>
    <t>JSUC LAS CRUCES</t>
  </si>
  <si>
    <t>JSUC Esperanza</t>
  </si>
  <si>
    <t>JSUC Zapatico</t>
  </si>
  <si>
    <t>JSUC Pita Abajo</t>
  </si>
  <si>
    <t>JCOR La Dorada</t>
  </si>
  <si>
    <t>VDP La Granja</t>
  </si>
  <si>
    <t>JCOR Libertador Morrocoy</t>
  </si>
  <si>
    <t>JCOR El Floral</t>
  </si>
  <si>
    <t>JGUA Cuatro Vias</t>
  </si>
  <si>
    <t>SANTA ISABEL</t>
  </si>
  <si>
    <t>SELVA</t>
  </si>
  <si>
    <t>COR Pueblo Nuevo B</t>
  </si>
  <si>
    <t>JSUC_El Sitio</t>
  </si>
  <si>
    <t>MARA_0007</t>
  </si>
  <si>
    <t>BUC Cabecera del Llano</t>
  </si>
  <si>
    <t>MANTENIMEINTO MIMETIZADO</t>
  </si>
  <si>
    <t>JNOR Sector Occidental B</t>
  </si>
  <si>
    <t>CMAN Villamaria Altos del Portal</t>
  </si>
  <si>
    <t>BTA El Paraiso B</t>
  </si>
  <si>
    <t>MANTENIMIENTO ESCOTILLA</t>
  </si>
  <si>
    <t>CUN Silvania Noruega Alta</t>
  </si>
  <si>
    <t>TRASLADO EQUIPOS DE PISO A TORRE, ARREGLO DE MALLA</t>
  </si>
  <si>
    <t>JANT Milagrosa Baja</t>
  </si>
  <si>
    <t>JANT San Nicolas</t>
  </si>
  <si>
    <t>JANT Pueblito</t>
  </si>
  <si>
    <t>JCOR El Deseo</t>
  </si>
  <si>
    <t>JCOR El Guaimaro</t>
  </si>
  <si>
    <t>JCOR El Guayabo</t>
  </si>
  <si>
    <t>JCOR El Silencio</t>
  </si>
  <si>
    <t>CAU Piedrasentada</t>
  </si>
  <si>
    <t>Suministro de cable</t>
  </si>
  <si>
    <t>MARA_00011</t>
  </si>
  <si>
    <t>JPUT La Pacera</t>
  </si>
  <si>
    <t>cambio de medidores</t>
  </si>
  <si>
    <t>CLI Prados del Norte</t>
  </si>
  <si>
    <t>JCOR Heredia</t>
  </si>
  <si>
    <t>JCOR El Banco</t>
  </si>
  <si>
    <t>JCOR Fabra</t>
  </si>
  <si>
    <t>PUT San Miguel</t>
  </si>
  <si>
    <t>JCOR Juan Jose</t>
  </si>
  <si>
    <t>JANT San Isidro Parte Baja</t>
  </si>
  <si>
    <t>JANT San Cristobal</t>
  </si>
  <si>
    <t>JANT Hondita</t>
  </si>
  <si>
    <t>JPUT El Libano b</t>
  </si>
  <si>
    <t>Cambio de medidor</t>
  </si>
  <si>
    <t>JBOL Veredas de La Cabecera</t>
  </si>
  <si>
    <t>PODA DE ESTACIÓN</t>
  </si>
  <si>
    <t>Mara_00014</t>
  </si>
  <si>
    <t>MONTEBELLO ANTIOQUIA</t>
  </si>
  <si>
    <t>INSTALACIÓN DE ACOMEDITA MO</t>
  </si>
  <si>
    <t>N/A</t>
  </si>
  <si>
    <t>INSTALACIÓN DE ACOMETIDA</t>
  </si>
  <si>
    <t>SAT_PEAJE_AGUAS_NEGRAS</t>
  </si>
  <si>
    <t>CAMBIO DE TRANSFORMADOR  Y SPT</t>
  </si>
  <si>
    <t>MESOPOTAMIA</t>
  </si>
  <si>
    <t>CAMBIO DE DOS PARARRAYOS</t>
  </si>
  <si>
    <t>CAMBIO DE PARARRAYOS</t>
  </si>
  <si>
    <t>MUZO</t>
  </si>
  <si>
    <t>CAMBIO DE NUEVE PARARRAYOS</t>
  </si>
  <si>
    <t>BUC-210009 _ PORTUGAL SANTANDER</t>
  </si>
  <si>
    <t>PODA DE LINEA DESDE EL ARRANQUE</t>
  </si>
  <si>
    <t>PORTUGAL SANTANDER</t>
  </si>
  <si>
    <t>INSTALACIÓN DE TRANSFORMADOR Y ELEMENTOS</t>
  </si>
  <si>
    <t>BUC_RICAURTE</t>
  </si>
  <si>
    <t>INSTALACIÓN DE TUBERIA Y ACOMETIDAS</t>
  </si>
  <si>
    <t>REPARACIÓN DE TRANSFORMADOR</t>
  </si>
  <si>
    <t>ALPUJARRA TOLIMA</t>
  </si>
  <si>
    <t>SUMINISTRO TOTALIZADOR Breaker Industrial 3X100 Amp</t>
  </si>
  <si>
    <t>SUMINISTRO TOTALIZADOR</t>
  </si>
  <si>
    <t>TJA La Glorieta</t>
  </si>
  <si>
    <t>CAMBIO DE MEDIDOR</t>
  </si>
  <si>
    <t>JHUI Puerta del Sol</t>
  </si>
  <si>
    <t>CAMBIO DE TRANSFORMADOR Y PARARRAYOS</t>
  </si>
  <si>
    <t>Cable UTP Categoría 6, con conectores en sus extremos, certificado</t>
  </si>
  <si>
    <t>Item Critico</t>
  </si>
  <si>
    <t>U</t>
  </si>
  <si>
    <t>LPU FO Propia</t>
  </si>
  <si>
    <t>SUMINISTRO DE CABLE UTP Y ENVIO</t>
  </si>
  <si>
    <t>Amarre Plásticos de 30 cm</t>
  </si>
  <si>
    <t>Variables</t>
  </si>
  <si>
    <t>Unidad</t>
  </si>
  <si>
    <t>LPU FO</t>
  </si>
  <si>
    <t>JANT Despensas</t>
  </si>
  <si>
    <t>SUMINISTRO DE CABLE UTP</t>
  </si>
  <si>
    <t>BOY PAIPA</t>
  </si>
  <si>
    <t>PODA DE LINEAS Y CAMBIO DE PARARRAYOS</t>
  </si>
  <si>
    <t>PODA Y CAMBIO DE PARARRAYOS</t>
  </si>
  <si>
    <t>PER MEGABUS SAN FERNANDO</t>
  </si>
  <si>
    <t>TOL SAN JOSE</t>
  </si>
  <si>
    <t>DEMOLICIÓN Y RECONSTRUCCIÓN DE PLACA</t>
  </si>
  <si>
    <t>BOY_PUENTE_DE_BOYACA</t>
  </si>
  <si>
    <t>NEI Ciudadela Acropolis</t>
  </si>
  <si>
    <t>SUMINISTRO MATERIAL ELECTRICO</t>
  </si>
  <si>
    <t>CAMBIO DE CAJA Y FIJACIÓN</t>
  </si>
  <si>
    <t>SUMINISTRO DE PARARRAYOS</t>
  </si>
  <si>
    <t>CMED Itagui Santa Maria del Campo</t>
  </si>
  <si>
    <t>SUMINISTRO DE MATERIAL ELECTRICO</t>
  </si>
  <si>
    <t>JCOR Egipto</t>
  </si>
  <si>
    <t>INSTALACIÓN DE BATERIA EN TORRE</t>
  </si>
  <si>
    <t>JCOR Nueva Lucia</t>
  </si>
  <si>
    <t>JCOR Alto Puya</t>
  </si>
  <si>
    <t>MARA 00017</t>
  </si>
  <si>
    <t>SAN ANTONIO DE PRADO</t>
  </si>
  <si>
    <t>SUMINISTRO DE CANDADO Y CERRADURA</t>
  </si>
  <si>
    <t>SANTA INES</t>
  </si>
  <si>
    <t>MARA_00012</t>
  </si>
  <si>
    <t>ADECUACIÓN DE ACOMEDITA</t>
  </si>
  <si>
    <t>SICHIMA</t>
  </si>
  <si>
    <t>PRUEBA A TRANSFORMADOR</t>
  </si>
  <si>
    <t>TARAPACA</t>
  </si>
  <si>
    <t>TRANSPORTE DE EQUIPO IDA U VUELTA</t>
  </si>
  <si>
    <t>BTA_Rincon del Norte B</t>
  </si>
  <si>
    <t>REPARACIONES LOCATIVAS</t>
  </si>
  <si>
    <t>CBTA El Abra</t>
  </si>
  <si>
    <t>CONEXIÓN EN BREAKER E INSPECCION ELECTRICA</t>
  </si>
  <si>
    <t>Mara_00011</t>
  </si>
  <si>
    <t>CUN Nemocon</t>
  </si>
  <si>
    <t>VIL Altos de Villa Codem B</t>
  </si>
  <si>
    <t>BTA Tuna Rural</t>
  </si>
  <si>
    <t>BTA Chicala</t>
  </si>
  <si>
    <t>RECONEXION EN POSTE</t>
  </si>
  <si>
    <t>CUN Agua Blanca</t>
  </si>
  <si>
    <t>INSTALACION LUCES DE OBSTRUCCION</t>
  </si>
  <si>
    <t>BTA Arborizadora Baja</t>
  </si>
  <si>
    <t>CAMBIO ACOMETIDA</t>
  </si>
  <si>
    <t>BTA La Favorita</t>
  </si>
  <si>
    <t>REPARACIONES LOCATIVAS IMPERMEABILIZACION</t>
  </si>
  <si>
    <t>BTA Ciudad Bachue B</t>
  </si>
  <si>
    <t>MANTENIMIENTO MIMETIZADO E IMPERMEABILIZACION</t>
  </si>
  <si>
    <t>BTA Rocio Oriental</t>
  </si>
  <si>
    <t>NOR Pamplona El Buque</t>
  </si>
  <si>
    <t>MANTENIMIENTO TECHO, PINTADO E IMPERMEABILIZACION</t>
  </si>
  <si>
    <t>BTA Bavaria Techo III</t>
  </si>
  <si>
    <t>MANTENIMIENTO PINTADO E IMPERMEABILIZACION</t>
  </si>
  <si>
    <t>lámina soldada en el compartimiento del gabinete</t>
  </si>
  <si>
    <t>CCLI Yumbo Zona Industrial I</t>
  </si>
  <si>
    <t>soportería, acometida eléctrica</t>
  </si>
  <si>
    <t>sin item</t>
  </si>
  <si>
    <t>ALQUIER GRUA</t>
  </si>
  <si>
    <t>Nivel 2</t>
  </si>
  <si>
    <t>DIA</t>
  </si>
  <si>
    <t>N2</t>
  </si>
  <si>
    <t>CABLE EN ACERO GALVANIZADO DE 1/4"</t>
  </si>
  <si>
    <t>M</t>
  </si>
  <si>
    <t>JCOR San Rafael</t>
  </si>
  <si>
    <t>GL</t>
  </si>
  <si>
    <t>MARA_00010</t>
  </si>
  <si>
    <t>JCAU El Ceral</t>
  </si>
  <si>
    <t>JSUC SAN MARCOS</t>
  </si>
  <si>
    <t>JCOR Primavera</t>
  </si>
  <si>
    <t>JSUC Hato Nuevo</t>
  </si>
  <si>
    <t>MET San Pedro</t>
  </si>
  <si>
    <t>JCOR PUEBLO BUHO</t>
  </si>
  <si>
    <t>VAL Buenaventura</t>
  </si>
  <si>
    <t>CORINTO</t>
  </si>
  <si>
    <t>Mara_00013</t>
  </si>
  <si>
    <t>JCOR Quebrada del Medio</t>
  </si>
  <si>
    <t>PCA Tamarindo</t>
  </si>
  <si>
    <t>VDP Guajira</t>
  </si>
  <si>
    <t>JCAQ La Guadalosa</t>
  </si>
  <si>
    <t>JSUC Diaz Granado</t>
  </si>
  <si>
    <t>suc San onofre</t>
  </si>
  <si>
    <t>JPUT Los Llanos</t>
  </si>
  <si>
    <t>VIC Cumaribo</t>
  </si>
  <si>
    <t>BTA Tibabita</t>
  </si>
  <si>
    <t>Mara_00015</t>
  </si>
  <si>
    <t>BTA Torca</t>
  </si>
  <si>
    <t>VAL Buenaventura Transformacion</t>
  </si>
  <si>
    <t>CCLI Yumbo Belalcazar</t>
  </si>
  <si>
    <t>CCLI Yumbo Zona Industrial B</t>
  </si>
  <si>
    <t>CLI La Base</t>
  </si>
  <si>
    <t>CLI Las Brisas</t>
  </si>
  <si>
    <t>NAR Pedregal</t>
  </si>
  <si>
    <t>NAR Tumaco Camaronera</t>
  </si>
  <si>
    <t>NAR Tumaco El Morro</t>
  </si>
  <si>
    <t>NAR Tumaco Puente Pindo</t>
  </si>
  <si>
    <t>NAR Tumaco Mosquera</t>
  </si>
  <si>
    <t>JSUC Cayo de Palma</t>
  </si>
  <si>
    <t>JSUC Belen</t>
  </si>
  <si>
    <t>JSUC Baraya</t>
  </si>
  <si>
    <t>JSUC Las Cruces</t>
  </si>
  <si>
    <t>JCOR Limon</t>
  </si>
  <si>
    <t>JSUC Floral</t>
  </si>
  <si>
    <t>JSUC Redonda</t>
  </si>
  <si>
    <t>JSUC Puerto El Gracero</t>
  </si>
  <si>
    <t>mara_00015</t>
  </si>
  <si>
    <t>JSUC Sincelejito</t>
  </si>
  <si>
    <t>NAR Tumaco C</t>
  </si>
  <si>
    <t>NAR El Charco</t>
  </si>
  <si>
    <t>JSUC Palmar Brillante</t>
  </si>
  <si>
    <t>JSUC Buenaventura</t>
  </si>
  <si>
    <t>JSUC El Chicho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</si>
</sst>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"/>
    <numFmt numFmtId="165" formatCode="d/m/yyyy"/>
    <numFmt numFmtId="166" formatCode="&quot;$&quot;#,##0"/>
    <numFmt numFmtId="167" formatCode="&quot;$&quot;#,##0.00"/>
    <numFmt numFmtId="168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20"/>
      <color theme="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0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textRotation="90" wrapText="1"/>
    </xf>
    <xf numFmtId="0" fontId="8" fillId="5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64" fontId="6" fillId="5" borderId="9" xfId="0" applyNumberFormat="1" applyFont="1" applyFill="1" applyBorder="1" applyAlignment="1">
      <alignment horizontal="center" vertic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" fontId="9" fillId="6" borderId="10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0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166" fontId="10" fillId="0" borderId="10" xfId="0" applyNumberFormat="1" applyFont="1" applyBorder="1" applyAlignment="1">
      <alignment horizontal="center"/>
    </xf>
    <xf numFmtId="4" fontId="9" fillId="7" borderId="10" xfId="0" applyNumberFormat="1" applyFont="1" applyFill="1" applyBorder="1" applyAlignment="1">
      <alignment horizontal="center"/>
    </xf>
    <xf numFmtId="167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8" fontId="4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3" fontId="10" fillId="0" borderId="10" xfId="0" applyNumberFormat="1" applyFont="1" applyBorder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167" fontId="10" fillId="0" borderId="10" xfId="0" applyNumberFormat="1" applyFont="1" applyBorder="1" applyAlignment="1">
      <alignment horizontal="center"/>
    </xf>
    <xf numFmtId="9" fontId="4" fillId="3" borderId="0" xfId="0" applyNumberFormat="1" applyFont="1" applyFill="1" applyAlignment="1">
      <alignment horizontal="center" vertical="center"/>
    </xf>
    <xf numFmtId="0" fontId="10" fillId="8" borderId="10" xfId="0" applyFont="1" applyFill="1" applyBorder="1" applyAlignment="1">
      <alignment horizontal="center"/>
    </xf>
    <xf numFmtId="165" fontId="10" fillId="8" borderId="10" xfId="0" applyNumberFormat="1" applyFont="1" applyFill="1" applyBorder="1" applyAlignment="1">
      <alignment horizontal="center"/>
    </xf>
    <xf numFmtId="49" fontId="10" fillId="8" borderId="10" xfId="0" applyNumberFormat="1" applyFont="1" applyFill="1" applyBorder="1" applyAlignment="1">
      <alignment horizontal="center"/>
    </xf>
    <xf numFmtId="1" fontId="10" fillId="8" borderId="10" xfId="0" applyNumberFormat="1" applyFont="1" applyFill="1" applyBorder="1" applyAlignment="1">
      <alignment horizontal="center"/>
    </xf>
    <xf numFmtId="166" fontId="10" fillId="8" borderId="10" xfId="0" applyNumberFormat="1" applyFont="1" applyFill="1" applyBorder="1" applyAlignment="1">
      <alignment horizontal="center"/>
    </xf>
    <xf numFmtId="4" fontId="9" fillId="8" borderId="10" xfId="0" applyNumberFormat="1" applyFont="1" applyFill="1" applyBorder="1" applyAlignment="1">
      <alignment horizontal="center"/>
    </xf>
    <xf numFmtId="167" fontId="9" fillId="8" borderId="10" xfId="0" applyNumberFormat="1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9525</xdr:rowOff>
    </xdr:from>
    <xdr:ext cx="619125" cy="4476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80E1C3C5-D59C-47FF-BBC4-ACBD3B03FA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" y="9525"/>
          <a:ext cx="619125" cy="4476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UADRO%20RESUMEN%20NUEVO%20COORDINACION%20JUAN%20CARLOS%20MORA.xlsx" TargetMode="External"/><Relationship Id="rId1" Type="http://schemas.openxmlformats.org/officeDocument/2006/relationships/externalLinkPath" Target="/Users/Asus/Downloads/CUADRO%20RESUMEN%20NUEVO%20COORDINACION%20JUAN%20CARLOS%20M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A CONTRATOS 2025"/>
      <sheetName val="MARA ORDENES DE COMPRA"/>
      <sheetName val="1.CUADRO RESUMEN DE SITIOS "/>
      <sheetName val="LPU"/>
      <sheetName val="2.CUADRO RESUMEN"/>
      <sheetName val="CUENTA CORRIENTE"/>
      <sheetName val="BATCH"/>
      <sheetName val="BANCOLOMBIA"/>
      <sheetName val="COTIZACIONES"/>
      <sheetName val="Copia de 1.CUADRO RESUMEN DE SI"/>
      <sheetName val="DESPLEGABLES"/>
    </sheetNames>
    <sheetDataSet>
      <sheetData sheetId="0"/>
      <sheetData sheetId="1"/>
      <sheetData sheetId="2">
        <row r="5">
          <cell r="C5" t="str">
            <v xml:space="preserve">JSUC San Gregorio </v>
          </cell>
          <cell r="D5" t="str">
            <v>JSUC_00008</v>
          </cell>
          <cell r="E5">
            <v>45899</v>
          </cell>
          <cell r="F5">
            <v>8.4811099999999993</v>
          </cell>
          <cell r="G5">
            <v>-74.709400000000002</v>
          </cell>
          <cell r="H5" t="str">
            <v>Sucre</v>
          </cell>
          <cell r="I5" t="str">
            <v>WOM</v>
          </cell>
          <cell r="J5" t="str">
            <v>COSTA</v>
          </cell>
          <cell r="K5" t="str">
            <v>Elkis Sandoval</v>
          </cell>
          <cell r="L5" t="str">
            <v>Terminado</v>
          </cell>
        </row>
        <row r="6">
          <cell r="C6" t="str">
            <v>JSUC Majagual</v>
          </cell>
          <cell r="D6" t="str">
            <v>JSUC_00022</v>
          </cell>
          <cell r="E6">
            <v>45899</v>
          </cell>
          <cell r="F6">
            <v>8.5423100000000005</v>
          </cell>
          <cell r="G6">
            <v>-74.627200000000002</v>
          </cell>
          <cell r="H6" t="str">
            <v>Sucre</v>
          </cell>
          <cell r="I6" t="str">
            <v>WOM</v>
          </cell>
          <cell r="J6" t="str">
            <v>COSTA</v>
          </cell>
          <cell r="K6" t="str">
            <v>Elkis Sandoval</v>
          </cell>
          <cell r="L6" t="str">
            <v>Terminado</v>
          </cell>
        </row>
        <row r="7">
          <cell r="C7" t="str">
            <v>JSUC La Union B</v>
          </cell>
          <cell r="D7" t="str">
            <v>JSUC_00490</v>
          </cell>
          <cell r="E7">
            <v>45876</v>
          </cell>
          <cell r="F7">
            <v>8.7529590000000006</v>
          </cell>
          <cell r="G7">
            <v>-75.271915000000007</v>
          </cell>
          <cell r="H7" t="str">
            <v>Sucre</v>
          </cell>
          <cell r="I7" t="str">
            <v>WOM</v>
          </cell>
          <cell r="J7" t="str">
            <v>COSTA</v>
          </cell>
          <cell r="K7" t="str">
            <v>Elkis Sandoval</v>
          </cell>
          <cell r="L7" t="str">
            <v>Terminado</v>
          </cell>
        </row>
        <row r="8">
          <cell r="C8" t="str">
            <v>JSUC Tierra Santa</v>
          </cell>
          <cell r="D8" t="str">
            <v>JSUC_00036</v>
          </cell>
          <cell r="E8">
            <v>45783</v>
          </cell>
          <cell r="F8">
            <v>8.4451000000000001</v>
          </cell>
          <cell r="G8">
            <v>-74.642240000000001</v>
          </cell>
          <cell r="H8" t="str">
            <v>Sucre</v>
          </cell>
          <cell r="I8" t="str">
            <v>WOM</v>
          </cell>
          <cell r="J8" t="str">
            <v>COSTA</v>
          </cell>
          <cell r="K8" t="str">
            <v>Elkis Sandoval</v>
          </cell>
          <cell r="L8" t="str">
            <v>Terminado</v>
          </cell>
        </row>
        <row r="9">
          <cell r="C9" t="str">
            <v>JCOR Villa Esperanza</v>
          </cell>
          <cell r="D9" t="str">
            <v>JCOR_00031</v>
          </cell>
          <cell r="E9">
            <v>45784</v>
          </cell>
          <cell r="F9">
            <v>8.5621299999999998</v>
          </cell>
          <cell r="G9">
            <v>-75.399050000000003</v>
          </cell>
          <cell r="H9" t="str">
            <v>Córdoba</v>
          </cell>
          <cell r="I9" t="str">
            <v>WOM</v>
          </cell>
          <cell r="J9" t="str">
            <v>COSTA</v>
          </cell>
          <cell r="K9" t="str">
            <v>Elkis Sandoval</v>
          </cell>
          <cell r="L9" t="str">
            <v>Terminado</v>
          </cell>
        </row>
        <row r="10">
          <cell r="C10" t="str">
            <v>CES Santa Rosa</v>
          </cell>
          <cell r="D10" t="str">
            <v>CES_05968</v>
          </cell>
          <cell r="E10">
            <v>45786</v>
          </cell>
          <cell r="F10">
            <v>9.0143299999999993</v>
          </cell>
          <cell r="G10">
            <v>-73.746899999999997</v>
          </cell>
          <cell r="H10" t="str">
            <v>Cesar</v>
          </cell>
          <cell r="I10" t="str">
            <v>WOM</v>
          </cell>
          <cell r="J10" t="str">
            <v>COSTA</v>
          </cell>
          <cell r="K10" t="str">
            <v>Elkis Sandoval</v>
          </cell>
          <cell r="L10" t="str">
            <v>Terminado</v>
          </cell>
        </row>
        <row r="11">
          <cell r="C11" t="str">
            <v>JSUC San Marcos</v>
          </cell>
          <cell r="D11" t="str">
            <v>JSUC_00070</v>
          </cell>
          <cell r="E11">
            <v>45787</v>
          </cell>
          <cell r="F11">
            <v>8.70627</v>
          </cell>
          <cell r="G11">
            <v>-75.221459999999993</v>
          </cell>
          <cell r="H11" t="str">
            <v>Sucre</v>
          </cell>
          <cell r="I11" t="str">
            <v>WOM</v>
          </cell>
          <cell r="J11" t="str">
            <v>COSTA</v>
          </cell>
          <cell r="K11" t="str">
            <v>Elkis Sandoval</v>
          </cell>
          <cell r="L11" t="str">
            <v>Terminado</v>
          </cell>
        </row>
        <row r="12">
          <cell r="C12" t="str">
            <v>JCOR Playa Rica</v>
          </cell>
          <cell r="D12" t="str">
            <v>JCOR_00444</v>
          </cell>
          <cell r="E12">
            <v>45910</v>
          </cell>
          <cell r="F12">
            <v>7.89445</v>
          </cell>
          <cell r="G12">
            <v>-75.840069999999997</v>
          </cell>
          <cell r="H12" t="str">
            <v>Córdoba</v>
          </cell>
          <cell r="I12" t="str">
            <v>WOM</v>
          </cell>
          <cell r="J12" t="str">
            <v>COSTA</v>
          </cell>
          <cell r="K12" t="str">
            <v>Alfredo de la Cruz</v>
          </cell>
          <cell r="L12" t="str">
            <v>Terminado</v>
          </cell>
        </row>
        <row r="13">
          <cell r="C13" t="str">
            <v>JCOR La Dorada</v>
          </cell>
          <cell r="D13" t="str">
            <v>JCOR 00118</v>
          </cell>
          <cell r="E13">
            <v>45912</v>
          </cell>
          <cell r="F13">
            <v>7.8415900000000001</v>
          </cell>
          <cell r="G13">
            <v>-75.523120000000006</v>
          </cell>
          <cell r="H13" t="str">
            <v>Córdoba</v>
          </cell>
          <cell r="I13" t="str">
            <v>WOM</v>
          </cell>
          <cell r="J13" t="str">
            <v>COSTA</v>
          </cell>
          <cell r="K13" t="str">
            <v>Alfredo de la Cruz</v>
          </cell>
          <cell r="L13" t="str">
            <v>Terminado</v>
          </cell>
        </row>
        <row r="14">
          <cell r="C14" t="str">
            <v>JSUC_El Sitio</v>
          </cell>
          <cell r="D14" t="str">
            <v>JSUC_00208</v>
          </cell>
          <cell r="E14">
            <v>45920</v>
          </cell>
          <cell r="F14">
            <v>9.0958000000000006</v>
          </cell>
          <cell r="G14">
            <v>-75.091560000000001</v>
          </cell>
          <cell r="H14" t="str">
            <v>Sucre</v>
          </cell>
          <cell r="I14" t="str">
            <v>WOM</v>
          </cell>
          <cell r="J14" t="str">
            <v>COSTA</v>
          </cell>
          <cell r="K14" t="str">
            <v>Alfredo de la Cruz</v>
          </cell>
          <cell r="L14" t="str">
            <v>Terminado</v>
          </cell>
        </row>
        <row r="15">
          <cell r="C15" t="str">
            <v>JCOR Juan Jose</v>
          </cell>
          <cell r="D15" t="str">
            <v>JCOR_00145</v>
          </cell>
          <cell r="E15">
            <v>45928</v>
          </cell>
          <cell r="F15">
            <v>7.7544665000000004</v>
          </cell>
          <cell r="G15">
            <v>-75.839269999999999</v>
          </cell>
          <cell r="H15" t="str">
            <v>Sucre</v>
          </cell>
          <cell r="I15" t="str">
            <v>WOM</v>
          </cell>
          <cell r="J15" t="str">
            <v>COSTA</v>
          </cell>
          <cell r="K15" t="str">
            <v>Alfredo de la Cruz</v>
          </cell>
          <cell r="L15" t="str">
            <v>Terminado</v>
          </cell>
        </row>
        <row r="16">
          <cell r="C16" t="str">
            <v>JBOY La Playa</v>
          </cell>
          <cell r="D16" t="str">
            <v>BOY_00307-</v>
          </cell>
          <cell r="E16">
            <v>20</v>
          </cell>
          <cell r="F16">
            <v>555488</v>
          </cell>
          <cell r="G16">
            <v>-73.87621</v>
          </cell>
          <cell r="H16" t="str">
            <v>Boyacá</v>
          </cell>
          <cell r="I16" t="str">
            <v>WOM</v>
          </cell>
          <cell r="J16" t="str">
            <v>CENTRO SUR/ NORTE</v>
          </cell>
          <cell r="K16" t="str">
            <v>Carlos Eduardo Montoya</v>
          </cell>
          <cell r="L16" t="str">
            <v>Terminado</v>
          </cell>
        </row>
        <row r="17">
          <cell r="C17" t="str">
            <v>JSAN Otoval B</v>
          </cell>
          <cell r="D17" t="str">
            <v>JSAN_00425</v>
          </cell>
          <cell r="E17">
            <v>45901</v>
          </cell>
          <cell r="F17">
            <v>6.0928000000000004</v>
          </cell>
          <cell r="G17">
            <v>-73.887709999999998</v>
          </cell>
          <cell r="H17" t="str">
            <v>Santander</v>
          </cell>
          <cell r="I17" t="str">
            <v>WOM</v>
          </cell>
          <cell r="J17" t="str">
            <v>COSTA</v>
          </cell>
          <cell r="K17" t="str">
            <v>Carlos Eduardo Montoya</v>
          </cell>
          <cell r="L17" t="str">
            <v>Terminado</v>
          </cell>
        </row>
        <row r="18">
          <cell r="C18" t="str">
            <v>NOR Pamplona Seminario Menor</v>
          </cell>
          <cell r="D18" t="str">
            <v>NOR_02667</v>
          </cell>
          <cell r="E18">
            <v>45927</v>
          </cell>
          <cell r="F18">
            <v>7.3675699999999997</v>
          </cell>
          <cell r="G18">
            <v>-72.647900000000007</v>
          </cell>
          <cell r="H18" t="str">
            <v>Norte de Santander</v>
          </cell>
          <cell r="I18" t="str">
            <v>WOM</v>
          </cell>
          <cell r="J18" t="str">
            <v>CENTRO SUR/ NORTE</v>
          </cell>
          <cell r="K18" t="str">
            <v>Diego Fernando Cepeda</v>
          </cell>
          <cell r="L18" t="str">
            <v>Terminado</v>
          </cell>
        </row>
        <row r="19">
          <cell r="C19" t="str">
            <v>JPUT El Libano B</v>
          </cell>
          <cell r="D19" t="str">
            <v>JPUT_00432</v>
          </cell>
          <cell r="E19">
            <v>45904</v>
          </cell>
          <cell r="F19">
            <v>0.63834999999999997</v>
          </cell>
          <cell r="G19">
            <v>-77.040930000000003</v>
          </cell>
          <cell r="H19" t="str">
            <v>Putumayo</v>
          </cell>
          <cell r="I19" t="str">
            <v>WOM</v>
          </cell>
          <cell r="J19" t="str">
            <v>CENTRO SUR/ NORTE</v>
          </cell>
          <cell r="K19" t="str">
            <v>Ivan Basto</v>
          </cell>
          <cell r="L19" t="str">
            <v>Terminado</v>
          </cell>
        </row>
        <row r="20">
          <cell r="C20" t="str">
            <v>JPUT Paraiso</v>
          </cell>
          <cell r="D20" t="str">
            <v>JCOR_00250</v>
          </cell>
          <cell r="E20">
            <v>46002</v>
          </cell>
          <cell r="F20">
            <v>8.9624400000000009</v>
          </cell>
          <cell r="G20">
            <v>-75.293490000000006</v>
          </cell>
          <cell r="H20" t="str">
            <v>Cordoba</v>
          </cell>
          <cell r="I20" t="str">
            <v>WOM-HUAWEI</v>
          </cell>
          <cell r="J20" t="str">
            <v>COSTA</v>
          </cell>
          <cell r="K20" t="str">
            <v>Cesar Osorio</v>
          </cell>
          <cell r="L20" t="str">
            <v>Terminado</v>
          </cell>
        </row>
        <row r="21">
          <cell r="C21" t="str">
            <v>JCUN San Antonio</v>
          </cell>
          <cell r="D21" t="str">
            <v>JCUN_00197</v>
          </cell>
          <cell r="E21">
            <v>45916</v>
          </cell>
          <cell r="F21">
            <v>5.1892500000000004</v>
          </cell>
          <cell r="G21">
            <v>-74.015029999999996</v>
          </cell>
          <cell r="H21" t="str">
            <v>Cundinamarca</v>
          </cell>
          <cell r="I21" t="str">
            <v>WOM</v>
          </cell>
          <cell r="J21" t="str">
            <v>CENTRO SUR/ NORTE</v>
          </cell>
          <cell r="K21" t="str">
            <v>Diego Fernando Cepeda</v>
          </cell>
          <cell r="L21" t="str">
            <v>Terminado</v>
          </cell>
        </row>
        <row r="22">
          <cell r="C22" t="str">
            <v>JCUN Olivos B</v>
          </cell>
          <cell r="D22" t="str">
            <v>JCUN_00111</v>
          </cell>
          <cell r="E22">
            <v>45917</v>
          </cell>
          <cell r="F22">
            <v>4.7912699999999999</v>
          </cell>
          <cell r="G22">
            <v>-74.575530000000001</v>
          </cell>
          <cell r="H22" t="str">
            <v>Cundinamarca</v>
          </cell>
          <cell r="I22" t="str">
            <v>WOM</v>
          </cell>
          <cell r="J22" t="str">
            <v>CENTRO SUR/ NORTE</v>
          </cell>
          <cell r="K22" t="str">
            <v>Diego Fernando Cepeda</v>
          </cell>
          <cell r="L22" t="str">
            <v>Terminado</v>
          </cell>
        </row>
        <row r="23">
          <cell r="C23" t="str">
            <v>JCUN Olivos</v>
          </cell>
          <cell r="D23" t="str">
            <v>JCUN_00267</v>
          </cell>
          <cell r="E23">
            <v>45918</v>
          </cell>
          <cell r="F23">
            <v>4.7738060000000004</v>
          </cell>
          <cell r="G23">
            <v>-74.575666999999996</v>
          </cell>
          <cell r="H23" t="str">
            <v>Cundinamarca</v>
          </cell>
          <cell r="I23" t="str">
            <v>WOM</v>
          </cell>
          <cell r="J23" t="str">
            <v>CENTRO SUR/ NORTE</v>
          </cell>
          <cell r="K23" t="str">
            <v>Diego Fernando Cepeda</v>
          </cell>
          <cell r="L23" t="str">
            <v>Terminado</v>
          </cell>
        </row>
        <row r="24">
          <cell r="C24" t="str">
            <v>CUN_VILLETA_II</v>
          </cell>
          <cell r="E24">
            <v>45928</v>
          </cell>
          <cell r="H24" t="str">
            <v>Cundinamarca</v>
          </cell>
          <cell r="I24" t="str">
            <v>UNIRED</v>
          </cell>
          <cell r="J24" t="str">
            <v>CENTRO SUR/ NORTE</v>
          </cell>
          <cell r="K24" t="str">
            <v>Jason Julian Melo</v>
          </cell>
          <cell r="L24" t="str">
            <v>Terminado</v>
          </cell>
        </row>
        <row r="25">
          <cell r="C25" t="str">
            <v>NAR_IMUES</v>
          </cell>
          <cell r="D25" t="str">
            <v>NAR0018</v>
          </cell>
          <cell r="H25" t="str">
            <v>Nariño</v>
          </cell>
          <cell r="I25" t="str">
            <v>UNIRED</v>
          </cell>
          <cell r="J25" t="str">
            <v>CENTRO SUR/ NORTE</v>
          </cell>
          <cell r="L25" t="str">
            <v>Terminado</v>
          </cell>
        </row>
        <row r="26">
          <cell r="C26" t="str">
            <v>GACHANTIVA</v>
          </cell>
          <cell r="D26" t="str">
            <v>BOY-250120</v>
          </cell>
          <cell r="H26" t="str">
            <v>Boyacá</v>
          </cell>
          <cell r="I26" t="str">
            <v>UNIRED</v>
          </cell>
          <cell r="J26" t="str">
            <v>CENTRO SUR/ NORTE</v>
          </cell>
          <cell r="L26" t="str">
            <v>Terminado</v>
          </cell>
        </row>
        <row r="27">
          <cell r="C27" t="str">
            <v>PALMARITO</v>
          </cell>
          <cell r="D27" t="str">
            <v>VIC0005</v>
          </cell>
          <cell r="E27">
            <v>45904</v>
          </cell>
          <cell r="H27" t="str">
            <v>Vichada</v>
          </cell>
          <cell r="I27" t="str">
            <v>UNIRED</v>
          </cell>
          <cell r="J27" t="str">
            <v>CENTRO SUR/ NORTE</v>
          </cell>
          <cell r="K27" t="str">
            <v>Jason Julian Melo</v>
          </cell>
          <cell r="L27" t="str">
            <v>Terminado</v>
          </cell>
        </row>
        <row r="28">
          <cell r="C28" t="str">
            <v>PORCE</v>
          </cell>
          <cell r="D28" t="str">
            <v>S6023</v>
          </cell>
          <cell r="E28">
            <v>45942</v>
          </cell>
          <cell r="H28" t="str">
            <v>Antioquia</v>
          </cell>
          <cell r="I28" t="str">
            <v>UNIRED</v>
          </cell>
          <cell r="J28" t="str">
            <v>CENTRO SUR/ NORTE</v>
          </cell>
          <cell r="K28" t="str">
            <v>Carlos Eduardo Montoya</v>
          </cell>
          <cell r="L28" t="str">
            <v>Terminado</v>
          </cell>
        </row>
        <row r="29">
          <cell r="C29" t="str">
            <v>VAC BENDICIONES</v>
          </cell>
          <cell r="D29" t="str">
            <v>VAC0090</v>
          </cell>
          <cell r="L29" t="str">
            <v>Terminado</v>
          </cell>
        </row>
        <row r="30">
          <cell r="C30" t="str">
            <v>POP Popayan Colombia I</v>
          </cell>
          <cell r="D30" t="str">
            <v>POP_05831</v>
          </cell>
          <cell r="E30">
            <v>45940</v>
          </cell>
          <cell r="F30">
            <v>2.4376111100000002</v>
          </cell>
          <cell r="G30">
            <v>-76.615111110000001</v>
          </cell>
          <cell r="H30" t="str">
            <v>Cauca</v>
          </cell>
          <cell r="I30" t="str">
            <v>WOM</v>
          </cell>
          <cell r="J30" t="str">
            <v>SUROCCIDENTE</v>
          </cell>
          <cell r="K30" t="str">
            <v>Wilson Alejandro Solarte</v>
          </cell>
          <cell r="L30" t="str">
            <v>Terminado</v>
          </cell>
        </row>
        <row r="31">
          <cell r="C31" t="str">
            <v>IMUES</v>
          </cell>
          <cell r="D31" t="str">
            <v>NAR0018</v>
          </cell>
          <cell r="E31">
            <v>45939</v>
          </cell>
          <cell r="F31">
            <v>1.0445</v>
          </cell>
          <cell r="G31">
            <v>-77.47551</v>
          </cell>
          <cell r="H31" t="str">
            <v>Nariño</v>
          </cell>
          <cell r="I31" t="str">
            <v>WOM</v>
          </cell>
          <cell r="J31" t="str">
            <v>SUROCCIDENTE</v>
          </cell>
          <cell r="K31" t="str">
            <v>Wilson Alejandro Solarte</v>
          </cell>
          <cell r="L31" t="str">
            <v>Terminado</v>
          </cell>
        </row>
        <row r="32">
          <cell r="C32" t="str">
            <v>CLI Ciudad Los Alamos</v>
          </cell>
          <cell r="D32" t="str">
            <v>CLI_01014</v>
          </cell>
          <cell r="E32">
            <v>45929</v>
          </cell>
          <cell r="F32">
            <v>3.4849999999999999</v>
          </cell>
          <cell r="G32">
            <v>-76.512349999999998</v>
          </cell>
          <cell r="H32" t="str">
            <v>Valle del Cauca</v>
          </cell>
          <cell r="I32" t="str">
            <v>WOM</v>
          </cell>
          <cell r="J32" t="str">
            <v>SUROCCIDENTE</v>
          </cell>
          <cell r="K32" t="str">
            <v>Wilson Alejandro Solarte</v>
          </cell>
          <cell r="L32" t="str">
            <v>Terminado</v>
          </cell>
        </row>
        <row r="33">
          <cell r="C33" t="str">
            <v>CLI MIO Chapinero</v>
          </cell>
          <cell r="D33" t="str">
            <v>CLI_02864</v>
          </cell>
          <cell r="E33">
            <v>45936</v>
          </cell>
          <cell r="F33">
            <v>3.4261200000000001</v>
          </cell>
          <cell r="G33">
            <v>-76.501260000000002</v>
          </cell>
          <cell r="H33" t="str">
            <v>Valle del Cauca</v>
          </cell>
          <cell r="I33" t="str">
            <v>WOM</v>
          </cell>
          <cell r="J33" t="str">
            <v>SUROCCIDENTE</v>
          </cell>
          <cell r="K33" t="str">
            <v>Wilson Alejandro Solarte</v>
          </cell>
          <cell r="L33" t="str">
            <v>Terminado</v>
          </cell>
        </row>
        <row r="34">
          <cell r="C34" t="str">
            <v>JSUC LA CEJA DEL MANGO</v>
          </cell>
          <cell r="D34" t="str">
            <v>JSUC_00496</v>
          </cell>
          <cell r="E34">
            <v>40450</v>
          </cell>
          <cell r="F34">
            <v>9.0757619999999992</v>
          </cell>
          <cell r="G34">
            <v>-75.250719000000004</v>
          </cell>
          <cell r="H34" t="str">
            <v>Sucre</v>
          </cell>
          <cell r="I34" t="str">
            <v>WOM</v>
          </cell>
          <cell r="J34" t="str">
            <v>COSTA</v>
          </cell>
          <cell r="K34" t="str">
            <v>Wilson Alejandro Solarte</v>
          </cell>
          <cell r="L34" t="str">
            <v>Terminado</v>
          </cell>
        </row>
        <row r="35">
          <cell r="C35" t="str">
            <v>JSUC SUCRE</v>
          </cell>
          <cell r="D35" t="str">
            <v>SUC_06467</v>
          </cell>
          <cell r="E35">
            <v>45944</v>
          </cell>
          <cell r="F35">
            <v>8.8126700000000007</v>
          </cell>
          <cell r="G35">
            <v>-74.721800000000002</v>
          </cell>
          <cell r="H35" t="str">
            <v>Sucre</v>
          </cell>
          <cell r="I35" t="str">
            <v>WOM</v>
          </cell>
          <cell r="J35" t="str">
            <v>COSTA</v>
          </cell>
          <cell r="K35" t="str">
            <v>Alfredo de la Cruz</v>
          </cell>
          <cell r="L35" t="str">
            <v>Terminado</v>
          </cell>
        </row>
        <row r="36">
          <cell r="C36" t="str">
            <v>BTA Tibabita</v>
          </cell>
          <cell r="D36" t="str">
            <v>BTA_01198</v>
          </cell>
          <cell r="E36">
            <v>45927</v>
          </cell>
          <cell r="F36">
            <v>4.7631699999999997</v>
          </cell>
          <cell r="G36">
            <v>-74.029889999999995</v>
          </cell>
          <cell r="H36" t="str">
            <v>Cundinamarca</v>
          </cell>
          <cell r="I36" t="str">
            <v>WOM</v>
          </cell>
          <cell r="J36" t="str">
            <v>CENTRO SUR/ NORTE</v>
          </cell>
          <cell r="K36" t="str">
            <v>Jason Julian Melo</v>
          </cell>
          <cell r="L36" t="str">
            <v>Terminado</v>
          </cell>
        </row>
        <row r="37">
          <cell r="C37" t="str">
            <v>BTA Torca</v>
          </cell>
          <cell r="D37" t="str">
            <v>BTA_01889</v>
          </cell>
          <cell r="E37">
            <v>45927</v>
          </cell>
          <cell r="F37">
            <v>4.7868899999999996</v>
          </cell>
          <cell r="G37">
            <v>-74.027799999999999</v>
          </cell>
          <cell r="H37" t="str">
            <v>Cundinamarca</v>
          </cell>
          <cell r="I37" t="str">
            <v>WOM</v>
          </cell>
          <cell r="J37" t="str">
            <v>CENTRO SUR/ NORTE</v>
          </cell>
          <cell r="K37" t="str">
            <v>Jason Julian Melo</v>
          </cell>
          <cell r="L37" t="str">
            <v>Terminado</v>
          </cell>
        </row>
        <row r="38">
          <cell r="C38" t="str">
            <v>BTA Cundinamarca</v>
          </cell>
          <cell r="D38" t="str">
            <v>BTA_00123</v>
          </cell>
          <cell r="E38">
            <v>45926</v>
          </cell>
          <cell r="F38">
            <v>4.6216699999999999</v>
          </cell>
          <cell r="G38">
            <v>-74.089299999999994</v>
          </cell>
          <cell r="H38" t="str">
            <v>Cundinamarca</v>
          </cell>
          <cell r="I38" t="str">
            <v>WOM</v>
          </cell>
          <cell r="J38" t="str">
            <v>CENTRO SUR/ NORTE</v>
          </cell>
          <cell r="K38" t="str">
            <v>Jason Julian Melo</v>
          </cell>
          <cell r="L38" t="str">
            <v>Terminado</v>
          </cell>
        </row>
        <row r="39">
          <cell r="C39" t="str">
            <v>SAN DIEGO CALDAS</v>
          </cell>
          <cell r="D39" t="str">
            <v>S6895</v>
          </cell>
          <cell r="E39">
            <v>45950</v>
          </cell>
          <cell r="H39" t="str">
            <v>Cundinamarca</v>
          </cell>
          <cell r="I39" t="str">
            <v>UNIRED</v>
          </cell>
          <cell r="J39" t="str">
            <v>COSTA</v>
          </cell>
          <cell r="K39" t="str">
            <v>Carlos Eduardo Montoya</v>
          </cell>
          <cell r="L39" t="str">
            <v>Terminado</v>
          </cell>
        </row>
        <row r="40">
          <cell r="C40" t="str">
            <v>JCOR Las Camelias</v>
          </cell>
          <cell r="D40" t="str">
            <v>JCOR_00246</v>
          </cell>
          <cell r="E40">
            <v>45950</v>
          </cell>
          <cell r="F40">
            <v>8.2468730000000008</v>
          </cell>
          <cell r="G40">
            <v>-75.362761000000006</v>
          </cell>
          <cell r="H40" t="str">
            <v>Córdoba</v>
          </cell>
          <cell r="I40" t="str">
            <v>WOM</v>
          </cell>
          <cell r="J40" t="str">
            <v>COSTA</v>
          </cell>
          <cell r="K40" t="str">
            <v>Alfredo de la Cruz</v>
          </cell>
          <cell r="L40" t="str">
            <v>Terminado</v>
          </cell>
        </row>
        <row r="41">
          <cell r="C41" t="str">
            <v>JSUC LAS CRUCES</v>
          </cell>
          <cell r="D41" t="str">
            <v>JSUC_00069</v>
          </cell>
          <cell r="E41">
            <v>45953</v>
          </cell>
          <cell r="F41">
            <v>8.7741530000000001</v>
          </cell>
          <cell r="G41">
            <v>-75.266397999999995</v>
          </cell>
          <cell r="H41" t="str">
            <v>Sucre</v>
          </cell>
          <cell r="I41" t="str">
            <v>WOM</v>
          </cell>
          <cell r="J41" t="str">
            <v>COSTA</v>
          </cell>
          <cell r="K41" t="str">
            <v>Alfredo de la Cruz</v>
          </cell>
          <cell r="L41" t="str">
            <v>Terminado</v>
          </cell>
        </row>
        <row r="42">
          <cell r="C42" t="str">
            <v>JSUC Esperanza</v>
          </cell>
          <cell r="D42" t="str">
            <v>JSUC_00148</v>
          </cell>
          <cell r="E42">
            <v>45973</v>
          </cell>
          <cell r="F42">
            <v>8.8015699999999999</v>
          </cell>
          <cell r="G42">
            <v>-75.356999999999999</v>
          </cell>
          <cell r="H42" t="str">
            <v>Sucre</v>
          </cell>
          <cell r="I42" t="str">
            <v>WOM</v>
          </cell>
          <cell r="J42" t="str">
            <v>COSTA</v>
          </cell>
          <cell r="K42" t="str">
            <v>Alfredo de la Cruz</v>
          </cell>
          <cell r="L42" t="str">
            <v>Terminado</v>
          </cell>
        </row>
        <row r="43">
          <cell r="C43" t="str">
            <v>JSUC Zapatico</v>
          </cell>
          <cell r="D43" t="str">
            <v>JSUC_00275</v>
          </cell>
          <cell r="E43">
            <v>45974</v>
          </cell>
          <cell r="F43">
            <v>8.6031449999999996</v>
          </cell>
          <cell r="G43">
            <v>-74.700749999999999</v>
          </cell>
          <cell r="H43" t="str">
            <v>Sucre</v>
          </cell>
          <cell r="I43" t="str">
            <v>WOM</v>
          </cell>
          <cell r="J43" t="str">
            <v>COSTA</v>
          </cell>
          <cell r="K43" t="str">
            <v>Alfredo de la Cruz</v>
          </cell>
          <cell r="L43" t="str">
            <v>Terminado</v>
          </cell>
        </row>
        <row r="44">
          <cell r="C44" t="str">
            <v>VDP La Granja</v>
          </cell>
          <cell r="D44" t="str">
            <v>VDP_01991</v>
          </cell>
          <cell r="E44">
            <v>45980</v>
          </cell>
          <cell r="F44">
            <v>10.470064000000001</v>
          </cell>
          <cell r="G44">
            <v>-73.249386999999999</v>
          </cell>
          <cell r="H44" t="str">
            <v>Cesar</v>
          </cell>
          <cell r="I44" t="str">
            <v>WOM</v>
          </cell>
          <cell r="J44" t="str">
            <v>COSTA</v>
          </cell>
          <cell r="K44" t="str">
            <v>Alfredo de la Cruz</v>
          </cell>
          <cell r="L44" t="str">
            <v>Terminado</v>
          </cell>
        </row>
        <row r="45">
          <cell r="C45" t="str">
            <v>JCOR Libertador Morrocoy</v>
          </cell>
          <cell r="D45" t="str">
            <v>JCOR_00013</v>
          </cell>
          <cell r="E45">
            <v>45983</v>
          </cell>
          <cell r="F45">
            <v>7.7325299999999997</v>
          </cell>
          <cell r="G45">
            <v>-75.787589999999994</v>
          </cell>
          <cell r="H45" t="str">
            <v>Córdoba</v>
          </cell>
          <cell r="I45" t="str">
            <v>WOM</v>
          </cell>
          <cell r="J45" t="str">
            <v>COSTA</v>
          </cell>
          <cell r="K45" t="str">
            <v>Alfredo de la Cruz</v>
          </cell>
          <cell r="L45" t="str">
            <v>Terminado</v>
          </cell>
        </row>
        <row r="46">
          <cell r="C46" t="str">
            <v>JCOR El Floral</v>
          </cell>
          <cell r="D46" t="str">
            <v>JCOR_00279</v>
          </cell>
          <cell r="E46">
            <v>45985</v>
          </cell>
          <cell r="F46">
            <v>8.7959490000000002</v>
          </cell>
          <cell r="G46">
            <v>-76.332999999999998</v>
          </cell>
          <cell r="H46" t="str">
            <v>Córdoba</v>
          </cell>
          <cell r="I46" t="str">
            <v>WOM</v>
          </cell>
          <cell r="J46" t="str">
            <v>COSTA</v>
          </cell>
          <cell r="K46" t="str">
            <v>Alfredo de la Cruz</v>
          </cell>
          <cell r="L46" t="str">
            <v>Terminado</v>
          </cell>
        </row>
        <row r="47">
          <cell r="C47" t="str">
            <v>JGUA Cuatro Vias</v>
          </cell>
          <cell r="D47" t="str">
            <v>JGUA_00010</v>
          </cell>
          <cell r="E47">
            <v>45966</v>
          </cell>
          <cell r="F47">
            <v>11.358890000000001</v>
          </cell>
          <cell r="G47">
            <v>-72.476789999999994</v>
          </cell>
          <cell r="H47" t="str">
            <v>La Guajira</v>
          </cell>
          <cell r="I47" t="str">
            <v>WOM</v>
          </cell>
          <cell r="J47" t="str">
            <v>COSTA</v>
          </cell>
          <cell r="K47" t="str">
            <v>Alfredo de la Cruz</v>
          </cell>
          <cell r="L47" t="str">
            <v>Terminado</v>
          </cell>
        </row>
        <row r="48">
          <cell r="C48" t="str">
            <v>SANTA ISABEL</v>
          </cell>
          <cell r="E48">
            <v>45936</v>
          </cell>
          <cell r="L48" t="str">
            <v>Terminado</v>
          </cell>
        </row>
        <row r="49">
          <cell r="C49" t="str">
            <v>SANTA ISABEL</v>
          </cell>
          <cell r="E49">
            <v>45936</v>
          </cell>
          <cell r="L49" t="str">
            <v>Terminado</v>
          </cell>
        </row>
        <row r="50">
          <cell r="C50" t="str">
            <v>SELVA</v>
          </cell>
          <cell r="E50">
            <v>45937</v>
          </cell>
          <cell r="L50" t="str">
            <v>Terminado</v>
          </cell>
        </row>
        <row r="51">
          <cell r="C51" t="str">
            <v>COR Pueblo Nuevo B</v>
          </cell>
          <cell r="D51" t="str">
            <v>COR_08877</v>
          </cell>
          <cell r="E51">
            <v>45938</v>
          </cell>
          <cell r="F51">
            <v>8.5082699999999996</v>
          </cell>
          <cell r="G51">
            <v>-75.505279999999999</v>
          </cell>
          <cell r="H51" t="str">
            <v>Córdoba</v>
          </cell>
          <cell r="I51" t="str">
            <v>WOM</v>
          </cell>
          <cell r="J51" t="str">
            <v>COSTA</v>
          </cell>
          <cell r="K51" t="str">
            <v>Alfredo de la Cruz</v>
          </cell>
          <cell r="L51" t="str">
            <v>Terminado</v>
          </cell>
        </row>
        <row r="52">
          <cell r="C52" t="str">
            <v>BUC Cabecera del Llano</v>
          </cell>
          <cell r="D52" t="str">
            <v>BUC_00980</v>
          </cell>
          <cell r="E52">
            <v>45957</v>
          </cell>
          <cell r="F52">
            <v>7.1172469999999999</v>
          </cell>
          <cell r="G52">
            <v>-73.110996999999998</v>
          </cell>
          <cell r="H52" t="str">
            <v>Santander</v>
          </cell>
          <cell r="I52" t="str">
            <v>WOM</v>
          </cell>
          <cell r="J52" t="str">
            <v>CENTRO SUR/ NORTE</v>
          </cell>
          <cell r="K52" t="str">
            <v>Diego Fernando Cepeda</v>
          </cell>
          <cell r="L52" t="str">
            <v>Terminado</v>
          </cell>
        </row>
        <row r="53">
          <cell r="C53" t="str">
            <v>JNOR Sector Occidental B</v>
          </cell>
          <cell r="D53" t="str">
            <v>JNOR_00528</v>
          </cell>
          <cell r="E53">
            <v>45972</v>
          </cell>
          <cell r="F53">
            <v>8.0470570000000006</v>
          </cell>
          <cell r="G53">
            <v>-72.499279999999999</v>
          </cell>
          <cell r="H53" t="str">
            <v>Norte de Santander</v>
          </cell>
          <cell r="I53" t="str">
            <v>WOM</v>
          </cell>
          <cell r="J53" t="str">
            <v>CENTRO SUR/ NORTE</v>
          </cell>
          <cell r="K53" t="str">
            <v>Maria Camila Torres</v>
          </cell>
          <cell r="L53" t="str">
            <v>Terminado</v>
          </cell>
        </row>
        <row r="54">
          <cell r="C54" t="str">
            <v>CMAN Villamaria Altos del Portal</v>
          </cell>
          <cell r="D54" t="str">
            <v>CMAN_02492</v>
          </cell>
          <cell r="E54">
            <v>45974</v>
          </cell>
          <cell r="F54">
            <v>5.0417899999999998</v>
          </cell>
          <cell r="G54">
            <v>-75.516540000000006</v>
          </cell>
          <cell r="H54" t="str">
            <v>Caldas</v>
          </cell>
          <cell r="I54" t="str">
            <v>WOM</v>
          </cell>
          <cell r="J54" t="str">
            <v>CENTRO SUR/ NORTE</v>
          </cell>
          <cell r="K54" t="str">
            <v>Alejandro Sanchez</v>
          </cell>
          <cell r="L54" t="str">
            <v>Terminado</v>
          </cell>
        </row>
        <row r="55">
          <cell r="C55" t="str">
            <v>BTA El Paraiso B</v>
          </cell>
          <cell r="D55" t="str">
            <v>BTA_07173</v>
          </cell>
          <cell r="E55">
            <v>45989</v>
          </cell>
          <cell r="F55">
            <v>4.6438730000000001</v>
          </cell>
          <cell r="G55">
            <v>-74.17192</v>
          </cell>
          <cell r="H55" t="str">
            <v>Cundinamarca</v>
          </cell>
          <cell r="I55" t="str">
            <v>WOM</v>
          </cell>
          <cell r="J55" t="str">
            <v>CENTRO SUR/ NORTE</v>
          </cell>
          <cell r="K55" t="str">
            <v>Maria Camila Torres</v>
          </cell>
          <cell r="L55" t="str">
            <v>Terminado</v>
          </cell>
        </row>
        <row r="56">
          <cell r="C56" t="str">
            <v>CUN Silvania Noruega Alta</v>
          </cell>
          <cell r="D56" t="str">
            <v>CUN_08048</v>
          </cell>
          <cell r="E56">
            <v>45989</v>
          </cell>
          <cell r="F56">
            <v>4.4609024000000002</v>
          </cell>
          <cell r="G56">
            <v>-74.357479999999995</v>
          </cell>
          <cell r="H56" t="str">
            <v>Cundinamarca</v>
          </cell>
          <cell r="I56" t="str">
            <v>WOM</v>
          </cell>
          <cell r="J56" t="str">
            <v>CENTRO SUR/ NORTE</v>
          </cell>
          <cell r="K56" t="str">
            <v>Maria Camila Torres</v>
          </cell>
          <cell r="L56" t="str">
            <v>Terminado</v>
          </cell>
        </row>
        <row r="57">
          <cell r="C57" t="str">
            <v>JANT Milagrosa Baja</v>
          </cell>
          <cell r="D57" t="str">
            <v>JANT_00175</v>
          </cell>
          <cell r="E57">
            <v>45998</v>
          </cell>
          <cell r="F57">
            <v>6.5103999999999997</v>
          </cell>
          <cell r="G57">
            <v>-75.977410000000006</v>
          </cell>
          <cell r="H57" t="str">
            <v>Antioquia</v>
          </cell>
          <cell r="I57" t="str">
            <v>WOM-HUAWEI</v>
          </cell>
          <cell r="J57" t="str">
            <v>NOROCCIDENTE</v>
          </cell>
          <cell r="K57" t="str">
            <v>Alejandro Sanchez</v>
          </cell>
          <cell r="L57" t="str">
            <v>Terminado</v>
          </cell>
        </row>
        <row r="58">
          <cell r="C58" t="str">
            <v>JANT San Nicolas</v>
          </cell>
          <cell r="D58" t="str">
            <v>JANT_00227</v>
          </cell>
          <cell r="E58">
            <v>45999</v>
          </cell>
          <cell r="F58">
            <v>8.7185000000000006</v>
          </cell>
          <cell r="G58">
            <v>-76.595399999999998</v>
          </cell>
          <cell r="H58" t="str">
            <v>Antioquia</v>
          </cell>
          <cell r="I58" t="str">
            <v>WOM-HUAWEI</v>
          </cell>
          <cell r="J58" t="str">
            <v>NOROCCIDENTE</v>
          </cell>
          <cell r="K58" t="str">
            <v>Alejandro Sanchez</v>
          </cell>
          <cell r="L58" t="str">
            <v>Terminado</v>
          </cell>
        </row>
        <row r="59">
          <cell r="C59" t="str">
            <v>JANT Pueblito</v>
          </cell>
          <cell r="D59" t="str">
            <v>JANT_00278</v>
          </cell>
          <cell r="E59">
            <v>46000</v>
          </cell>
          <cell r="F59">
            <v>8.7429699999999997</v>
          </cell>
          <cell r="G59">
            <v>-76.581199999999995</v>
          </cell>
          <cell r="H59" t="str">
            <v>Antioquia</v>
          </cell>
          <cell r="I59" t="str">
            <v>WOM-HUAWEI</v>
          </cell>
          <cell r="J59" t="str">
            <v>NOROCCIDENTE</v>
          </cell>
          <cell r="K59" t="str">
            <v>Alejandro Sanchez</v>
          </cell>
          <cell r="L59" t="str">
            <v>Terminado</v>
          </cell>
        </row>
        <row r="60">
          <cell r="C60" t="str">
            <v>JCOR El Deseo</v>
          </cell>
          <cell r="D60" t="str">
            <v>JCOR_00247</v>
          </cell>
          <cell r="E60">
            <v>46003</v>
          </cell>
          <cell r="F60">
            <v>9.0534199999999991</v>
          </cell>
          <cell r="G60">
            <v>-75.245099999999994</v>
          </cell>
          <cell r="H60" t="str">
            <v>Córdoba</v>
          </cell>
          <cell r="I60" t="str">
            <v>WOM-HUAWEI</v>
          </cell>
          <cell r="J60" t="str">
            <v>COSTA</v>
          </cell>
          <cell r="K60" t="str">
            <v>Cesar Osorio</v>
          </cell>
          <cell r="L60" t="str">
            <v>Terminado</v>
          </cell>
        </row>
        <row r="61">
          <cell r="C61" t="str">
            <v>JCOR El Guaimaro</v>
          </cell>
          <cell r="D61" t="str">
            <v>JCOR_00242</v>
          </cell>
          <cell r="E61">
            <v>46001</v>
          </cell>
          <cell r="F61">
            <v>8.8342200000000002</v>
          </cell>
          <cell r="G61">
            <v>-75.575879999999998</v>
          </cell>
          <cell r="H61" t="str">
            <v>Córdoba</v>
          </cell>
          <cell r="I61" t="str">
            <v>WOM-HUAWEI</v>
          </cell>
          <cell r="J61" t="str">
            <v>COSTA</v>
          </cell>
          <cell r="K61" t="str">
            <v>Cesar Osorio</v>
          </cell>
          <cell r="L61" t="str">
            <v>Terminado</v>
          </cell>
        </row>
        <row r="62">
          <cell r="C62" t="str">
            <v>JCOR El Guayabo</v>
          </cell>
          <cell r="D62" t="str">
            <v>JCOR_00045</v>
          </cell>
          <cell r="E62">
            <v>46007</v>
          </cell>
          <cell r="F62">
            <v>8.2957672000000002</v>
          </cell>
          <cell r="G62">
            <v>-75.661659999999998</v>
          </cell>
          <cell r="H62" t="str">
            <v>Córdoba</v>
          </cell>
          <cell r="I62" t="str">
            <v>WOM-HUAWEI</v>
          </cell>
          <cell r="J62" t="str">
            <v>COSTA</v>
          </cell>
          <cell r="K62" t="str">
            <v>Cesar Osorio</v>
          </cell>
          <cell r="L62" t="str">
            <v>Terminado</v>
          </cell>
        </row>
        <row r="63">
          <cell r="C63" t="str">
            <v>JCOR El Silencio</v>
          </cell>
          <cell r="D63" t="str">
            <v>JCOR_00067</v>
          </cell>
          <cell r="E63">
            <v>46010</v>
          </cell>
          <cell r="F63">
            <v>7.8692000000000002</v>
          </cell>
          <cell r="G63">
            <v>-75.893609999999995</v>
          </cell>
          <cell r="H63" t="str">
            <v>Córdoba</v>
          </cell>
          <cell r="I63" t="str">
            <v>WOM-HUAWEI</v>
          </cell>
          <cell r="J63" t="str">
            <v>COSTA</v>
          </cell>
          <cell r="K63" t="str">
            <v>Cesar Osorio</v>
          </cell>
          <cell r="L63" t="str">
            <v>Terminado</v>
          </cell>
        </row>
        <row r="64">
          <cell r="C64" t="str">
            <v>CAU Piedrasentada</v>
          </cell>
          <cell r="D64" t="str">
            <v>CAU_06013</v>
          </cell>
          <cell r="E64">
            <v>46001</v>
          </cell>
          <cell r="F64">
            <v>2.1707000000000001</v>
          </cell>
          <cell r="G64">
            <v>-76.897099999999995</v>
          </cell>
          <cell r="H64" t="str">
            <v>Cauca</v>
          </cell>
          <cell r="I64" t="str">
            <v>WOM-HUAWEI</v>
          </cell>
          <cell r="J64" t="str">
            <v>NOROCCIDENTE</v>
          </cell>
          <cell r="K64" t="str">
            <v>Alejandro Sanchez</v>
          </cell>
          <cell r="L64" t="str">
            <v>Terminado</v>
          </cell>
        </row>
        <row r="65">
          <cell r="C65" t="str">
            <v>JPUT La Pacera</v>
          </cell>
          <cell r="D65" t="str">
            <v>JPUT_00059</v>
          </cell>
          <cell r="E65">
            <v>45995</v>
          </cell>
          <cell r="F65">
            <v>1.0099</v>
          </cell>
          <cell r="G65">
            <v>-76.507900000000006</v>
          </cell>
          <cell r="H65" t="str">
            <v>Putumayo</v>
          </cell>
          <cell r="I65" t="str">
            <v>WOM-HUAWEI</v>
          </cell>
          <cell r="J65" t="str">
            <v>SUROCCIDENTE</v>
          </cell>
          <cell r="K65" t="str">
            <v>Maria Camila Torres</v>
          </cell>
          <cell r="L65" t="str">
            <v>Terminado</v>
          </cell>
        </row>
        <row r="66">
          <cell r="C66" t="str">
            <v>CLI Prados del Norte</v>
          </cell>
          <cell r="D66" t="str">
            <v>CLI_01012</v>
          </cell>
          <cell r="E66">
            <v>46003</v>
          </cell>
          <cell r="F66">
            <v>3.475041</v>
          </cell>
          <cell r="G66">
            <v>-76.520144999999999</v>
          </cell>
          <cell r="H66" t="str">
            <v>Valle del Cauca</v>
          </cell>
          <cell r="I66" t="str">
            <v>WOM-HUAWEI</v>
          </cell>
          <cell r="J66" t="str">
            <v>SUROCCIDENTE</v>
          </cell>
          <cell r="K66" t="str">
            <v>Alejandro Sanchez</v>
          </cell>
          <cell r="L66" t="str">
            <v>Terminado</v>
          </cell>
        </row>
        <row r="67">
          <cell r="C67" t="str">
            <v>JCOR Heredia</v>
          </cell>
          <cell r="D67" t="str">
            <v>JCOR_00252</v>
          </cell>
          <cell r="E67">
            <v>46004</v>
          </cell>
          <cell r="F67">
            <v>9.0390300000000003</v>
          </cell>
          <cell r="G67">
            <v>-75.366119999999995</v>
          </cell>
          <cell r="H67" t="str">
            <v>Córdoba</v>
          </cell>
          <cell r="I67" t="str">
            <v>WOM-HUAWEI</v>
          </cell>
          <cell r="J67" t="str">
            <v>COSTA</v>
          </cell>
          <cell r="K67" t="str">
            <v>Cesar Osorio</v>
          </cell>
          <cell r="L67" t="str">
            <v>Terminado</v>
          </cell>
        </row>
        <row r="68">
          <cell r="C68" t="str">
            <v>JCOR El Banco</v>
          </cell>
          <cell r="D68" t="str">
            <v>JCOR_00232</v>
          </cell>
          <cell r="E68">
            <v>46005</v>
          </cell>
          <cell r="F68">
            <v>9.0695899999999998</v>
          </cell>
          <cell r="G68">
            <v>-75.558620000000005</v>
          </cell>
          <cell r="H68" t="str">
            <v>Córdoba</v>
          </cell>
          <cell r="I68" t="str">
            <v>WOM-HUAWEI</v>
          </cell>
          <cell r="J68" t="str">
            <v>COSTA</v>
          </cell>
          <cell r="K68" t="str">
            <v>Cesar Osorio</v>
          </cell>
          <cell r="L68" t="str">
            <v>Terminado</v>
          </cell>
        </row>
        <row r="69">
          <cell r="C69" t="str">
            <v>JCOR Fabra</v>
          </cell>
          <cell r="D69" t="str">
            <v>JCOR_00310</v>
          </cell>
          <cell r="E69">
            <v>46006</v>
          </cell>
          <cell r="F69">
            <v>8.1653369999999992</v>
          </cell>
          <cell r="G69">
            <v>-76.298027000000005</v>
          </cell>
          <cell r="H69" t="str">
            <v>Córdoba</v>
          </cell>
          <cell r="I69" t="str">
            <v>WOM-HUAWEI</v>
          </cell>
          <cell r="J69" t="str">
            <v>COSTA</v>
          </cell>
          <cell r="K69" t="str">
            <v>Cesar Osorio</v>
          </cell>
          <cell r="L69" t="str">
            <v>Terminado</v>
          </cell>
        </row>
        <row r="70">
          <cell r="C70" t="str">
            <v>PUT San Miguel</v>
          </cell>
          <cell r="D70" t="str">
            <v>PUT_05114</v>
          </cell>
          <cell r="E70">
            <v>46003</v>
          </cell>
          <cell r="F70">
            <v>0.34286</v>
          </cell>
          <cell r="G70">
            <v>-76.911799999999999</v>
          </cell>
          <cell r="H70" t="str">
            <v>Putumayo</v>
          </cell>
          <cell r="I70" t="str">
            <v>WOM-HUAWEI</v>
          </cell>
          <cell r="J70" t="str">
            <v>SUROCCIDENTE</v>
          </cell>
          <cell r="K70" t="str">
            <v>Maria Camila Torres</v>
          </cell>
          <cell r="L70" t="str">
            <v>Terminado</v>
          </cell>
        </row>
        <row r="71">
          <cell r="C71" t="str">
            <v>JANT San Isidro Parte Baja</v>
          </cell>
          <cell r="D71" t="str">
            <v>JANT_00101</v>
          </cell>
          <cell r="E71">
            <v>46012</v>
          </cell>
          <cell r="F71">
            <v>6.5645559999999996</v>
          </cell>
          <cell r="G71">
            <v>-75.328299999999999</v>
          </cell>
          <cell r="H71" t="str">
            <v>Antioquia</v>
          </cell>
          <cell r="I71" t="str">
            <v>WOM-HUAWEI</v>
          </cell>
          <cell r="J71" t="str">
            <v>NOROCCIDENTE</v>
          </cell>
          <cell r="K71" t="str">
            <v>Alejandro Sanchez</v>
          </cell>
          <cell r="L71" t="str">
            <v>Terminado</v>
          </cell>
        </row>
        <row r="72">
          <cell r="C72" t="str">
            <v>JANT San Cristobal</v>
          </cell>
          <cell r="D72" t="str">
            <v>JANT_00095</v>
          </cell>
          <cell r="E72">
            <v>46013</v>
          </cell>
          <cell r="F72">
            <v>6.9219609999999996</v>
          </cell>
          <cell r="G72">
            <v>-74.760999999999996</v>
          </cell>
          <cell r="H72" t="str">
            <v>Antioquia</v>
          </cell>
          <cell r="I72" t="str">
            <v>WOM-HUAWEI</v>
          </cell>
          <cell r="J72" t="str">
            <v>NOROCCIDENTE</v>
          </cell>
          <cell r="K72" t="str">
            <v>Alejandro Sanchez</v>
          </cell>
          <cell r="L72" t="str">
            <v>Terminado</v>
          </cell>
        </row>
        <row r="73">
          <cell r="C73" t="str">
            <v>JANT Hondita</v>
          </cell>
          <cell r="D73" t="str">
            <v>JANT_00074</v>
          </cell>
          <cell r="E73">
            <v>46014</v>
          </cell>
          <cell r="F73">
            <v>6.1503899999999998</v>
          </cell>
          <cell r="G73">
            <v>-75.064909999999998</v>
          </cell>
          <cell r="H73" t="str">
            <v>Antioquia</v>
          </cell>
          <cell r="I73" t="str">
            <v>WOM-HUAWEI</v>
          </cell>
          <cell r="J73" t="str">
            <v>NOROCCIDENTE</v>
          </cell>
          <cell r="K73" t="str">
            <v>Alejandro Sanchez</v>
          </cell>
          <cell r="L73" t="str">
            <v>Terminado</v>
          </cell>
        </row>
        <row r="74">
          <cell r="C74" t="str">
            <v>JBOL Veredas de La Cabecera</v>
          </cell>
          <cell r="D74" t="str">
            <v>JBOL_00486</v>
          </cell>
          <cell r="E74">
            <v>45973</v>
          </cell>
          <cell r="F74">
            <v>8.1135482999999997</v>
          </cell>
          <cell r="G74">
            <v>-73.878749999999997</v>
          </cell>
          <cell r="H74" t="str">
            <v>Bolívar</v>
          </cell>
          <cell r="I74" t="str">
            <v>WOM-HUAWEI</v>
          </cell>
          <cell r="J74" t="str">
            <v>COSTA</v>
          </cell>
          <cell r="K74" t="str">
            <v>Cesar Osorio</v>
          </cell>
          <cell r="L74" t="str">
            <v>Terminado</v>
          </cell>
        </row>
        <row r="75">
          <cell r="C75" t="str">
            <v>MONTEBELLO ANTIOQUIA</v>
          </cell>
          <cell r="D75" t="str">
            <v>S8744</v>
          </cell>
          <cell r="E75">
            <v>45973</v>
          </cell>
          <cell r="F75" t="str">
            <v>,5.94669</v>
          </cell>
          <cell r="G75" t="str">
            <v>,-75.5278</v>
          </cell>
          <cell r="H75" t="str">
            <v>Antioquia</v>
          </cell>
          <cell r="I75" t="str">
            <v>UNIRED</v>
          </cell>
          <cell r="J75" t="str">
            <v>NOROCCIDENTE</v>
          </cell>
          <cell r="K75" t="str">
            <v>Carlos Eduardo Montoya</v>
          </cell>
          <cell r="L75" t="str">
            <v>Terminado</v>
          </cell>
        </row>
        <row r="76">
          <cell r="C76" t="str">
            <v>SAT_PEAJE_AGUAS_NEGRAS</v>
          </cell>
          <cell r="D76" t="str">
            <v>SAT0080</v>
          </cell>
          <cell r="E76">
            <v>45933</v>
          </cell>
          <cell r="F76" t="str">
            <v>,6..6444</v>
          </cell>
          <cell r="G76" t="str">
            <v>,-73.9524</v>
          </cell>
          <cell r="H76" t="str">
            <v>Santander</v>
          </cell>
          <cell r="I76" t="str">
            <v>UNIRED</v>
          </cell>
          <cell r="J76" t="str">
            <v>NOROCCIDENTE</v>
          </cell>
          <cell r="K76" t="str">
            <v>Carlos Eduardo Montoya</v>
          </cell>
          <cell r="L76" t="str">
            <v>Terminado</v>
          </cell>
        </row>
        <row r="77">
          <cell r="C77" t="str">
            <v>MESOPOTAMIA</v>
          </cell>
          <cell r="D77" t="str">
            <v>S5670</v>
          </cell>
          <cell r="E77">
            <v>45970</v>
          </cell>
          <cell r="F77" t="str">
            <v>_5.54551</v>
          </cell>
          <cell r="G77" t="str">
            <v>,-73.3577</v>
          </cell>
          <cell r="H77" t="str">
            <v>Boyacá</v>
          </cell>
          <cell r="I77" t="str">
            <v>UNIRED</v>
          </cell>
          <cell r="J77" t="str">
            <v>CENTRO SUR/ NORTE</v>
          </cell>
          <cell r="K77" t="str">
            <v>Carlos Eduardo Montoya</v>
          </cell>
          <cell r="L77" t="str">
            <v>Terminado</v>
          </cell>
        </row>
        <row r="78">
          <cell r="C78" t="str">
            <v>MUZO</v>
          </cell>
          <cell r="D78" t="str">
            <v>BOY-250160</v>
          </cell>
          <cell r="E78">
            <v>45970</v>
          </cell>
          <cell r="F78" t="str">
            <v>_5.52439</v>
          </cell>
          <cell r="G78" t="str">
            <v>,-74.1655</v>
          </cell>
          <cell r="H78" t="str">
            <v>Boyacá</v>
          </cell>
          <cell r="I78" t="str">
            <v>UNIRED</v>
          </cell>
          <cell r="J78" t="str">
            <v>CENTRO SUR/ NORTE</v>
          </cell>
          <cell r="K78" t="str">
            <v>Carlos Eduardo Montoya</v>
          </cell>
          <cell r="L78" t="str">
            <v>Terminado</v>
          </cell>
        </row>
        <row r="79">
          <cell r="C79" t="str">
            <v>BUC-210009 _ PORTUGAL SANTANDER</v>
          </cell>
          <cell r="D79" t="str">
            <v>BUC-210009</v>
          </cell>
          <cell r="E79">
            <v>45982</v>
          </cell>
          <cell r="F79">
            <v>714878</v>
          </cell>
          <cell r="G79">
            <v>-732678</v>
          </cell>
          <cell r="H79" t="str">
            <v>Santander</v>
          </cell>
          <cell r="I79" t="str">
            <v>UNIRED</v>
          </cell>
          <cell r="J79" t="str">
            <v>CENTRO SUR/ NORTE</v>
          </cell>
          <cell r="K79" t="str">
            <v>Carlos Eduardo Montoya</v>
          </cell>
          <cell r="L79" t="str">
            <v>Terminado</v>
          </cell>
        </row>
        <row r="80">
          <cell r="C80" t="str">
            <v>PORTUGAL SANTANDER</v>
          </cell>
          <cell r="D80" t="str">
            <v>BUC-210009</v>
          </cell>
          <cell r="E80">
            <v>45982</v>
          </cell>
          <cell r="F80">
            <v>714878</v>
          </cell>
          <cell r="G80">
            <v>-732678</v>
          </cell>
          <cell r="H80" t="str">
            <v>Santander</v>
          </cell>
          <cell r="I80" t="str">
            <v>UNIRED</v>
          </cell>
          <cell r="J80" t="str">
            <v>CENTRO SUR/ NORTE</v>
          </cell>
          <cell r="K80" t="str">
            <v>Carlos Eduardo Montoya</v>
          </cell>
          <cell r="L80" t="str">
            <v>Terminado</v>
          </cell>
        </row>
        <row r="81">
          <cell r="C81" t="str">
            <v>BUC_RICAURTE</v>
          </cell>
          <cell r="D81" t="str">
            <v>TBUC_560407</v>
          </cell>
          <cell r="E81">
            <v>45922</v>
          </cell>
          <cell r="F81">
            <v>710747</v>
          </cell>
          <cell r="G81">
            <v>-731146</v>
          </cell>
          <cell r="H81" t="str">
            <v>Santander</v>
          </cell>
          <cell r="I81" t="str">
            <v>UNIRED</v>
          </cell>
          <cell r="J81" t="str">
            <v>CENTRO SUR/ NORTE</v>
          </cell>
          <cell r="K81" t="str">
            <v>Carlos Eduardo Montoya</v>
          </cell>
          <cell r="L81" t="str">
            <v>Terminado</v>
          </cell>
        </row>
        <row r="82">
          <cell r="C82" t="str">
            <v>ALPUJARRA TOLIMA</v>
          </cell>
          <cell r="D82" t="str">
            <v>S8907</v>
          </cell>
          <cell r="E82">
            <v>45989</v>
          </cell>
          <cell r="F82">
            <v>343323</v>
          </cell>
          <cell r="G82" t="str">
            <v>,-74.9191</v>
          </cell>
          <cell r="H82" t="str">
            <v>Tolima</v>
          </cell>
          <cell r="I82" t="str">
            <v>UNIRED</v>
          </cell>
          <cell r="J82" t="str">
            <v>CENTRO SUR/ NORTE</v>
          </cell>
          <cell r="K82" t="str">
            <v>Javier Leonardo Vega</v>
          </cell>
          <cell r="L82" t="str">
            <v>Terminado</v>
          </cell>
        </row>
        <row r="83">
          <cell r="C83" t="str">
            <v>TJA La Glorieta</v>
          </cell>
          <cell r="D83" t="str">
            <v>TJA_04043</v>
          </cell>
          <cell r="E83">
            <v>45987</v>
          </cell>
          <cell r="F83" t="str">
            <v>_5.52439</v>
          </cell>
          <cell r="G83" t="str">
            <v>,-74.1655</v>
          </cell>
          <cell r="H83" t="str">
            <v>Boyacá</v>
          </cell>
          <cell r="I83" t="str">
            <v>WOM-HUAWEI</v>
          </cell>
          <cell r="J83" t="str">
            <v>CENTRO SUR/ NORTE</v>
          </cell>
          <cell r="K83" t="str">
            <v>Diego Fernando Cepeda</v>
          </cell>
          <cell r="L83" t="str">
            <v>Terminado</v>
          </cell>
        </row>
        <row r="84">
          <cell r="C84" t="str">
            <v>JHUI Puerta del Sol</v>
          </cell>
          <cell r="D84" t="str">
            <v>JHUI_00112</v>
          </cell>
          <cell r="E84">
            <v>45996</v>
          </cell>
          <cell r="F84">
            <v>2.94374</v>
          </cell>
          <cell r="G84">
            <v>-75.018519999999995</v>
          </cell>
          <cell r="H84" t="str">
            <v>Huila</v>
          </cell>
          <cell r="I84" t="str">
            <v>WOM-HUAWEI</v>
          </cell>
          <cell r="J84" t="str">
            <v>CENTRO SUR/ NORTE</v>
          </cell>
          <cell r="K84" t="str">
            <v>Alejandro Sanchez</v>
          </cell>
          <cell r="L84" t="str">
            <v>Terminado</v>
          </cell>
        </row>
        <row r="85">
          <cell r="C85" t="str">
            <v>JANT San Nicolas</v>
          </cell>
          <cell r="D85" t="str">
            <v>JANT_00227</v>
          </cell>
          <cell r="E85">
            <v>45995</v>
          </cell>
          <cell r="F85" t="str">
            <v>N/A</v>
          </cell>
          <cell r="G85" t="str">
            <v>N/A</v>
          </cell>
          <cell r="H85" t="str">
            <v>Tolima</v>
          </cell>
          <cell r="I85" t="str">
            <v>WOM-HUAWEI</v>
          </cell>
          <cell r="J85" t="str">
            <v>NOROCCIDENTE</v>
          </cell>
          <cell r="K85" t="str">
            <v>Alejandro Sanchez</v>
          </cell>
          <cell r="L85" t="str">
            <v>Terminado</v>
          </cell>
        </row>
        <row r="86">
          <cell r="C86" t="str">
            <v>JANT Despensas</v>
          </cell>
          <cell r="D86" t="str">
            <v>JANT_00320</v>
          </cell>
          <cell r="E86">
            <v>45996</v>
          </cell>
          <cell r="F86" t="str">
            <v>N/A</v>
          </cell>
          <cell r="G86" t="str">
            <v>N/A</v>
          </cell>
          <cell r="H86" t="str">
            <v>Antioquia</v>
          </cell>
          <cell r="I86" t="str">
            <v>WOM-HUAWEI</v>
          </cell>
          <cell r="J86" t="str">
            <v>NOROCCIDENTE</v>
          </cell>
          <cell r="K86" t="str">
            <v>Alejandro Sanchez</v>
          </cell>
          <cell r="L86" t="str">
            <v>Terminado</v>
          </cell>
        </row>
        <row r="87">
          <cell r="C87" t="str">
            <v>BOY PAIPA</v>
          </cell>
          <cell r="D87" t="str">
            <v>BOY-250159</v>
          </cell>
          <cell r="E87">
            <v>46004</v>
          </cell>
          <cell r="F87">
            <v>5758</v>
          </cell>
          <cell r="G87">
            <v>-73139</v>
          </cell>
          <cell r="H87" t="str">
            <v>Boyacá</v>
          </cell>
          <cell r="I87" t="str">
            <v>UNIRED</v>
          </cell>
          <cell r="J87" t="str">
            <v>CENTRO SUR/ NORTE</v>
          </cell>
          <cell r="K87" t="str">
            <v>Carlos Eduardo Montoya</v>
          </cell>
          <cell r="L87" t="str">
            <v>Terminado</v>
          </cell>
        </row>
        <row r="88">
          <cell r="C88" t="str">
            <v>PER MEGABUS SAN FERNANDO</v>
          </cell>
          <cell r="D88" t="str">
            <v>PER_06079</v>
          </cell>
          <cell r="E88">
            <v>46001</v>
          </cell>
          <cell r="F88" t="str">
            <v>N/A</v>
          </cell>
          <cell r="G88" t="str">
            <v>N/A</v>
          </cell>
          <cell r="H88" t="str">
            <v>Risaralda</v>
          </cell>
          <cell r="I88" t="str">
            <v>WOM-HUAWEI</v>
          </cell>
          <cell r="J88" t="str">
            <v>SUROCCIDENTE</v>
          </cell>
          <cell r="K88" t="str">
            <v>Alejandro Sanchez</v>
          </cell>
          <cell r="L88" t="str">
            <v>Terminado</v>
          </cell>
        </row>
        <row r="89">
          <cell r="C89" t="str">
            <v>TOL SAN JOSE</v>
          </cell>
          <cell r="D89" t="str">
            <v>TOL_06365</v>
          </cell>
          <cell r="E89">
            <v>46007</v>
          </cell>
          <cell r="H89" t="str">
            <v>Tolima</v>
          </cell>
          <cell r="I89" t="str">
            <v>WOM-HUAWEI</v>
          </cell>
          <cell r="J89" t="str">
            <v>CENTRO SUR/ NORTE</v>
          </cell>
          <cell r="K89" t="str">
            <v>Alejandro Sanchez</v>
          </cell>
          <cell r="L89" t="str">
            <v>Terminado</v>
          </cell>
        </row>
        <row r="90">
          <cell r="C90" t="str">
            <v>BOY_PUENTE_DE_BOYACA</v>
          </cell>
          <cell r="D90" t="str">
            <v>BOY0003</v>
          </cell>
          <cell r="E90">
            <v>46008</v>
          </cell>
          <cell r="F90">
            <v>5429</v>
          </cell>
          <cell r="G90" t="str">
            <v>_-73,444</v>
          </cell>
          <cell r="H90" t="str">
            <v>Boyacá</v>
          </cell>
          <cell r="I90" t="str">
            <v>UNIRED</v>
          </cell>
          <cell r="J90" t="str">
            <v>NOROCCIDENTE</v>
          </cell>
          <cell r="K90" t="str">
            <v>Carlos Eduardo Montoya</v>
          </cell>
          <cell r="L90" t="str">
            <v>Terminado</v>
          </cell>
        </row>
        <row r="91">
          <cell r="C91" t="str">
            <v>NEI Ciudadela Acropolis</v>
          </cell>
          <cell r="D91" t="str">
            <v>NEI_04419</v>
          </cell>
          <cell r="E91">
            <v>46014</v>
          </cell>
          <cell r="F91">
            <v>295221365</v>
          </cell>
          <cell r="G91">
            <v>-7530110574</v>
          </cell>
          <cell r="H91" t="str">
            <v>Huila</v>
          </cell>
          <cell r="I91" t="str">
            <v>WOM-HUAWEI</v>
          </cell>
          <cell r="J91" t="str">
            <v>NOROCCIDENTE</v>
          </cell>
          <cell r="K91" t="str">
            <v>Alejandro Sanchez</v>
          </cell>
          <cell r="L91" t="str">
            <v>Terminado</v>
          </cell>
        </row>
        <row r="92">
          <cell r="C92" t="str">
            <v>JSUC San Marcos</v>
          </cell>
          <cell r="D92" t="str">
            <v>JSUC_00070</v>
          </cell>
          <cell r="E92">
            <v>46007</v>
          </cell>
          <cell r="F92">
            <v>842256</v>
          </cell>
          <cell r="G92">
            <v>-758282397</v>
          </cell>
          <cell r="H92" t="str">
            <v>Sucre</v>
          </cell>
          <cell r="I92" t="str">
            <v>WOM-HUAWEI</v>
          </cell>
          <cell r="J92" t="str">
            <v>NOROCCIDENTE</v>
          </cell>
          <cell r="K92" t="str">
            <v>Cesar Osorio</v>
          </cell>
          <cell r="L92" t="str">
            <v>Terminado</v>
          </cell>
        </row>
        <row r="93">
          <cell r="C93" t="str">
            <v>CMED Itagui Santa Maria del Campo</v>
          </cell>
          <cell r="D93" t="str">
            <v>CMED_01747</v>
          </cell>
          <cell r="E93">
            <v>46021</v>
          </cell>
          <cell r="F93" t="str">
            <v>N/A</v>
          </cell>
          <cell r="G93" t="str">
            <v>N/A</v>
          </cell>
          <cell r="H93" t="str">
            <v>Antioquia</v>
          </cell>
          <cell r="I93" t="str">
            <v>WOM-HUAWEI</v>
          </cell>
          <cell r="J93" t="str">
            <v>NOROCCIDENTE</v>
          </cell>
          <cell r="K93" t="str">
            <v>Alejandro Sanchez</v>
          </cell>
          <cell r="L93" t="str">
            <v>Terminado</v>
          </cell>
        </row>
        <row r="94">
          <cell r="C94" t="str">
            <v>JCOR Egipto</v>
          </cell>
          <cell r="D94" t="str">
            <v>JCOR_00030</v>
          </cell>
          <cell r="E94">
            <v>46021</v>
          </cell>
          <cell r="F94">
            <v>892078</v>
          </cell>
          <cell r="G94">
            <v>-7557667</v>
          </cell>
          <cell r="H94" t="str">
            <v>Cordoba</v>
          </cell>
          <cell r="I94" t="str">
            <v>WOM-HUAWEI</v>
          </cell>
          <cell r="J94" t="str">
            <v>NOROCCIDENTE</v>
          </cell>
          <cell r="K94" t="str">
            <v>Cesar Osorio</v>
          </cell>
          <cell r="L94" t="str">
            <v>Terminado</v>
          </cell>
        </row>
        <row r="95">
          <cell r="C95" t="str">
            <v>JCOR Nueva Lucia</v>
          </cell>
          <cell r="D95" t="str">
            <v>JCOR_00119</v>
          </cell>
          <cell r="E95">
            <v>46022</v>
          </cell>
          <cell r="F95">
            <v>842256</v>
          </cell>
          <cell r="G95">
            <v>-758282397</v>
          </cell>
          <cell r="H95" t="str">
            <v>Cordoba</v>
          </cell>
          <cell r="I95" t="str">
            <v>WOM-HUAWEI</v>
          </cell>
          <cell r="J95" t="str">
            <v>NOROCCIDENTE</v>
          </cell>
          <cell r="K95" t="str">
            <v>Cesar Osorio</v>
          </cell>
          <cell r="L95" t="str">
            <v>Terminado</v>
          </cell>
        </row>
        <row r="96">
          <cell r="C96" t="str">
            <v>JCOR Alto Puya</v>
          </cell>
          <cell r="D96" t="str">
            <v>JCOR_00068</v>
          </cell>
          <cell r="E96">
            <v>46027</v>
          </cell>
          <cell r="F96">
            <v>814791</v>
          </cell>
          <cell r="G96">
            <v>-7631523</v>
          </cell>
          <cell r="H96" t="str">
            <v>CORDOBA</v>
          </cell>
          <cell r="I96" t="str">
            <v>WOM-HUAWEI</v>
          </cell>
          <cell r="J96" t="str">
            <v>NOROCCIDENTE</v>
          </cell>
          <cell r="K96" t="str">
            <v>Cesar Osorio</v>
          </cell>
          <cell r="L96" t="str">
            <v>Terminado</v>
          </cell>
        </row>
        <row r="97">
          <cell r="C97" t="str">
            <v>SAN ANTONIO DE PRADO</v>
          </cell>
          <cell r="D97">
            <v>159018</v>
          </cell>
          <cell r="E97">
            <v>46021</v>
          </cell>
          <cell r="F97" t="str">
            <v>N/A</v>
          </cell>
          <cell r="G97" t="str">
            <v>N/A</v>
          </cell>
          <cell r="H97" t="str">
            <v>Antioquia</v>
          </cell>
          <cell r="I97" t="str">
            <v>UNIRED</v>
          </cell>
          <cell r="J97" t="str">
            <v>NOROCCIDENTE</v>
          </cell>
          <cell r="K97" t="str">
            <v>Carlos Eduardo Montoya</v>
          </cell>
          <cell r="L97" t="str">
            <v>Terminado</v>
          </cell>
        </row>
        <row r="98">
          <cell r="C98" t="str">
            <v>SANTA INES</v>
          </cell>
          <cell r="D98" t="str">
            <v>NEI-400064</v>
          </cell>
          <cell r="E98">
            <v>46020</v>
          </cell>
          <cell r="F98" t="str">
            <v>N/A</v>
          </cell>
          <cell r="G98" t="str">
            <v>N/A</v>
          </cell>
          <cell r="H98" t="str">
            <v>Huila</v>
          </cell>
          <cell r="I98" t="str">
            <v>UNIRED</v>
          </cell>
          <cell r="J98" t="str">
            <v>NOROCCIDENTE</v>
          </cell>
          <cell r="K98" t="str">
            <v>Javier Leonardo Vega</v>
          </cell>
          <cell r="L98" t="str">
            <v>Terminado</v>
          </cell>
        </row>
        <row r="99">
          <cell r="C99" t="str">
            <v>SICHIMA</v>
          </cell>
          <cell r="D99" t="str">
            <v>RIO-110031</v>
          </cell>
          <cell r="E99">
            <v>46027</v>
          </cell>
          <cell r="F99" t="str">
            <v>N/A</v>
          </cell>
          <cell r="G99" t="str">
            <v>N/A</v>
          </cell>
          <cell r="H99" t="str">
            <v>La Guajira</v>
          </cell>
          <cell r="I99" t="str">
            <v>UNIRED</v>
          </cell>
          <cell r="J99" t="str">
            <v>NOROCCIDENTE</v>
          </cell>
          <cell r="K99" t="str">
            <v>Alfredo de la Cruz</v>
          </cell>
          <cell r="L99" t="str">
            <v>Terminado</v>
          </cell>
        </row>
        <row r="100">
          <cell r="C100" t="str">
            <v>TARAPACA</v>
          </cell>
          <cell r="D100" t="str">
            <v>S729</v>
          </cell>
          <cell r="E100">
            <v>46027</v>
          </cell>
          <cell r="F100" t="str">
            <v>N/A</v>
          </cell>
          <cell r="G100" t="str">
            <v>N/A</v>
          </cell>
          <cell r="H100" t="str">
            <v>Antioquia</v>
          </cell>
          <cell r="I100" t="str">
            <v>TELEFONICA</v>
          </cell>
          <cell r="J100" t="str">
            <v>NOROCCIDENTE</v>
          </cell>
          <cell r="K100" t="str">
            <v>Jeferson Algarin</v>
          </cell>
          <cell r="L100" t="str">
            <v>Terminado</v>
          </cell>
        </row>
        <row r="101">
          <cell r="C101" t="str">
            <v>BTA_Rincon del Norte B</v>
          </cell>
          <cell r="D101" t="str">
            <v>BTA_07159</v>
          </cell>
          <cell r="E101">
            <v>45999</v>
          </cell>
          <cell r="F101">
            <v>4.7279</v>
          </cell>
          <cell r="G101">
            <v>-74.090789999999998</v>
          </cell>
          <cell r="H101" t="str">
            <v>Cundinamarca</v>
          </cell>
          <cell r="I101" t="str">
            <v>WOM</v>
          </cell>
          <cell r="J101" t="str">
            <v>CENTRO SUR/ NORTE</v>
          </cell>
          <cell r="K101" t="str">
            <v>Maria Camila Torres</v>
          </cell>
          <cell r="L101" t="str">
            <v>Terminado</v>
          </cell>
        </row>
        <row r="102">
          <cell r="C102" t="str">
            <v>CBTA El Abra</v>
          </cell>
          <cell r="D102" t="str">
            <v>CBTA_05172</v>
          </cell>
          <cell r="E102">
            <v>45994</v>
          </cell>
          <cell r="F102">
            <v>4.7992499999999998</v>
          </cell>
          <cell r="G102">
            <v>-74.111699999999999</v>
          </cell>
          <cell r="H102" t="str">
            <v>CUNDINAMARCA</v>
          </cell>
          <cell r="I102" t="str">
            <v>WOM</v>
          </cell>
          <cell r="J102" t="str">
            <v>CENTRO SUR/ NORTE</v>
          </cell>
          <cell r="K102" t="str">
            <v>Maria Camila Torres</v>
          </cell>
          <cell r="L102" t="str">
            <v>Terminado</v>
          </cell>
        </row>
        <row r="103">
          <cell r="C103" t="str">
            <v>CUN Nemocon</v>
          </cell>
          <cell r="D103" t="str">
            <v>CUN_04512</v>
          </cell>
          <cell r="E103">
            <v>45994</v>
          </cell>
          <cell r="F103">
            <v>5.0670599999999997</v>
          </cell>
          <cell r="G103">
            <v>-73.880899999999997</v>
          </cell>
          <cell r="H103" t="str">
            <v>CUNDINAMARCA</v>
          </cell>
          <cell r="I103" t="str">
            <v>WOM</v>
          </cell>
          <cell r="J103" t="str">
            <v>CENTRO SUR/ NORTE</v>
          </cell>
          <cell r="K103" t="str">
            <v>Maria Camila Torres</v>
          </cell>
          <cell r="L103" t="str">
            <v>Terminado</v>
          </cell>
        </row>
        <row r="104">
          <cell r="C104" t="str">
            <v>VIL Altos de Villa Codem B</v>
          </cell>
          <cell r="D104" t="str">
            <v>VIL_08965</v>
          </cell>
          <cell r="E104">
            <v>45995</v>
          </cell>
          <cell r="F104">
            <v>4.1412000000000004</v>
          </cell>
          <cell r="G104">
            <v>-73.647499999999994</v>
          </cell>
          <cell r="H104" t="str">
            <v>META</v>
          </cell>
          <cell r="I104" t="str">
            <v>WOM</v>
          </cell>
          <cell r="J104" t="str">
            <v>CENTRO SUR/ NORTE</v>
          </cell>
          <cell r="K104" t="str">
            <v>Maria Camila Torres</v>
          </cell>
          <cell r="L104" t="str">
            <v>Terminado</v>
          </cell>
        </row>
        <row r="105">
          <cell r="C105" t="str">
            <v>BTA Tuna Rural</v>
          </cell>
          <cell r="D105" t="str">
            <v>BTA_08874</v>
          </cell>
          <cell r="E105">
            <v>46001</v>
          </cell>
          <cell r="F105">
            <v>4.7827900000000003</v>
          </cell>
          <cell r="G105">
            <v>-74.093000000000004</v>
          </cell>
          <cell r="H105" t="str">
            <v>Bogotá</v>
          </cell>
          <cell r="I105" t="str">
            <v>WOM</v>
          </cell>
          <cell r="J105" t="str">
            <v>CENTRO SUR/ NORTE</v>
          </cell>
          <cell r="K105" t="str">
            <v>MARIA CAMILA TORRES</v>
          </cell>
          <cell r="L105" t="str">
            <v>Terminado</v>
          </cell>
        </row>
        <row r="106">
          <cell r="C106" t="str">
            <v>BTA Chicala</v>
          </cell>
          <cell r="D106" t="str">
            <v>BTA_07721</v>
          </cell>
          <cell r="E106">
            <v>45997</v>
          </cell>
          <cell r="F106">
            <v>4.6231217899999999</v>
          </cell>
          <cell r="G106">
            <v>-74.182956480000001</v>
          </cell>
          <cell r="H106" t="str">
            <v>Bogotá</v>
          </cell>
          <cell r="I106" t="str">
            <v>WOM</v>
          </cell>
          <cell r="J106" t="str">
            <v>CENTRO SUR/ NORTE</v>
          </cell>
          <cell r="K106" t="str">
            <v>MARIA CAMILA TORRES</v>
          </cell>
          <cell r="L106" t="str">
            <v>Terminado</v>
          </cell>
        </row>
        <row r="107">
          <cell r="C107" t="str">
            <v>CUN Agua Blanca</v>
          </cell>
          <cell r="D107" t="str">
            <v>CUN_04484</v>
          </cell>
          <cell r="E107">
            <v>45997</v>
          </cell>
          <cell r="F107">
            <v>4.3600000000000003</v>
          </cell>
          <cell r="G107">
            <v>-74.8</v>
          </cell>
          <cell r="H107" t="str">
            <v>CUNDINAMARCA</v>
          </cell>
          <cell r="I107" t="str">
            <v>WOM</v>
          </cell>
          <cell r="J107" t="str">
            <v>CENTRO SUR/ NORTE</v>
          </cell>
          <cell r="K107" t="str">
            <v>MARIA CAMILA TORRES</v>
          </cell>
          <cell r="L107" t="str">
            <v>Terminado</v>
          </cell>
        </row>
        <row r="108">
          <cell r="C108" t="str">
            <v>BTA Arborizadora Baja</v>
          </cell>
          <cell r="D108" t="str">
            <v>BTA_00556</v>
          </cell>
          <cell r="E108">
            <v>46002</v>
          </cell>
          <cell r="F108">
            <v>4.5720520000000002</v>
          </cell>
          <cell r="G108">
            <v>-74.151021999999998</v>
          </cell>
          <cell r="H108" t="str">
            <v>Bogotá</v>
          </cell>
          <cell r="I108" t="str">
            <v>WOM</v>
          </cell>
          <cell r="J108" t="str">
            <v>CENTRO SUR/ NORTE</v>
          </cell>
          <cell r="K108" t="str">
            <v>MARIA CAMILA TORRES</v>
          </cell>
          <cell r="L108" t="str">
            <v>Terminado</v>
          </cell>
        </row>
        <row r="109">
          <cell r="C109" t="str">
            <v>BTA La Favorita</v>
          </cell>
          <cell r="D109" t="str">
            <v>BTA_00227</v>
          </cell>
          <cell r="E109">
            <v>46006</v>
          </cell>
          <cell r="F109">
            <v>4.6083699999999999</v>
          </cell>
          <cell r="G109">
            <v>-74.076868000000005</v>
          </cell>
          <cell r="H109" t="str">
            <v>Bogotá</v>
          </cell>
          <cell r="I109" t="str">
            <v>WOM</v>
          </cell>
          <cell r="J109" t="str">
            <v>CENTRO SUR/ NORTE</v>
          </cell>
          <cell r="K109" t="str">
            <v>MARIA CAMILA TORRES</v>
          </cell>
          <cell r="L109" t="str">
            <v>Terminado</v>
          </cell>
        </row>
        <row r="110">
          <cell r="C110" t="str">
            <v>BTA Ciudad Bachue B</v>
          </cell>
          <cell r="D110" t="str">
            <v>BTA_01118</v>
          </cell>
          <cell r="E110">
            <v>46002</v>
          </cell>
          <cell r="F110">
            <v>4.7185569999999997</v>
          </cell>
          <cell r="G110">
            <v>-74.102427000000006</v>
          </cell>
          <cell r="H110" t="str">
            <v>Bogotá</v>
          </cell>
          <cell r="I110" t="str">
            <v>WOM</v>
          </cell>
          <cell r="J110" t="str">
            <v>CENTRO SUR/ NORTE</v>
          </cell>
          <cell r="K110" t="str">
            <v>Maria Camila Torres</v>
          </cell>
          <cell r="L110" t="str">
            <v>Terminado</v>
          </cell>
        </row>
        <row r="111">
          <cell r="C111" t="str">
            <v>BTA Rocio Oriental</v>
          </cell>
          <cell r="D111" t="str">
            <v>BTA_01164</v>
          </cell>
          <cell r="E111">
            <v>46009</v>
          </cell>
          <cell r="F111">
            <v>4.5818300000000001</v>
          </cell>
          <cell r="G111">
            <v>-74.069199999999995</v>
          </cell>
          <cell r="H111" t="str">
            <v>Bogotá</v>
          </cell>
          <cell r="I111" t="str">
            <v>WOM</v>
          </cell>
          <cell r="J111" t="str">
            <v>CENTRO SUR/ NORTE</v>
          </cell>
          <cell r="K111" t="str">
            <v>Maria Camila Torres</v>
          </cell>
          <cell r="L111" t="str">
            <v>Terminado</v>
          </cell>
        </row>
        <row r="112">
          <cell r="C112" t="str">
            <v>NOR Pamplona El Buque</v>
          </cell>
          <cell r="D112" t="str">
            <v>NOR_02665</v>
          </cell>
          <cell r="E112">
            <v>46012</v>
          </cell>
          <cell r="F112">
            <v>7.3841109999999999</v>
          </cell>
          <cell r="G112">
            <v>-72.646823999999995</v>
          </cell>
          <cell r="H112" t="str">
            <v>Santander</v>
          </cell>
          <cell r="I112" t="str">
            <v>WOM</v>
          </cell>
          <cell r="J112" t="str">
            <v>NOROCCIDENTE</v>
          </cell>
          <cell r="K112" t="str">
            <v>DIEGO CEPEDA</v>
          </cell>
          <cell r="L112" t="str">
            <v>Terminado</v>
          </cell>
        </row>
        <row r="113">
          <cell r="C113" t="str">
            <v>BTA Bavaria Techo III</v>
          </cell>
          <cell r="D113" t="str">
            <v>BTA_03729</v>
          </cell>
          <cell r="E113">
            <v>46020</v>
          </cell>
          <cell r="F113">
            <v>4.6379299999999999</v>
          </cell>
          <cell r="G113">
            <v>-74.1404</v>
          </cell>
          <cell r="H113" t="str">
            <v>Bogotá</v>
          </cell>
          <cell r="I113" t="str">
            <v>WOM</v>
          </cell>
          <cell r="J113" t="str">
            <v>CENTRO SUR/ NORTE</v>
          </cell>
          <cell r="K113" t="str">
            <v>Maria Camila Torres</v>
          </cell>
          <cell r="L113" t="str">
            <v>Terminado</v>
          </cell>
        </row>
        <row r="114">
          <cell r="C114" t="str">
            <v>CLI Ciudad Los Alamos</v>
          </cell>
          <cell r="D114" t="str">
            <v>CLI_01014</v>
          </cell>
          <cell r="E114">
            <v>46027</v>
          </cell>
          <cell r="F114">
            <v>3.4849999999999999</v>
          </cell>
          <cell r="G114">
            <v>-76.512349999999998</v>
          </cell>
          <cell r="H114" t="str">
            <v>Valle Del Cauca</v>
          </cell>
          <cell r="I114" t="str">
            <v>WOM-HUAWEI</v>
          </cell>
          <cell r="J114" t="str">
            <v>SUROCCIDENTE</v>
          </cell>
          <cell r="K114" t="str">
            <v>Alejandro Sanchez</v>
          </cell>
          <cell r="L114" t="str">
            <v>Terminado</v>
          </cell>
        </row>
        <row r="115">
          <cell r="C115" t="str">
            <v>CCLI Yumbo Zona Industrial I</v>
          </cell>
          <cell r="D115" t="str">
            <v>CCLI_02378</v>
          </cell>
          <cell r="E115">
            <v>46029</v>
          </cell>
          <cell r="F115">
            <v>3.5107499999999998</v>
          </cell>
          <cell r="G115">
            <v>-76.511920000000003</v>
          </cell>
          <cell r="H115" t="str">
            <v>Valle Del Cauca</v>
          </cell>
          <cell r="I115" t="str">
            <v>WOM-HUAWEI</v>
          </cell>
          <cell r="J115" t="str">
            <v>SUROCCIDENTE</v>
          </cell>
          <cell r="K115" t="str">
            <v>Alejandro Sanchez</v>
          </cell>
          <cell r="L115" t="str">
            <v>Terminado</v>
          </cell>
        </row>
        <row r="116">
          <cell r="C116" t="str">
            <v>JCOR San Rafael</v>
          </cell>
          <cell r="D116" t="str">
            <v>JCOR_0017</v>
          </cell>
          <cell r="E116">
            <v>46010</v>
          </cell>
          <cell r="F116">
            <v>8.6954700000000003</v>
          </cell>
          <cell r="G116">
            <v>-76.123750000000001</v>
          </cell>
          <cell r="H116" t="str">
            <v>Cordoba</v>
          </cell>
          <cell r="I116" t="str">
            <v>WOM-HUAWEI</v>
          </cell>
          <cell r="J116" t="str">
            <v>COSTA</v>
          </cell>
          <cell r="K116" t="str">
            <v>Cesar Osorio</v>
          </cell>
          <cell r="L116" t="str">
            <v>Terminado</v>
          </cell>
        </row>
        <row r="117">
          <cell r="C117" t="str">
            <v>JCAU El Ceral</v>
          </cell>
          <cell r="D117" t="str">
            <v>JCAU_00082</v>
          </cell>
          <cell r="E117">
            <v>46002</v>
          </cell>
          <cell r="F117">
            <v>3.0853830000000002</v>
          </cell>
          <cell r="G117">
            <v>-76.758807000000004</v>
          </cell>
          <cell r="H117" t="str">
            <v>Cauca</v>
          </cell>
          <cell r="I117" t="str">
            <v>WOM-HUAWEI</v>
          </cell>
          <cell r="K117" t="str">
            <v>Cesar Osorio</v>
          </cell>
          <cell r="L117" t="str">
            <v>Terminado</v>
          </cell>
        </row>
        <row r="118">
          <cell r="C118" t="str">
            <v>JSUC SAN MARCOS</v>
          </cell>
          <cell r="D118" t="str">
            <v>JSUC_00070</v>
          </cell>
          <cell r="E118">
            <v>46004</v>
          </cell>
          <cell r="F118">
            <v>8.70627</v>
          </cell>
          <cell r="G118">
            <v>-75.221459999999993</v>
          </cell>
          <cell r="H118" t="str">
            <v>Sucre</v>
          </cell>
          <cell r="I118" t="str">
            <v>WOM-HUAWEI</v>
          </cell>
          <cell r="L118" t="str">
            <v>Terminado</v>
          </cell>
        </row>
        <row r="119">
          <cell r="C119" t="str">
            <v>JCOR Primavera</v>
          </cell>
          <cell r="D119" t="str">
            <v>JCOR_00240</v>
          </cell>
          <cell r="E119">
            <v>46010</v>
          </cell>
          <cell r="F119">
            <v>8.5542200000000008</v>
          </cell>
          <cell r="G119">
            <v>-75.342680000000001</v>
          </cell>
          <cell r="H119" t="str">
            <v>Cordoba</v>
          </cell>
          <cell r="I119" t="str">
            <v>WOM-HUAWEI</v>
          </cell>
          <cell r="K119" t="str">
            <v>Cesar Osorio</v>
          </cell>
          <cell r="L119" t="str">
            <v>Terminado</v>
          </cell>
        </row>
        <row r="120">
          <cell r="C120" t="str">
            <v>JSUC Hato Nuevo</v>
          </cell>
          <cell r="D120" t="str">
            <v>JSUC_00215</v>
          </cell>
          <cell r="E120">
            <v>46011</v>
          </cell>
          <cell r="F120">
            <v>9.1791099999999997</v>
          </cell>
          <cell r="G120">
            <v>-75.198250000000002</v>
          </cell>
          <cell r="H120" t="str">
            <v>Sucre</v>
          </cell>
          <cell r="I120" t="str">
            <v>WOM-HUAWEI</v>
          </cell>
          <cell r="K120" t="str">
            <v>Maria Camila Torres</v>
          </cell>
          <cell r="L120" t="str">
            <v>Terminado</v>
          </cell>
        </row>
        <row r="121">
          <cell r="C121" t="str">
            <v>MET San Pedro</v>
          </cell>
          <cell r="D121" t="str">
            <v>MET_02161</v>
          </cell>
          <cell r="E121">
            <v>46013</v>
          </cell>
          <cell r="F121">
            <v>3.900226</v>
          </cell>
          <cell r="G121">
            <v>-73.824250000000006</v>
          </cell>
          <cell r="H121" t="str">
            <v>Meta</v>
          </cell>
          <cell r="I121" t="str">
            <v>WOM-HUAWEI</v>
          </cell>
          <cell r="K121" t="str">
            <v>Maria Camila Torres</v>
          </cell>
          <cell r="L121" t="str">
            <v>Terminado</v>
          </cell>
        </row>
        <row r="122">
          <cell r="C122" t="str">
            <v>JCOR El Banco</v>
          </cell>
          <cell r="D122" t="str">
            <v>JCOR_00232</v>
          </cell>
          <cell r="E122">
            <v>46013</v>
          </cell>
          <cell r="F122">
            <v>9.0695899999999998</v>
          </cell>
          <cell r="G122">
            <v>-75.558620000000005</v>
          </cell>
          <cell r="H122" t="str">
            <v>Cordoba</v>
          </cell>
          <cell r="I122" t="str">
            <v>WOM-HUAWEI</v>
          </cell>
          <cell r="K122" t="str">
            <v>Cesar Osorio</v>
          </cell>
          <cell r="L122" t="str">
            <v>Terminado</v>
          </cell>
        </row>
        <row r="123">
          <cell r="C123" t="str">
            <v>VAL Buenaventura</v>
          </cell>
          <cell r="D123" t="str">
            <v>VAL_02971</v>
          </cell>
          <cell r="E123">
            <v>46014</v>
          </cell>
          <cell r="F123">
            <v>3.8828100000000001</v>
          </cell>
          <cell r="G123">
            <v>-77.063400000000001</v>
          </cell>
          <cell r="H123" t="str">
            <v>Valle del Cauca</v>
          </cell>
          <cell r="I123" t="str">
            <v>WOM-HUAWEI</v>
          </cell>
          <cell r="K123" t="str">
            <v>Alejandro Sanchez</v>
          </cell>
          <cell r="L123" t="str">
            <v>Terminado</v>
          </cell>
        </row>
        <row r="124">
          <cell r="C124" t="str">
            <v>CORINTO</v>
          </cell>
          <cell r="D124" t="str">
            <v>S18794</v>
          </cell>
          <cell r="E124">
            <v>46015</v>
          </cell>
          <cell r="F124" t="str">
            <v>N/A</v>
          </cell>
          <cell r="G124" t="str">
            <v>N/A</v>
          </cell>
          <cell r="H124" t="str">
            <v>Cauca</v>
          </cell>
          <cell r="I124" t="str">
            <v>WOM-HUAWEI</v>
          </cell>
          <cell r="J124" t="str">
            <v>NOROCCIDENTE</v>
          </cell>
          <cell r="K124" t="str">
            <v>Cesar Osorio</v>
          </cell>
          <cell r="L124" t="str">
            <v>Terminado</v>
          </cell>
        </row>
        <row r="125">
          <cell r="C125" t="str">
            <v>JCOR Quebrada del Medio</v>
          </cell>
          <cell r="D125" t="str">
            <v>JCOR_00234</v>
          </cell>
          <cell r="E125">
            <v>46021</v>
          </cell>
          <cell r="F125">
            <v>8.7888889999999993</v>
          </cell>
          <cell r="G125">
            <v>-76.132220000000004</v>
          </cell>
          <cell r="H125" t="str">
            <v>Cordoba</v>
          </cell>
          <cell r="I125" t="str">
            <v>WOM-HUAWEI</v>
          </cell>
          <cell r="K125" t="str">
            <v>Cesar Osorio</v>
          </cell>
          <cell r="L125" t="str">
            <v>Terminado</v>
          </cell>
        </row>
        <row r="126">
          <cell r="C126" t="str">
            <v>PCA Tamarindo</v>
          </cell>
          <cell r="D126" t="str">
            <v>PCA_02381</v>
          </cell>
          <cell r="E126">
            <v>46022</v>
          </cell>
          <cell r="F126">
            <v>6.1844400000000004</v>
          </cell>
          <cell r="G126">
            <v>-67.482929999999996</v>
          </cell>
          <cell r="H126" t="str">
            <v>Vichada</v>
          </cell>
          <cell r="I126" t="str">
            <v>WOM-HUAWEI</v>
          </cell>
          <cell r="K126" t="str">
            <v>Maria Camila Torres</v>
          </cell>
          <cell r="L126" t="str">
            <v>Terminado</v>
          </cell>
        </row>
        <row r="127">
          <cell r="C127" t="str">
            <v>VDP Guajira</v>
          </cell>
          <cell r="D127" t="str">
            <v>VDP_03356</v>
          </cell>
          <cell r="E127">
            <v>46024</v>
          </cell>
          <cell r="F127">
            <v>10.4788</v>
          </cell>
          <cell r="G127">
            <v>-73.243099999999998</v>
          </cell>
          <cell r="H127" t="str">
            <v>Cesar</v>
          </cell>
          <cell r="I127" t="str">
            <v>WOM-HUAWEI</v>
          </cell>
          <cell r="K127" t="str">
            <v>Cesar Osorio</v>
          </cell>
          <cell r="L127" t="str">
            <v>Terminado</v>
          </cell>
        </row>
        <row r="128">
          <cell r="C128" t="str">
            <v>JCAQ La Guadalosa</v>
          </cell>
          <cell r="D128" t="str">
            <v>JCAQ_00151</v>
          </cell>
          <cell r="E128">
            <v>46028</v>
          </cell>
          <cell r="F128">
            <v>1.315388</v>
          </cell>
          <cell r="G128">
            <v>-74.925633000000005</v>
          </cell>
          <cell r="H128" t="str">
            <v>Caqueta</v>
          </cell>
          <cell r="I128" t="str">
            <v>WOM-HUAWEI</v>
          </cell>
          <cell r="J128" t="str">
            <v>SUROCCIDENTE</v>
          </cell>
          <cell r="K128" t="str">
            <v>Maria Camila Torres</v>
          </cell>
          <cell r="L128" t="str">
            <v>Terminado</v>
          </cell>
        </row>
        <row r="129">
          <cell r="C129" t="str">
            <v>JSUC Diaz Granado</v>
          </cell>
          <cell r="D129" t="str">
            <v>JSUC_00035</v>
          </cell>
          <cell r="E129">
            <v>46028</v>
          </cell>
          <cell r="F129">
            <v>8.3064699999999991</v>
          </cell>
          <cell r="G129">
            <v>-74.704239999999999</v>
          </cell>
          <cell r="H129" t="str">
            <v>Sucre</v>
          </cell>
          <cell r="I129" t="str">
            <v>WOM-HUAWEI</v>
          </cell>
          <cell r="K129" t="str">
            <v>Maria Camila Torres</v>
          </cell>
          <cell r="L129" t="str">
            <v>Terminado</v>
          </cell>
        </row>
        <row r="130">
          <cell r="C130" t="str">
            <v>suc San onofre</v>
          </cell>
          <cell r="D130" t="str">
            <v>suc_06170</v>
          </cell>
          <cell r="E130">
            <v>46028</v>
          </cell>
          <cell r="F130">
            <v>9.7373399999999997</v>
          </cell>
          <cell r="G130">
            <v>-75.524299999999997</v>
          </cell>
          <cell r="H130" t="str">
            <v>Sucre</v>
          </cell>
          <cell r="I130" t="str">
            <v>WOM-HUAWEI</v>
          </cell>
          <cell r="K130" t="str">
            <v>Cesar Osorio</v>
          </cell>
          <cell r="L130" t="str">
            <v>Terminado</v>
          </cell>
        </row>
        <row r="131">
          <cell r="C131" t="str">
            <v>VIC Cumaribo</v>
          </cell>
          <cell r="D131" t="str">
            <v>VIC_04632</v>
          </cell>
          <cell r="E131">
            <v>46029</v>
          </cell>
          <cell r="F131">
            <v>4.44435</v>
          </cell>
          <cell r="G131">
            <v>-69.795100000000005</v>
          </cell>
          <cell r="H131" t="str">
            <v>Vichada</v>
          </cell>
          <cell r="I131" t="str">
            <v>WOM-HUAWEI</v>
          </cell>
          <cell r="K131" t="str">
            <v>Maria Camila Torres</v>
          </cell>
          <cell r="L131" t="str">
            <v>Terminado</v>
          </cell>
        </row>
        <row r="132">
          <cell r="C132" t="str">
            <v>BTA Torca</v>
          </cell>
          <cell r="D132" t="str">
            <v>BTA_01889</v>
          </cell>
          <cell r="E132">
            <v>45927</v>
          </cell>
          <cell r="F132">
            <v>4.7868899999999996</v>
          </cell>
          <cell r="G132">
            <v>-74.027799999999999</v>
          </cell>
          <cell r="H132" t="str">
            <v>Cundinamarca</v>
          </cell>
          <cell r="I132" t="str">
            <v>WOM</v>
          </cell>
          <cell r="J132" t="str">
            <v>CENTRO SUR/ NORTE</v>
          </cell>
          <cell r="K132" t="str">
            <v>Jason Julian Melo</v>
          </cell>
          <cell r="L132" t="str">
            <v>Terminado</v>
          </cell>
        </row>
        <row r="133">
          <cell r="C133" t="str">
            <v>VAL Buenaventura Transformacion</v>
          </cell>
          <cell r="D133" t="str">
            <v>VAL_05690</v>
          </cell>
          <cell r="E133">
            <v>45925</v>
          </cell>
          <cell r="F133">
            <v>3.8784999999999998</v>
          </cell>
          <cell r="G133">
            <v>-77.009299999999996</v>
          </cell>
          <cell r="H133" t="str">
            <v>Valle Del Cauca</v>
          </cell>
          <cell r="I133" t="str">
            <v>WOM</v>
          </cell>
          <cell r="J133" t="str">
            <v>SUROCCIDENTE</v>
          </cell>
          <cell r="L133" t="str">
            <v>Terminado</v>
          </cell>
        </row>
        <row r="134">
          <cell r="C134" t="str">
            <v>CCLI Yumbo Belalcazar</v>
          </cell>
          <cell r="D134" t="str">
            <v>CCLI_02368</v>
          </cell>
          <cell r="E134">
            <v>45920</v>
          </cell>
          <cell r="F134">
            <v>3.58311</v>
          </cell>
          <cell r="G134">
            <v>-76.492859999999993</v>
          </cell>
          <cell r="H134" t="str">
            <v>Valle Del Cauca</v>
          </cell>
          <cell r="I134" t="str">
            <v>WOM</v>
          </cell>
          <cell r="J134" t="str">
            <v>SUROCCIDENTE</v>
          </cell>
          <cell r="K134" t="str">
            <v>Wilson Alejandro Solarte</v>
          </cell>
          <cell r="L134" t="str">
            <v>Terminado</v>
          </cell>
        </row>
        <row r="135">
          <cell r="C135" t="str">
            <v>CCLI Yumbo Zona Industrial B</v>
          </cell>
          <cell r="D135" t="str">
            <v>CCLI_01734</v>
          </cell>
          <cell r="E135">
            <v>45922</v>
          </cell>
          <cell r="F135">
            <v>3.5481400000000001</v>
          </cell>
          <cell r="G135">
            <v>-76.491640000000004</v>
          </cell>
          <cell r="H135" t="str">
            <v>Valle Del Cauca</v>
          </cell>
          <cell r="I135" t="str">
            <v>WOM</v>
          </cell>
          <cell r="J135" t="str">
            <v>SUROCCIDENTE</v>
          </cell>
          <cell r="K135" t="str">
            <v>Wilson Alejandro Solarte</v>
          </cell>
          <cell r="L135" t="str">
            <v>Terminado</v>
          </cell>
        </row>
        <row r="136">
          <cell r="C136" t="str">
            <v>CLI La Base</v>
          </cell>
          <cell r="D136" t="str">
            <v>CLI_02325</v>
          </cell>
          <cell r="E136">
            <v>45931</v>
          </cell>
          <cell r="F136">
            <v>3.4492600000000002</v>
          </cell>
          <cell r="G136">
            <v>-76.489000000000004</v>
          </cell>
          <cell r="H136" t="str">
            <v>Valle Del Cauca</v>
          </cell>
          <cell r="I136" t="str">
            <v>WOM</v>
          </cell>
          <cell r="J136" t="str">
            <v>SUROCCIDENTE</v>
          </cell>
          <cell r="K136" t="str">
            <v>Wilson Alejandro Solarte</v>
          </cell>
          <cell r="L136" t="str">
            <v>Terminado</v>
          </cell>
        </row>
        <row r="137">
          <cell r="C137" t="str">
            <v>CLI Las Brisas</v>
          </cell>
          <cell r="D137" t="str">
            <v>CLI_02277</v>
          </cell>
          <cell r="E137">
            <v>45930</v>
          </cell>
          <cell r="F137">
            <v>3.4953599999999998</v>
          </cell>
          <cell r="G137">
            <v>-76.593500000000006</v>
          </cell>
          <cell r="H137" t="str">
            <v>Valle Del Cauca</v>
          </cell>
          <cell r="I137" t="str">
            <v>WOM</v>
          </cell>
          <cell r="J137" t="str">
            <v>SUROCCIDENTE</v>
          </cell>
          <cell r="K137" t="str">
            <v>Wilson Alejandro Solarte</v>
          </cell>
          <cell r="L137" t="str">
            <v>Terminado</v>
          </cell>
        </row>
        <row r="138">
          <cell r="C138" t="str">
            <v>NAR Pedregal</v>
          </cell>
          <cell r="D138" t="str">
            <v>NAR_03043</v>
          </cell>
          <cell r="E138">
            <v>45936</v>
          </cell>
          <cell r="F138">
            <v>1.4</v>
          </cell>
          <cell r="G138">
            <v>-77.288200000000003</v>
          </cell>
          <cell r="H138" t="str">
            <v>Nariño</v>
          </cell>
          <cell r="I138" t="str">
            <v>WOM</v>
          </cell>
          <cell r="J138" t="str">
            <v>SUROCCIDENTE</v>
          </cell>
          <cell r="K138" t="str">
            <v>Wilson Alejandro Solarte</v>
          </cell>
          <cell r="L138" t="str">
            <v>Terminado</v>
          </cell>
        </row>
        <row r="139">
          <cell r="C139" t="str">
            <v>NAR Tumaco Camaronera</v>
          </cell>
          <cell r="D139" t="str">
            <v>NAR_02981</v>
          </cell>
          <cell r="E139">
            <v>45942</v>
          </cell>
          <cell r="F139">
            <v>1.8046</v>
          </cell>
          <cell r="G139">
            <v>-78.767200000000003</v>
          </cell>
          <cell r="H139" t="str">
            <v>Nariño</v>
          </cell>
          <cell r="I139" t="str">
            <v>WOM</v>
          </cell>
          <cell r="J139" t="str">
            <v>SUROCCIDENTE</v>
          </cell>
          <cell r="K139" t="str">
            <v>Wilson Alejandro Solarte</v>
          </cell>
          <cell r="L139" t="str">
            <v>Terminado</v>
          </cell>
        </row>
        <row r="140">
          <cell r="C140" t="str">
            <v>NAR Tumaco El Morro</v>
          </cell>
          <cell r="D140" t="str">
            <v>NAR_02978</v>
          </cell>
          <cell r="E140">
            <v>45940</v>
          </cell>
          <cell r="F140">
            <v>1.8080000000000001</v>
          </cell>
          <cell r="G140">
            <v>-78.7714</v>
          </cell>
          <cell r="H140" t="str">
            <v>Nariño</v>
          </cell>
          <cell r="I140" t="str">
            <v>WOM</v>
          </cell>
          <cell r="J140" t="str">
            <v>SUROCCIDENTE</v>
          </cell>
          <cell r="K140" t="str">
            <v>Wilson Alejandro Solarte</v>
          </cell>
          <cell r="L140" t="str">
            <v>Terminado</v>
          </cell>
        </row>
        <row r="141">
          <cell r="C141" t="str">
            <v>NAR Tumaco Puente Pindo</v>
          </cell>
          <cell r="D141" t="str">
            <v>NAR_02982</v>
          </cell>
          <cell r="E141">
            <v>45940</v>
          </cell>
          <cell r="F141">
            <v>1.7997799999999999</v>
          </cell>
          <cell r="G141">
            <v>-78.783900000000003</v>
          </cell>
          <cell r="H141" t="str">
            <v>Nariño</v>
          </cell>
          <cell r="I141" t="str">
            <v>WOM</v>
          </cell>
          <cell r="J141" t="str">
            <v>SUROCCIDENTE</v>
          </cell>
          <cell r="K141" t="str">
            <v>Wilson Alejandro Solarte</v>
          </cell>
          <cell r="L141" t="str">
            <v>Terminado</v>
          </cell>
        </row>
        <row r="142">
          <cell r="C142" t="str">
            <v>NAR Tumaco Mosquera</v>
          </cell>
          <cell r="D142" t="str">
            <v>NAR_02977</v>
          </cell>
          <cell r="E142">
            <v>45943</v>
          </cell>
          <cell r="F142">
            <v>1.8075600000000001</v>
          </cell>
          <cell r="G142">
            <v>-78.765199999999993</v>
          </cell>
          <cell r="H142" t="str">
            <v>Nariño</v>
          </cell>
          <cell r="I142" t="str">
            <v>WOM</v>
          </cell>
          <cell r="J142" t="str">
            <v>SUROCCIDENTE</v>
          </cell>
          <cell r="K142" t="str">
            <v>Wilson Alejandro Solarte</v>
          </cell>
          <cell r="L142" t="str">
            <v>Terminado</v>
          </cell>
        </row>
        <row r="143">
          <cell r="C143" t="str">
            <v>JSUC Cayo de Palma</v>
          </cell>
          <cell r="D143" t="str">
            <v>JSUC_00204</v>
          </cell>
          <cell r="E143">
            <v>45933</v>
          </cell>
          <cell r="F143">
            <v>9.1402479999999997</v>
          </cell>
          <cell r="G143">
            <v>-75.141874000000001</v>
          </cell>
          <cell r="H143" t="str">
            <v>Sucre</v>
          </cell>
          <cell r="I143" t="str">
            <v>WOM</v>
          </cell>
          <cell r="J143" t="str">
            <v>COSTA</v>
          </cell>
          <cell r="K143" t="str">
            <v>Alfredo de la Cruz</v>
          </cell>
          <cell r="L143" t="str">
            <v>Terminado</v>
          </cell>
        </row>
        <row r="144">
          <cell r="C144" t="str">
            <v>JSUC Belen</v>
          </cell>
          <cell r="D144" t="str">
            <v>JSUC_00026</v>
          </cell>
          <cell r="E144">
            <v>45934</v>
          </cell>
          <cell r="F144">
            <v>9.3669539999999998</v>
          </cell>
          <cell r="G144">
            <v>-74.968976999999995</v>
          </cell>
          <cell r="H144" t="str">
            <v>Sucre</v>
          </cell>
          <cell r="I144" t="str">
            <v>WOM</v>
          </cell>
          <cell r="J144" t="str">
            <v>COSTA</v>
          </cell>
          <cell r="K144" t="str">
            <v>Alfredo de la Cruz</v>
          </cell>
          <cell r="L144" t="str">
            <v>Terminado</v>
          </cell>
        </row>
        <row r="145">
          <cell r="C145" t="str">
            <v>JSUC Baraya</v>
          </cell>
          <cell r="D145" t="str">
            <v>JSUC_00221</v>
          </cell>
          <cell r="E145">
            <v>45934</v>
          </cell>
          <cell r="F145">
            <v>9.0976999999999997</v>
          </cell>
          <cell r="G145">
            <v>-74.978269999999995</v>
          </cell>
          <cell r="H145" t="str">
            <v>Sucre</v>
          </cell>
          <cell r="I145" t="str">
            <v>WOM</v>
          </cell>
          <cell r="J145" t="str">
            <v>COSTA</v>
          </cell>
          <cell r="K145" t="str">
            <v>Alfredo de la Cruz</v>
          </cell>
          <cell r="L145" t="str">
            <v>Terminado</v>
          </cell>
        </row>
        <row r="146">
          <cell r="C146" t="str">
            <v>JSUC Esperanza</v>
          </cell>
          <cell r="D146" t="str">
            <v>JSUC_00148</v>
          </cell>
          <cell r="E146">
            <v>45930</v>
          </cell>
          <cell r="F146">
            <v>8.8015699999999999</v>
          </cell>
          <cell r="G146">
            <v>-75.356999999999999</v>
          </cell>
          <cell r="H146" t="str">
            <v>Sucre</v>
          </cell>
          <cell r="I146" t="str">
            <v>WOM</v>
          </cell>
          <cell r="J146" t="str">
            <v>COSTA</v>
          </cell>
          <cell r="K146" t="str">
            <v>Alfredo de la Cruz</v>
          </cell>
          <cell r="L146" t="str">
            <v>Terminado</v>
          </cell>
        </row>
        <row r="147">
          <cell r="C147" t="str">
            <v>JCOR Limon</v>
          </cell>
          <cell r="D147" t="str">
            <v>JCOR_00166</v>
          </cell>
          <cell r="E147">
            <v>45924</v>
          </cell>
          <cell r="F147">
            <v>8.7101019999999991</v>
          </cell>
          <cell r="G147">
            <v>-76.266598999999999</v>
          </cell>
          <cell r="H147" t="str">
            <v>Cordoba</v>
          </cell>
          <cell r="I147" t="str">
            <v>WOM</v>
          </cell>
          <cell r="J147" t="str">
            <v>COSTA</v>
          </cell>
          <cell r="K147" t="str">
            <v>Alfredo de la Cruz</v>
          </cell>
          <cell r="L147" t="str">
            <v>Terminado</v>
          </cell>
        </row>
        <row r="148">
          <cell r="C148" t="str">
            <v>JSUC Floral</v>
          </cell>
          <cell r="D148" t="str">
            <v>JSUC_00020</v>
          </cell>
          <cell r="E148">
            <v>45940</v>
          </cell>
          <cell r="F148">
            <v>9.5497200000000007</v>
          </cell>
          <cell r="G148">
            <v>-75.182869999999994</v>
          </cell>
          <cell r="H148" t="str">
            <v>Sucre</v>
          </cell>
          <cell r="I148" t="str">
            <v>WOM</v>
          </cell>
          <cell r="J148" t="str">
            <v>COSTA</v>
          </cell>
          <cell r="K148" t="str">
            <v>Alfredo de la Cruz</v>
          </cell>
          <cell r="L148" t="str">
            <v>Terminado</v>
          </cell>
        </row>
        <row r="149">
          <cell r="C149" t="str">
            <v>JSUC Redonda</v>
          </cell>
          <cell r="D149" t="str">
            <v>JSUC_00276</v>
          </cell>
          <cell r="E149">
            <v>45940</v>
          </cell>
          <cell r="F149">
            <v>8.6429200000000002</v>
          </cell>
          <cell r="G149">
            <v>-74.692530000000005</v>
          </cell>
          <cell r="H149" t="str">
            <v>Sucre</v>
          </cell>
          <cell r="I149" t="str">
            <v>WOM</v>
          </cell>
          <cell r="J149" t="str">
            <v>COSTA</v>
          </cell>
          <cell r="K149" t="str">
            <v>Alfredo de la Cruz</v>
          </cell>
          <cell r="L149" t="str">
            <v>Terminado</v>
          </cell>
        </row>
        <row r="150">
          <cell r="C150" t="str">
            <v>JSUC Tierra Santa</v>
          </cell>
          <cell r="D150" t="str">
            <v>JSUC_00036</v>
          </cell>
          <cell r="E150">
            <v>45941</v>
          </cell>
          <cell r="F150">
            <v>8.4451000000000001</v>
          </cell>
          <cell r="G150">
            <v>-74.642240000000001</v>
          </cell>
          <cell r="H150" t="str">
            <v>Sucre</v>
          </cell>
          <cell r="I150" t="str">
            <v>WOM</v>
          </cell>
          <cell r="J150" t="str">
            <v>COSTA</v>
          </cell>
          <cell r="K150" t="str">
            <v>Alfredo de la Cruz</v>
          </cell>
          <cell r="L150" t="str">
            <v>Terminado</v>
          </cell>
        </row>
        <row r="151">
          <cell r="C151" t="str">
            <v>JSUC Puerto El Gracero</v>
          </cell>
          <cell r="D151" t="str">
            <v>JSUC_00011</v>
          </cell>
          <cell r="E151">
            <v>45942</v>
          </cell>
          <cell r="F151">
            <v>8.4349100000000004</v>
          </cell>
          <cell r="G151">
            <v>-74.698459999999997</v>
          </cell>
          <cell r="H151" t="str">
            <v>Sucre</v>
          </cell>
          <cell r="I151" t="str">
            <v>WOM</v>
          </cell>
          <cell r="J151" t="str">
            <v>COSTA</v>
          </cell>
          <cell r="K151" t="str">
            <v>Alfredo de la Cruz</v>
          </cell>
          <cell r="L151" t="str">
            <v>Terminado</v>
          </cell>
        </row>
        <row r="152">
          <cell r="C152" t="str">
            <v>JSUC Sincelejito</v>
          </cell>
          <cell r="D152" t="str">
            <v>JSUC_00248</v>
          </cell>
          <cell r="E152">
            <v>45942</v>
          </cell>
          <cell r="F152">
            <v>8.4351330000000004</v>
          </cell>
          <cell r="G152">
            <v>-74.827453000000006</v>
          </cell>
          <cell r="H152" t="str">
            <v>Sucre</v>
          </cell>
          <cell r="I152" t="str">
            <v>WOM</v>
          </cell>
          <cell r="J152" t="str">
            <v>COSTA</v>
          </cell>
          <cell r="K152" t="str">
            <v>Alfredo de la Cruz</v>
          </cell>
          <cell r="L152" t="str">
            <v>Terminado</v>
          </cell>
        </row>
        <row r="153">
          <cell r="C153" t="str">
            <v>NAR Tumaco C</v>
          </cell>
          <cell r="D153" t="str">
            <v>NAR_06023</v>
          </cell>
          <cell r="E153">
            <v>45948</v>
          </cell>
          <cell r="F153">
            <v>1.7853699999999999</v>
          </cell>
          <cell r="G153">
            <v>-78.783900000000003</v>
          </cell>
          <cell r="H153" t="str">
            <v>Nariño</v>
          </cell>
          <cell r="I153" t="str">
            <v>WOM</v>
          </cell>
          <cell r="J153" t="str">
            <v>SUROCCIDENTE</v>
          </cell>
          <cell r="K153" t="str">
            <v>Wilson Alejandro Solarte</v>
          </cell>
          <cell r="L153" t="str">
            <v>Terminado</v>
          </cell>
        </row>
        <row r="154">
          <cell r="C154" t="str">
            <v>NAR El Charco</v>
          </cell>
          <cell r="D154" t="str">
            <v>NAR_05161</v>
          </cell>
          <cell r="E154">
            <v>45951</v>
          </cell>
          <cell r="F154">
            <v>2.47722</v>
          </cell>
          <cell r="G154">
            <v>-78.110600000000005</v>
          </cell>
          <cell r="H154" t="str">
            <v>Nariño</v>
          </cell>
          <cell r="I154" t="str">
            <v>WOM</v>
          </cell>
          <cell r="J154" t="str">
            <v>SUROCCIDENTE</v>
          </cell>
          <cell r="K154" t="str">
            <v>Wilson Alejandro Solarte</v>
          </cell>
          <cell r="L154" t="str">
            <v>Terminado</v>
          </cell>
        </row>
        <row r="155">
          <cell r="C155" t="str">
            <v>JSUC Palmar Brillante</v>
          </cell>
          <cell r="D155" t="str">
            <v>JSUC_00046</v>
          </cell>
          <cell r="E155">
            <v>45953</v>
          </cell>
          <cell r="F155">
            <v>9.2751380000000001</v>
          </cell>
          <cell r="G155">
            <v>-75.533277999999996</v>
          </cell>
          <cell r="H155" t="str">
            <v>Sucre</v>
          </cell>
          <cell r="I155" t="str">
            <v>WOM</v>
          </cell>
          <cell r="J155" t="str">
            <v>COSTA</v>
          </cell>
          <cell r="K155" t="str">
            <v>Alfredo de la Cruz</v>
          </cell>
          <cell r="L155" t="str">
            <v>Terminado</v>
          </cell>
        </row>
        <row r="156">
          <cell r="C156" t="str">
            <v>JSUC Buenaventura</v>
          </cell>
          <cell r="D156" t="str">
            <v>JSUC_00018</v>
          </cell>
          <cell r="E156">
            <v>45954</v>
          </cell>
          <cell r="F156">
            <v>9.8602270000000001</v>
          </cell>
          <cell r="G156">
            <v>-75.513565</v>
          </cell>
          <cell r="H156" t="str">
            <v>Sucre</v>
          </cell>
          <cell r="I156" t="str">
            <v>WOM</v>
          </cell>
          <cell r="J156" t="str">
            <v>COSTA</v>
          </cell>
          <cell r="K156" t="str">
            <v>Alfredo de la Cruz</v>
          </cell>
          <cell r="L156" t="str">
            <v>Terminado</v>
          </cell>
        </row>
        <row r="157">
          <cell r="C157" t="str">
            <v>JSUC El Chicho</v>
          </cell>
          <cell r="D157" t="str">
            <v>JSUC_00025</v>
          </cell>
          <cell r="E157">
            <v>45956</v>
          </cell>
          <cell r="F157">
            <v>9.6835909999999998</v>
          </cell>
          <cell r="G157">
            <v>-75.479393000000002</v>
          </cell>
          <cell r="H157" t="str">
            <v>Sucre</v>
          </cell>
          <cell r="I157" t="str">
            <v>WOM</v>
          </cell>
          <cell r="J157" t="str">
            <v>COSTA</v>
          </cell>
          <cell r="K157" t="str">
            <v>Alfredo de la Cruz</v>
          </cell>
          <cell r="L157" t="str">
            <v>Terminado</v>
          </cell>
        </row>
        <row r="158">
          <cell r="C158" t="str">
            <v>JCOR El Floral</v>
          </cell>
          <cell r="D158" t="str">
            <v>JCOR_00279</v>
          </cell>
          <cell r="E158">
            <v>45957</v>
          </cell>
          <cell r="F158">
            <v>8.7959490000000002</v>
          </cell>
          <cell r="G158">
            <v>-76.332999999999998</v>
          </cell>
          <cell r="H158" t="str">
            <v>Cordoba</v>
          </cell>
          <cell r="I158" t="str">
            <v>WOM</v>
          </cell>
          <cell r="J158" t="str">
            <v>COSTA</v>
          </cell>
          <cell r="K158" t="str">
            <v>Alfredo de la Cruz</v>
          </cell>
          <cell r="L158" t="str">
            <v>Terminado</v>
          </cell>
        </row>
        <row r="159">
          <cell r="C159" t="str">
            <v>CBTA Chia Bojaca</v>
          </cell>
          <cell r="D159" t="str">
            <v>CBTA_00736</v>
          </cell>
          <cell r="E159">
            <v>45930</v>
          </cell>
          <cell r="F159">
            <v>4.8884299999999996</v>
          </cell>
          <cell r="G159">
            <v>-74.041529999999995</v>
          </cell>
          <cell r="H159" t="str">
            <v>Cundinamarca</v>
          </cell>
          <cell r="I159" t="str">
            <v>WOM</v>
          </cell>
          <cell r="J159" t="str">
            <v>CENTRO SUR/ NORTE</v>
          </cell>
          <cell r="K159" t="str">
            <v>Jason Julian Melo</v>
          </cell>
          <cell r="L159" t="str">
            <v>Terminado</v>
          </cell>
        </row>
        <row r="160">
          <cell r="C160" t="str">
            <v>NAR Tumaco Av Ferrea</v>
          </cell>
          <cell r="D160" t="str">
            <v>NAR_02979</v>
          </cell>
          <cell r="E160">
            <v>45946</v>
          </cell>
          <cell r="F160">
            <v>1.8080000000000001</v>
          </cell>
          <cell r="G160">
            <v>-78.7714</v>
          </cell>
          <cell r="H160" t="str">
            <v>Nariño</v>
          </cell>
          <cell r="I160" t="str">
            <v>WOM</v>
          </cell>
          <cell r="J160" t="str">
            <v>SUROCCIDENTE</v>
          </cell>
          <cell r="K160" t="str">
            <v>Wilson Alejandro Solarte</v>
          </cell>
          <cell r="L160" t="str">
            <v>Terminado</v>
          </cell>
        </row>
        <row r="161">
          <cell r="C161" t="str">
            <v>JCOR El Castillo</v>
          </cell>
          <cell r="D161" t="str">
            <v>JCOR_00345</v>
          </cell>
          <cell r="E161">
            <v>45959</v>
          </cell>
          <cell r="F161">
            <v>9.3103899999999999</v>
          </cell>
          <cell r="G161">
            <v>-76.035600000000002</v>
          </cell>
          <cell r="H161" t="str">
            <v>Cordoba</v>
          </cell>
          <cell r="I161" t="str">
            <v>WOM</v>
          </cell>
          <cell r="J161" t="str">
            <v>COSTA</v>
          </cell>
          <cell r="K161" t="str">
            <v>Alfredo de la Cruz</v>
          </cell>
          <cell r="L161" t="str">
            <v>Terminado</v>
          </cell>
        </row>
        <row r="162">
          <cell r="C162" t="str">
            <v>BTA Guacani</v>
          </cell>
          <cell r="D162" t="str">
            <v>BTA_00185</v>
          </cell>
          <cell r="E162">
            <v>45965</v>
          </cell>
          <cell r="F162">
            <v>4.765765</v>
          </cell>
          <cell r="G162">
            <v>-74.051154999999994</v>
          </cell>
          <cell r="H162" t="str">
            <v>Cundinamarca</v>
          </cell>
          <cell r="I162" t="str">
            <v>WOM</v>
          </cell>
          <cell r="J162" t="str">
            <v>CENTRO SUR/ NORTE</v>
          </cell>
          <cell r="K162" t="str">
            <v>Jason Julian Melo</v>
          </cell>
          <cell r="L162" t="str">
            <v>Terminado</v>
          </cell>
        </row>
        <row r="163">
          <cell r="C163" t="str">
            <v>JMAG Campo Alegre</v>
          </cell>
          <cell r="D163" t="str">
            <v>JMAG_00201</v>
          </cell>
          <cell r="E163">
            <v>45980</v>
          </cell>
          <cell r="F163">
            <v>10.460224999999999</v>
          </cell>
          <cell r="G163">
            <v>-74.710645999999997</v>
          </cell>
          <cell r="H163" t="str">
            <v>Magdalena</v>
          </cell>
          <cell r="I163" t="str">
            <v>WOM</v>
          </cell>
          <cell r="J163" t="str">
            <v>COSTA</v>
          </cell>
          <cell r="K163" t="str">
            <v>Cesar Osorio</v>
          </cell>
          <cell r="L163" t="str">
            <v>Terminado</v>
          </cell>
        </row>
        <row r="164">
          <cell r="C164" t="str">
            <v>JGUA La Duda</v>
          </cell>
          <cell r="D164" t="str">
            <v>JGUA_00226</v>
          </cell>
          <cell r="E164">
            <v>45978</v>
          </cell>
          <cell r="F164">
            <v>10.827248900000001</v>
          </cell>
          <cell r="G164">
            <v>-72.897621000000001</v>
          </cell>
          <cell r="H164" t="str">
            <v>La Guajira</v>
          </cell>
          <cell r="I164" t="str">
            <v>WOM</v>
          </cell>
          <cell r="J164" t="str">
            <v>COSTA</v>
          </cell>
          <cell r="K164" t="str">
            <v>Diego Fernando Cepeda</v>
          </cell>
          <cell r="L164" t="str">
            <v>Terminado</v>
          </cell>
        </row>
        <row r="165">
          <cell r="C165" t="str">
            <v>JSUC Siete Palmas</v>
          </cell>
          <cell r="D165" t="str">
            <v>JSUC_00115</v>
          </cell>
          <cell r="E165">
            <v>45973</v>
          </cell>
          <cell r="F165">
            <v>8.7429199999999998</v>
          </cell>
          <cell r="G165">
            <v>-75.187515000000005</v>
          </cell>
          <cell r="H165" t="str">
            <v>Sucre</v>
          </cell>
          <cell r="I165" t="str">
            <v>WOM</v>
          </cell>
          <cell r="J165" t="str">
            <v>COSTA</v>
          </cell>
          <cell r="K165" t="str">
            <v>Cesar Osorio</v>
          </cell>
          <cell r="L165" t="str">
            <v>Terminado</v>
          </cell>
        </row>
        <row r="166">
          <cell r="C166" t="str">
            <v>JCOR El Guineo</v>
          </cell>
          <cell r="D166" t="str">
            <v>JCOR_00395</v>
          </cell>
          <cell r="E166">
            <v>45939</v>
          </cell>
          <cell r="F166">
            <v>8.7938799999999997</v>
          </cell>
          <cell r="G166">
            <v>-76.147499999999994</v>
          </cell>
          <cell r="H166" t="str">
            <v>Cordoba</v>
          </cell>
          <cell r="I166" t="str">
            <v>WOM</v>
          </cell>
          <cell r="J166" t="str">
            <v>COSTA</v>
          </cell>
          <cell r="K166" t="str">
            <v>Alfredo de la Cruz</v>
          </cell>
          <cell r="L166" t="str">
            <v>Terminado</v>
          </cell>
        </row>
        <row r="167">
          <cell r="C167" t="str">
            <v>JCOR San Rafael</v>
          </cell>
          <cell r="D167" t="str">
            <v>JCOR_00170</v>
          </cell>
          <cell r="E167">
            <v>45939</v>
          </cell>
          <cell r="F167">
            <v>8.6954700000000003</v>
          </cell>
          <cell r="G167">
            <v>-76.123750000000001</v>
          </cell>
          <cell r="H167" t="str">
            <v>Cordoba</v>
          </cell>
          <cell r="I167" t="str">
            <v>WOM</v>
          </cell>
          <cell r="J167" t="str">
            <v>COSTA</v>
          </cell>
          <cell r="K167" t="str">
            <v>Alfredo de la Cruz</v>
          </cell>
          <cell r="L167" t="str">
            <v>Terminado</v>
          </cell>
        </row>
        <row r="168">
          <cell r="C168" t="str">
            <v>JCOR Puerto Belen</v>
          </cell>
          <cell r="D168" t="str">
            <v>JCOR_00016</v>
          </cell>
          <cell r="E168">
            <v>46000</v>
          </cell>
          <cell r="F168">
            <v>7.83779</v>
          </cell>
          <cell r="G168">
            <v>-75.817779999999999</v>
          </cell>
          <cell r="H168" t="str">
            <v>Cordoba</v>
          </cell>
          <cell r="I168" t="str">
            <v>WOM-HUAWEI</v>
          </cell>
          <cell r="J168" t="str">
            <v>NOROCCIDENTE</v>
          </cell>
          <cell r="K168" t="str">
            <v>Cesar Osorio</v>
          </cell>
          <cell r="L168" t="str">
            <v>Terminado</v>
          </cell>
        </row>
        <row r="169">
          <cell r="C169" t="str">
            <v>JSUC El Mamon</v>
          </cell>
          <cell r="D169" t="str">
            <v>JSUC_00127</v>
          </cell>
          <cell r="E169">
            <v>45997</v>
          </cell>
          <cell r="F169">
            <v>10.460224999999999</v>
          </cell>
          <cell r="G169">
            <v>-74.710645999999997</v>
          </cell>
          <cell r="H169" t="str">
            <v>Magdalena</v>
          </cell>
          <cell r="I169" t="str">
            <v>WOM-HUAWEI</v>
          </cell>
          <cell r="J169" t="str">
            <v>COSTA</v>
          </cell>
          <cell r="K169" t="str">
            <v>Cesar Osorio</v>
          </cell>
          <cell r="L169" t="str">
            <v>Terminado</v>
          </cell>
        </row>
        <row r="170">
          <cell r="C170" t="str">
            <v>MTR La Palma</v>
          </cell>
          <cell r="D170" t="str">
            <v>MTR_03327</v>
          </cell>
          <cell r="E170">
            <v>45972</v>
          </cell>
          <cell r="F170">
            <v>8.7538</v>
          </cell>
          <cell r="G170">
            <v>-75.911699999999996</v>
          </cell>
          <cell r="H170" t="str">
            <v>Cordoba</v>
          </cell>
          <cell r="I170" t="str">
            <v>WOM-HUAWEI</v>
          </cell>
          <cell r="J170" t="str">
            <v>NOROCCIDENTE</v>
          </cell>
          <cell r="K170" t="str">
            <v>Cesar Osorio</v>
          </cell>
          <cell r="L170" t="str">
            <v>Terminado</v>
          </cell>
        </row>
        <row r="171">
          <cell r="C171" t="str">
            <v>JPUT Los Llanos</v>
          </cell>
          <cell r="D171" t="str">
            <v>JPUT_00063</v>
          </cell>
          <cell r="E171">
            <v>46029</v>
          </cell>
          <cell r="F171">
            <v>0.35470299999999999</v>
          </cell>
          <cell r="G171">
            <v>-77.058406000000005</v>
          </cell>
          <cell r="H171" t="str">
            <v>Putumayo</v>
          </cell>
          <cell r="I171" t="str">
            <v>WOM-HUAWEI</v>
          </cell>
          <cell r="K171" t="str">
            <v>Maria Camila Torres</v>
          </cell>
          <cell r="L171" t="str">
            <v>Terminado</v>
          </cell>
        </row>
        <row r="172">
          <cell r="C172" t="str">
            <v>Bta Aures</v>
          </cell>
          <cell r="D172" t="str">
            <v>BTA_03731</v>
          </cell>
          <cell r="E172">
            <v>45913</v>
          </cell>
          <cell r="F172">
            <v>4.7317920000000004</v>
          </cell>
          <cell r="G172">
            <v>-74.095896999999994</v>
          </cell>
          <cell r="H172" t="str">
            <v>Cundinamarca</v>
          </cell>
          <cell r="I172" t="str">
            <v>WOM</v>
          </cell>
          <cell r="J172" t="str">
            <v>CENTRO SUR/ NORTE</v>
          </cell>
          <cell r="K172" t="str">
            <v>Jason Julian Melo</v>
          </cell>
          <cell r="L172" t="str">
            <v>Terminado</v>
          </cell>
        </row>
        <row r="173">
          <cell r="C173" t="str">
            <v>CLI Piedra Grande B</v>
          </cell>
          <cell r="D173" t="str">
            <v>CLI_01711</v>
          </cell>
          <cell r="E173">
            <v>45901</v>
          </cell>
          <cell r="H173" t="str">
            <v>Valle del Cauca</v>
          </cell>
          <cell r="I173" t="str">
            <v>UNIRED</v>
          </cell>
          <cell r="J173" t="str">
            <v>SUR</v>
          </cell>
          <cell r="K173" t="str">
            <v>Wilson Alejandro Solarte</v>
          </cell>
          <cell r="L173" t="str">
            <v>Terminado</v>
          </cell>
        </row>
        <row r="174">
          <cell r="C174" t="str">
            <v>JCOR PUEBLO BUHO</v>
          </cell>
          <cell r="D174" t="str">
            <v>JCOR_00104</v>
          </cell>
          <cell r="E174">
            <v>46014</v>
          </cell>
          <cell r="F174">
            <v>8.6066000000000003</v>
          </cell>
          <cell r="G174">
            <v>-76.152349999999998</v>
          </cell>
          <cell r="H174" t="str">
            <v>Cordoba</v>
          </cell>
          <cell r="I174" t="str">
            <v>WOM-HUAWEI</v>
          </cell>
          <cell r="K174" t="str">
            <v>Cesar Osorio</v>
          </cell>
          <cell r="L174" t="str">
            <v>Terminado</v>
          </cell>
        </row>
        <row r="175">
          <cell r="C175" t="str">
            <v>JSUC Pita Abajo</v>
          </cell>
          <cell r="D175" t="str">
            <v>JSUC_00037</v>
          </cell>
          <cell r="E175">
            <v>45980</v>
          </cell>
          <cell r="F175">
            <v>9.6295090000000005</v>
          </cell>
          <cell r="G175">
            <v>-75.510982999999996</v>
          </cell>
          <cell r="H175" t="str">
            <v>Sucre</v>
          </cell>
          <cell r="I175" t="str">
            <v>WOM</v>
          </cell>
          <cell r="J175" t="str">
            <v>COSTA</v>
          </cell>
          <cell r="K175" t="str">
            <v>Alfredo de la Cruz</v>
          </cell>
          <cell r="L175" t="str">
            <v>Terminado</v>
          </cell>
        </row>
        <row r="176">
          <cell r="C176" t="str">
            <v>CLI Ciudad Los Alamos</v>
          </cell>
          <cell r="D176" t="str">
            <v>CLI_01014</v>
          </cell>
          <cell r="E176">
            <v>46027</v>
          </cell>
          <cell r="F176">
            <v>3485</v>
          </cell>
          <cell r="G176">
            <v>-7651235</v>
          </cell>
          <cell r="H176" t="str">
            <v>Valle del Cauca</v>
          </cell>
          <cell r="I176" t="str">
            <v>WOM-HUAWEI</v>
          </cell>
          <cell r="J176" t="str">
            <v>SUROCCIDENTE</v>
          </cell>
          <cell r="K176" t="str">
            <v>Alejandro Sanchez</v>
          </cell>
          <cell r="L176" t="str">
            <v>Terminado</v>
          </cell>
        </row>
        <row r="177">
          <cell r="C177" t="str">
            <v>CCLI Yumbo Zona Industrial I</v>
          </cell>
          <cell r="D177" t="str">
            <v>CCLI_02378</v>
          </cell>
          <cell r="E177">
            <v>46029</v>
          </cell>
          <cell r="F177">
            <v>351075</v>
          </cell>
          <cell r="G177">
            <v>-7651192</v>
          </cell>
          <cell r="H177" t="str">
            <v>Valle del Cauca</v>
          </cell>
          <cell r="I177" t="str">
            <v>WOM-HUAWEI</v>
          </cell>
          <cell r="J177" t="str">
            <v>SUROCCIDENTE</v>
          </cell>
          <cell r="K177" t="str">
            <v>Alejandro Sanchez</v>
          </cell>
          <cell r="L177" t="str">
            <v>Terminado</v>
          </cell>
        </row>
        <row r="178">
          <cell r="C178" t="str">
            <v>JCOR Heredia</v>
          </cell>
          <cell r="D178" t="str">
            <v>JCOR_00252</v>
          </cell>
          <cell r="E178">
            <v>46037</v>
          </cell>
          <cell r="F178">
            <v>903903</v>
          </cell>
          <cell r="G178">
            <v>-7536612</v>
          </cell>
          <cell r="H178" t="str">
            <v>Cordoba</v>
          </cell>
          <cell r="I178" t="str">
            <v>WOM-HUAWEI</v>
          </cell>
          <cell r="J178" t="str">
            <v>COSTA</v>
          </cell>
          <cell r="K178" t="str">
            <v>Cesar Osorio</v>
          </cell>
          <cell r="L178" t="str">
            <v>Terminado</v>
          </cell>
        </row>
        <row r="179">
          <cell r="C179" t="str">
            <v>CAL_MELENDEZ</v>
          </cell>
          <cell r="D179" t="str">
            <v>CAL-350022</v>
          </cell>
          <cell r="E179">
            <v>46038</v>
          </cell>
          <cell r="F179">
            <v>3.3723399999999999</v>
          </cell>
          <cell r="G179">
            <v>-76.549199999999999</v>
          </cell>
          <cell r="H179" t="str">
            <v>Valle del Cauca</v>
          </cell>
          <cell r="I179" t="str">
            <v>UNIRED</v>
          </cell>
          <cell r="J179" t="str">
            <v>SUROCCIDENTE</v>
          </cell>
          <cell r="K179" t="str">
            <v>Wilson Alejandro Solarte</v>
          </cell>
          <cell r="L179" t="str">
            <v>Terminado</v>
          </cell>
        </row>
        <row r="180">
          <cell r="C180" t="str">
            <v>CAL_VIPASA</v>
          </cell>
          <cell r="D180" t="str">
            <v>CAL0006</v>
          </cell>
          <cell r="E180">
            <v>46038</v>
          </cell>
          <cell r="F180">
            <v>3.4848300000000001</v>
          </cell>
          <cell r="G180">
            <v>-76.51961</v>
          </cell>
          <cell r="H180" t="str">
            <v>Valle del Cauca</v>
          </cell>
          <cell r="I180" t="str">
            <v>UNIRED</v>
          </cell>
          <cell r="J180" t="str">
            <v>SUROCCIDENTE</v>
          </cell>
          <cell r="K180" t="str">
            <v>Wilson Alejandro Solarte</v>
          </cell>
          <cell r="L180" t="str">
            <v>Terminado</v>
          </cell>
        </row>
        <row r="181">
          <cell r="C181" t="str">
            <v>CAL-PALMERAS</v>
          </cell>
          <cell r="D181" t="str">
            <v xml:space="preserve">CAL-350682 </v>
          </cell>
          <cell r="E181">
            <v>46038</v>
          </cell>
          <cell r="F181">
            <v>3.4848300000000001</v>
          </cell>
          <cell r="G181">
            <v>-76.51961</v>
          </cell>
          <cell r="H181" t="str">
            <v>Valle del Cauca</v>
          </cell>
          <cell r="I181" t="str">
            <v>UNIRED</v>
          </cell>
          <cell r="J181" t="str">
            <v>SUROCCIDENTE</v>
          </cell>
          <cell r="K181" t="str">
            <v>Wilson Alejandro Solarte</v>
          </cell>
          <cell r="L181" t="str">
            <v>Terminado</v>
          </cell>
        </row>
        <row r="182">
          <cell r="C182" t="str">
            <v>ANT RMW El Organo</v>
          </cell>
          <cell r="D182" t="str">
            <v>ANT_20002</v>
          </cell>
          <cell r="E182">
            <v>46038</v>
          </cell>
          <cell r="F182">
            <v>625798400</v>
          </cell>
          <cell r="G182" t="str">
            <v>-7,540,810,100</v>
          </cell>
          <cell r="H182" t="str">
            <v>Antioquia</v>
          </cell>
          <cell r="I182" t="str">
            <v>WOM-HUAWEI</v>
          </cell>
          <cell r="J182" t="str">
            <v>NOROCCIDENTE</v>
          </cell>
          <cell r="K182" t="str">
            <v>Alejandro Sanchez</v>
          </cell>
          <cell r="L182" t="str">
            <v>Terminado</v>
          </cell>
        </row>
        <row r="183">
          <cell r="C183" t="str">
            <v>JANT San Antonio</v>
          </cell>
          <cell r="D183" t="str">
            <v>JANT_00177</v>
          </cell>
          <cell r="E183">
            <v>46032</v>
          </cell>
          <cell r="F183">
            <v>654664</v>
          </cell>
          <cell r="G183">
            <v>-7594187</v>
          </cell>
          <cell r="H183" t="str">
            <v>Antioquia</v>
          </cell>
          <cell r="I183" t="str">
            <v>WOM-HUAWEI</v>
          </cell>
          <cell r="J183" t="str">
            <v>NOROCCIDENTE</v>
          </cell>
          <cell r="K183" t="str">
            <v>Alejandro Sanchez</v>
          </cell>
          <cell r="L183" t="str">
            <v>Terminado</v>
          </cell>
        </row>
        <row r="184">
          <cell r="C184" t="str">
            <v>JANT Laureles</v>
          </cell>
          <cell r="D184" t="str">
            <v>JANT_00086</v>
          </cell>
          <cell r="E184">
            <v>46033</v>
          </cell>
          <cell r="F184">
            <v>649446</v>
          </cell>
          <cell r="G184">
            <v>-7594556</v>
          </cell>
          <cell r="H184" t="str">
            <v>Antioquia</v>
          </cell>
          <cell r="I184" t="str">
            <v>WOM-HUAWEI</v>
          </cell>
          <cell r="J184" t="str">
            <v>NOROCCIDENTE</v>
          </cell>
          <cell r="K184" t="str">
            <v>Alejandro Sanchez</v>
          </cell>
          <cell r="L184" t="str">
            <v>Terminado</v>
          </cell>
        </row>
        <row r="185">
          <cell r="C185" t="str">
            <v>JANT La Aldea</v>
          </cell>
          <cell r="D185" t="str">
            <v>JANT_00265</v>
          </cell>
          <cell r="E185">
            <v>46034</v>
          </cell>
          <cell r="F185">
            <v>659692</v>
          </cell>
          <cell r="G185">
            <v>-7592443</v>
          </cell>
          <cell r="H185" t="str">
            <v>Antioquia</v>
          </cell>
          <cell r="I185" t="str">
            <v>WOM-HUAWEI</v>
          </cell>
          <cell r="J185" t="str">
            <v>NOROCCIDENTE</v>
          </cell>
          <cell r="K185" t="str">
            <v>Alejandro Sanchez</v>
          </cell>
          <cell r="L185" t="str">
            <v>Terminado</v>
          </cell>
        </row>
        <row r="186">
          <cell r="C186" t="str">
            <v xml:space="preserve">JCOR El limon </v>
          </cell>
          <cell r="D186" t="str">
            <v>JCOR_00166</v>
          </cell>
          <cell r="E186">
            <v>46035</v>
          </cell>
          <cell r="F186">
            <v>8710102</v>
          </cell>
          <cell r="G186">
            <v>-76266599</v>
          </cell>
          <cell r="H186" t="str">
            <v>Cordoba</v>
          </cell>
          <cell r="I186" t="str">
            <v>WOM-HUAWEI</v>
          </cell>
          <cell r="J186" t="str">
            <v>COSTA</v>
          </cell>
          <cell r="K186" t="str">
            <v>Cesar Osorio</v>
          </cell>
          <cell r="L186" t="str">
            <v>Terminado</v>
          </cell>
        </row>
        <row r="187">
          <cell r="C187" t="str">
            <v>JCOR Las Guamas</v>
          </cell>
          <cell r="D187" t="str">
            <v>JCOR_00344</v>
          </cell>
          <cell r="E187">
            <v>46037</v>
          </cell>
          <cell r="F187">
            <v>853765</v>
          </cell>
          <cell r="G187">
            <v>-753289</v>
          </cell>
          <cell r="H187" t="str">
            <v>Cordoba</v>
          </cell>
          <cell r="I187" t="str">
            <v>WOM-HUAWEI</v>
          </cell>
          <cell r="J187" t="str">
            <v>COSTA</v>
          </cell>
          <cell r="K187" t="str">
            <v>Cesar Osorio</v>
          </cell>
          <cell r="L187" t="str">
            <v>Terminado</v>
          </cell>
        </row>
        <row r="188">
          <cell r="C188" t="str">
            <v>JCOR Las Delicias</v>
          </cell>
          <cell r="D188" t="str">
            <v>JCOR_00358</v>
          </cell>
          <cell r="E188">
            <v>46041</v>
          </cell>
          <cell r="F188">
            <v>813013</v>
          </cell>
          <cell r="G188">
            <v>-7611194</v>
          </cell>
          <cell r="H188" t="str">
            <v>Cordoba</v>
          </cell>
          <cell r="I188" t="str">
            <v>WOM-HUAWEI</v>
          </cell>
          <cell r="J188" t="str">
            <v>COSTA</v>
          </cell>
          <cell r="K188" t="str">
            <v>Cesar Osorio</v>
          </cell>
          <cell r="L188" t="str">
            <v>Terminado</v>
          </cell>
        </row>
        <row r="189">
          <cell r="C189" t="str">
            <v>JCOR Maracayo</v>
          </cell>
          <cell r="D189" t="str">
            <v>JCOR_00251</v>
          </cell>
          <cell r="E189">
            <v>46040</v>
          </cell>
          <cell r="F189">
            <v>841595</v>
          </cell>
          <cell r="G189">
            <v>-7589142</v>
          </cell>
          <cell r="H189" t="str">
            <v>Cordoba</v>
          </cell>
          <cell r="I189" t="str">
            <v>WOM-HUAWEI</v>
          </cell>
          <cell r="J189" t="str">
            <v>COSTA</v>
          </cell>
          <cell r="K189" t="str">
            <v>Cesar Osorio</v>
          </cell>
          <cell r="L189" t="str">
            <v>Terminado</v>
          </cell>
        </row>
        <row r="190">
          <cell r="C190" t="str">
            <v>JCOR Maquencal</v>
          </cell>
          <cell r="D190" t="str">
            <v>JCOR_00167</v>
          </cell>
          <cell r="E190">
            <v>46039</v>
          </cell>
          <cell r="F190">
            <v>842413</v>
          </cell>
          <cell r="G190">
            <v>-7569858</v>
          </cell>
          <cell r="H190" t="str">
            <v>Cordoba</v>
          </cell>
          <cell r="I190" t="str">
            <v>WOM-HUAWEI</v>
          </cell>
          <cell r="J190" t="str">
            <v>COSTA</v>
          </cell>
          <cell r="K190" t="str">
            <v>Cesar Osorio</v>
          </cell>
          <cell r="L190" t="str">
            <v>Terminado</v>
          </cell>
        </row>
        <row r="191">
          <cell r="C191" t="str">
            <v>JCOR Loma de Piedra B</v>
          </cell>
          <cell r="D191" t="str">
            <v>JCOR_00403</v>
          </cell>
          <cell r="E191">
            <v>46038</v>
          </cell>
          <cell r="F191">
            <v>8419699</v>
          </cell>
          <cell r="G191">
            <v>-75455431</v>
          </cell>
          <cell r="H191" t="str">
            <v>Cordoba</v>
          </cell>
          <cell r="I191" t="str">
            <v>WOM-HUAWEI</v>
          </cell>
          <cell r="J191" t="str">
            <v>COSTA</v>
          </cell>
          <cell r="K191" t="str">
            <v>Cesar Osorio</v>
          </cell>
          <cell r="L191" t="str">
            <v>Terminado</v>
          </cell>
        </row>
        <row r="192">
          <cell r="C192" t="str">
            <v>JCOR Los Borrachos</v>
          </cell>
          <cell r="D192" t="str">
            <v>JCOR_00029</v>
          </cell>
          <cell r="E192">
            <v>46036</v>
          </cell>
          <cell r="F192">
            <v>906493</v>
          </cell>
          <cell r="G192">
            <v>-7573013</v>
          </cell>
          <cell r="H192" t="str">
            <v>Cordoba</v>
          </cell>
          <cell r="I192" t="str">
            <v>WOM-HUAWEI</v>
          </cell>
          <cell r="J192" t="str">
            <v>COSTA</v>
          </cell>
          <cell r="K192" t="str">
            <v>Cesar Osorio</v>
          </cell>
          <cell r="L192" t="str">
            <v>Terminado</v>
          </cell>
        </row>
        <row r="193">
          <cell r="C193" t="str">
            <v>JCOR Manantiales</v>
          </cell>
          <cell r="D193" t="str">
            <v>JCOR_00123</v>
          </cell>
          <cell r="E193">
            <v>46042</v>
          </cell>
          <cell r="F193">
            <v>8050228</v>
          </cell>
          <cell r="G193">
            <v>-76081606</v>
          </cell>
          <cell r="H193" t="str">
            <v>Cordoba</v>
          </cell>
          <cell r="I193" t="str">
            <v>WOM-HUAWEI</v>
          </cell>
          <cell r="J193" t="str">
            <v>COSTA</v>
          </cell>
          <cell r="K193" t="str">
            <v>Cesar Osorio</v>
          </cell>
          <cell r="L193" t="str">
            <v>Terminado</v>
          </cell>
        </row>
        <row r="194">
          <cell r="C194" t="str">
            <v>MANTENIMIENTO TORRES RIENDADAS</v>
          </cell>
        </row>
        <row r="195">
          <cell r="C195" t="str">
            <v>PUERTO GAITAN SUR</v>
          </cell>
          <cell r="D195" t="str">
            <v>MET-450053</v>
          </cell>
          <cell r="E195">
            <v>46045</v>
          </cell>
          <cell r="F195">
            <v>4.3076002500000001</v>
          </cell>
          <cell r="G195">
            <v>-72.085263420000004</v>
          </cell>
          <cell r="H195" t="str">
            <v>Meta</v>
          </cell>
          <cell r="I195" t="str">
            <v>UNIRED</v>
          </cell>
          <cell r="J195" t="str">
            <v>ORIENTE</v>
          </cell>
          <cell r="K195" t="str">
            <v>Javier Leonardo Vega</v>
          </cell>
          <cell r="L195" t="str">
            <v>Terminado</v>
          </cell>
        </row>
        <row r="196">
          <cell r="C196" t="str">
            <v>JANT CIENAGUITA</v>
          </cell>
          <cell r="D196" t="str">
            <v>JANT_00315</v>
          </cell>
          <cell r="E196">
            <v>46038</v>
          </cell>
          <cell r="F196" t="str">
            <v>N/A</v>
          </cell>
          <cell r="G196" t="str">
            <v>N/A</v>
          </cell>
          <cell r="H196" t="str">
            <v>Antioquia</v>
          </cell>
          <cell r="I196" t="str">
            <v>WOM-HUAWEI</v>
          </cell>
          <cell r="J196" t="str">
            <v>NOROCCIDENTE</v>
          </cell>
          <cell r="K196" t="str">
            <v>Alejandro Sanchez</v>
          </cell>
          <cell r="L196" t="str">
            <v>Terminado</v>
          </cell>
        </row>
        <row r="197">
          <cell r="C197" t="str">
            <v>BTA La Capuchina</v>
          </cell>
          <cell r="D197" t="str">
            <v>BTA_00214</v>
          </cell>
          <cell r="E197">
            <v>46035</v>
          </cell>
          <cell r="F197">
            <v>4.6023630000000004</v>
          </cell>
          <cell r="G197">
            <v>-74.077735000000004</v>
          </cell>
          <cell r="H197" t="str">
            <v>Cundinamarca</v>
          </cell>
          <cell r="I197" t="str">
            <v>WOM-HUAWEI</v>
          </cell>
          <cell r="J197" t="str">
            <v>CENTRO SUR/ NORTE</v>
          </cell>
          <cell r="K197" t="str">
            <v>Maria Camila Torres</v>
          </cell>
          <cell r="L197" t="str">
            <v>Terminado</v>
          </cell>
        </row>
        <row r="198">
          <cell r="C198" t="str">
            <v>Bosque-Cartagena</v>
          </cell>
          <cell r="D198" t="str">
            <v>Tlf_ S20120</v>
          </cell>
          <cell r="E198">
            <v>46028</v>
          </cell>
          <cell r="F198" t="str">
            <v>N/A</v>
          </cell>
          <cell r="G198" t="str">
            <v>N/A</v>
          </cell>
          <cell r="H198" t="str">
            <v>Atlantico</v>
          </cell>
          <cell r="I198" t="str">
            <v>TELEFONICA</v>
          </cell>
          <cell r="J198" t="str">
            <v>COSTA</v>
          </cell>
          <cell r="K198" t="str">
            <v>Jarbys arturo Fernández florez</v>
          </cell>
          <cell r="L198" t="str">
            <v>Terminado</v>
          </cell>
        </row>
        <row r="199">
          <cell r="C199" t="str">
            <v>SANTA INES</v>
          </cell>
          <cell r="D199" t="str">
            <v>NEI-400064</v>
          </cell>
          <cell r="E199">
            <v>46024</v>
          </cell>
          <cell r="F199">
            <v>2.9522900000000001</v>
          </cell>
          <cell r="G199">
            <v>-75.301100000000005</v>
          </cell>
          <cell r="H199" t="str">
            <v>Huila</v>
          </cell>
          <cell r="I199" t="str">
            <v>UNIRED</v>
          </cell>
          <cell r="J199" t="str">
            <v>CENTRO SUR/ NORTE</v>
          </cell>
          <cell r="K199" t="str">
            <v>Javier Leonardo Vega</v>
          </cell>
          <cell r="L199" t="str">
            <v>Terminado</v>
          </cell>
        </row>
        <row r="200">
          <cell r="C200" t="str">
            <v>PELU-BARRANQUILLA</v>
          </cell>
          <cell r="D200" t="str">
            <v>TLF_S11119</v>
          </cell>
          <cell r="E200">
            <v>46043</v>
          </cell>
          <cell r="F200" t="str">
            <v>N/A</v>
          </cell>
          <cell r="G200" t="str">
            <v>N/A</v>
          </cell>
          <cell r="H200" t="str">
            <v>Atlantico</v>
          </cell>
          <cell r="I200" t="str">
            <v>TELEFONICA</v>
          </cell>
          <cell r="J200" t="str">
            <v>COSTA</v>
          </cell>
          <cell r="K200" t="str">
            <v>Jarbys arturo Fernández florez</v>
          </cell>
          <cell r="L200" t="str">
            <v>Terminado</v>
          </cell>
        </row>
        <row r="201">
          <cell r="C201" t="str">
            <v>BOY EL CUBO _ LINEA DE VIDA</v>
          </cell>
          <cell r="D201" t="str">
            <v>JBOY_00306</v>
          </cell>
          <cell r="E201">
            <v>46047</v>
          </cell>
          <cell r="F201">
            <v>5.5450999999999997</v>
          </cell>
          <cell r="G201">
            <v>-73.888499999999993</v>
          </cell>
          <cell r="H201" t="str">
            <v>Boyaca</v>
          </cell>
          <cell r="I201" t="str">
            <v>WOM-HUAWEI</v>
          </cell>
          <cell r="J201" t="str">
            <v>CENTRO SUR/ NORTE</v>
          </cell>
          <cell r="K201" t="str">
            <v>Diego Fernando Cepeda</v>
          </cell>
          <cell r="L201" t="str">
            <v>Terminado</v>
          </cell>
        </row>
        <row r="202">
          <cell r="C202" t="str">
            <v>TIENDA WOM FONSECA</v>
          </cell>
          <cell r="D202" t="str">
            <v>N/A</v>
          </cell>
          <cell r="E202">
            <v>46042</v>
          </cell>
          <cell r="F202" t="str">
            <v>N/A</v>
          </cell>
          <cell r="G202" t="str">
            <v>N/A</v>
          </cell>
          <cell r="H202" t="str">
            <v>La Guajira</v>
          </cell>
          <cell r="I202" t="str">
            <v>WOM</v>
          </cell>
          <cell r="J202" t="str">
            <v>COSTA</v>
          </cell>
          <cell r="K202" t="str">
            <v>Luciano Rubio</v>
          </cell>
          <cell r="L202" t="str">
            <v>Terminado</v>
          </cell>
        </row>
        <row r="203">
          <cell r="C203" t="str">
            <v xml:space="preserve">SANTA ROSA DE VITERBO </v>
          </cell>
          <cell r="D203" t="str">
            <v>S18131</v>
          </cell>
          <cell r="E203">
            <v>46032</v>
          </cell>
          <cell r="F203">
            <v>5.8739999999999997</v>
          </cell>
          <cell r="G203">
            <v>-72.981999999999999</v>
          </cell>
          <cell r="H203" t="str">
            <v>Boyaca</v>
          </cell>
          <cell r="I203" t="str">
            <v>UNIRED</v>
          </cell>
          <cell r="J203" t="str">
            <v>CENTRO SUR/ NORTE</v>
          </cell>
          <cell r="K203" t="str">
            <v>Carlos Eduardo Montoya</v>
          </cell>
          <cell r="L203" t="str">
            <v>Terminado</v>
          </cell>
        </row>
        <row r="204">
          <cell r="C204" t="str">
            <v>HUI Centro</v>
          </cell>
          <cell r="D204" t="str">
            <v>HUI_06200</v>
          </cell>
          <cell r="E204">
            <v>46033</v>
          </cell>
          <cell r="F204">
            <v>2.2027600000000001</v>
          </cell>
          <cell r="G204">
            <v>-75.637500000000003</v>
          </cell>
          <cell r="H204" t="str">
            <v>Huila</v>
          </cell>
          <cell r="I204" t="str">
            <v>WOM-HUAWEI</v>
          </cell>
          <cell r="J204" t="str">
            <v>CENTRO SUR/ NORTE</v>
          </cell>
          <cell r="K204" t="str">
            <v>Alejandro Sanchez</v>
          </cell>
          <cell r="L204" t="str">
            <v>Terminado</v>
          </cell>
        </row>
        <row r="205">
          <cell r="C205" t="str">
            <v>NEI LOS ALPES</v>
          </cell>
          <cell r="D205" t="str">
            <v>NEI_04773</v>
          </cell>
          <cell r="E205">
            <v>46032</v>
          </cell>
          <cell r="F205">
            <v>2.9234100000000001</v>
          </cell>
          <cell r="G205">
            <v>-75.262900000000002</v>
          </cell>
          <cell r="H205" t="str">
            <v>Huila</v>
          </cell>
          <cell r="I205" t="str">
            <v>WOM-HUAWEI</v>
          </cell>
          <cell r="J205" t="str">
            <v>CENTRO SUR/ NORTE</v>
          </cell>
          <cell r="K205" t="str">
            <v>Alejandro Sanchez</v>
          </cell>
          <cell r="L205" t="str">
            <v>Terminado</v>
          </cell>
        </row>
        <row r="206">
          <cell r="C206" t="str">
            <v>NEI Ciudadela Acropolis</v>
          </cell>
          <cell r="D206" t="str">
            <v>NEI_04419</v>
          </cell>
          <cell r="E206">
            <v>46024</v>
          </cell>
          <cell r="F206">
            <v>2.95221365</v>
          </cell>
          <cell r="G206">
            <v>-75.301105739999997</v>
          </cell>
          <cell r="H206" t="str">
            <v>Huila</v>
          </cell>
          <cell r="I206" t="str">
            <v>WOM-HUAWEI</v>
          </cell>
          <cell r="J206" t="str">
            <v>NOROCCIDENTE</v>
          </cell>
          <cell r="K206" t="str">
            <v>Alejandro Sanchez</v>
          </cell>
          <cell r="L206" t="str">
            <v>Terminado</v>
          </cell>
        </row>
        <row r="207">
          <cell r="C207" t="str">
            <v>NEI Ciudadela Acropolis</v>
          </cell>
          <cell r="D207" t="str">
            <v>NEI_04419</v>
          </cell>
          <cell r="E207">
            <v>46024</v>
          </cell>
          <cell r="F207">
            <v>2.95221365</v>
          </cell>
          <cell r="G207">
            <v>-75.301105739999997</v>
          </cell>
          <cell r="H207" t="str">
            <v>Huila</v>
          </cell>
          <cell r="I207" t="str">
            <v>WOM-HUAWEI</v>
          </cell>
          <cell r="J207" t="str">
            <v>NOROCCIDENTE</v>
          </cell>
          <cell r="K207" t="str">
            <v>Alejandro Sanchez</v>
          </cell>
          <cell r="L207" t="str">
            <v>Terminado</v>
          </cell>
        </row>
        <row r="208">
          <cell r="C208" t="str">
            <v>CMED Yarumito</v>
          </cell>
          <cell r="D208" t="str">
            <v xml:space="preserve"> CMED_03626</v>
          </cell>
          <cell r="E208">
            <v>46030</v>
          </cell>
          <cell r="F208" t="str">
            <v>N/A</v>
          </cell>
          <cell r="G208" t="str">
            <v>N/A</v>
          </cell>
          <cell r="H208" t="str">
            <v>Antioquia</v>
          </cell>
          <cell r="I208" t="str">
            <v>WOM-HUAWEI</v>
          </cell>
          <cell r="J208" t="str">
            <v>NOROCCIDENTE</v>
          </cell>
          <cell r="K208" t="str">
            <v>Alejandro Sanchez</v>
          </cell>
          <cell r="L208" t="str">
            <v>Terminado</v>
          </cell>
        </row>
        <row r="209">
          <cell r="C209" t="str">
            <v>Suchima</v>
          </cell>
          <cell r="D209" t="str">
            <v>RIO-110031</v>
          </cell>
          <cell r="E209">
            <v>46025</v>
          </cell>
          <cell r="F209">
            <v>11.544</v>
          </cell>
          <cell r="G209">
            <v>-72.908000000000001</v>
          </cell>
          <cell r="H209" t="str">
            <v>La Guajira</v>
          </cell>
          <cell r="I209" t="str">
            <v>UNIRED</v>
          </cell>
          <cell r="J209" t="str">
            <v>NOROCCIDENTE</v>
          </cell>
          <cell r="K209" t="str">
            <v>Alfredo de la Cruz</v>
          </cell>
          <cell r="L209" t="str">
            <v>Terminado</v>
          </cell>
        </row>
        <row r="210">
          <cell r="C210" t="str">
            <v>ANT Alto de La Virgen</v>
          </cell>
          <cell r="D210" t="str">
            <v>ANT_06569</v>
          </cell>
          <cell r="E210">
            <v>46048</v>
          </cell>
          <cell r="F210" t="str">
            <v>N/A</v>
          </cell>
          <cell r="G210" t="str">
            <v>N/A</v>
          </cell>
          <cell r="H210" t="str">
            <v>Antioquia</v>
          </cell>
          <cell r="I210" t="str">
            <v>WOM-HUAWEI</v>
          </cell>
          <cell r="J210" t="str">
            <v>CENTRO SUR/ NORTE</v>
          </cell>
          <cell r="K210" t="str">
            <v>Alejandro Sanchez</v>
          </cell>
          <cell r="L210" t="str">
            <v>Terminado</v>
          </cell>
        </row>
        <row r="211">
          <cell r="C211" t="str">
            <v>Tienda Viva Villavicencio</v>
          </cell>
          <cell r="D211">
            <v>246961</v>
          </cell>
          <cell r="E211">
            <v>46048</v>
          </cell>
          <cell r="F211" t="str">
            <v>N/A</v>
          </cell>
          <cell r="G211" t="str">
            <v>N/A</v>
          </cell>
          <cell r="H211" t="str">
            <v>Meta</v>
          </cell>
          <cell r="I211" t="str">
            <v>WOM</v>
          </cell>
          <cell r="J211" t="str">
            <v>CENTRO SUR/ NORTE</v>
          </cell>
          <cell r="K211" t="str">
            <v>Luciano Rubio</v>
          </cell>
          <cell r="L211" t="str">
            <v>Terminado</v>
          </cell>
        </row>
        <row r="212">
          <cell r="C212" t="str">
            <v>JSUC Cayo de Palma</v>
          </cell>
          <cell r="D212" t="str">
            <v>JSUC_00204</v>
          </cell>
          <cell r="E212">
            <v>46048</v>
          </cell>
          <cell r="F212" t="str">
            <v>N/A</v>
          </cell>
          <cell r="G212" t="str">
            <v>N/A</v>
          </cell>
          <cell r="H212" t="str">
            <v>Sucre</v>
          </cell>
          <cell r="I212" t="str">
            <v>WOM-HUAWEI</v>
          </cell>
          <cell r="J212" t="str">
            <v>COSTA</v>
          </cell>
          <cell r="K212" t="str">
            <v>Cesar Osorio</v>
          </cell>
          <cell r="L212" t="str">
            <v>Terminado</v>
          </cell>
        </row>
        <row r="213">
          <cell r="C213" t="str">
            <v>SIN Villa Juana</v>
          </cell>
          <cell r="D213" t="str">
            <v>SIN_06802</v>
          </cell>
          <cell r="E213">
            <v>46037</v>
          </cell>
          <cell r="F213">
            <v>9.3230000000000004</v>
          </cell>
          <cell r="G213">
            <v>-75.414720000000003</v>
          </cell>
          <cell r="H213" t="str">
            <v>Cordoba</v>
          </cell>
          <cell r="I213" t="str">
            <v>WOM-HUAWEI</v>
          </cell>
          <cell r="J213" t="str">
            <v>COSTA</v>
          </cell>
          <cell r="K213" t="str">
            <v>Cesar Osorio</v>
          </cell>
          <cell r="L213" t="str">
            <v>Terminado</v>
          </cell>
        </row>
        <row r="214">
          <cell r="C214" t="str">
            <v>JSUC La Union B</v>
          </cell>
          <cell r="D214" t="str">
            <v>JSUC_00490</v>
          </cell>
          <cell r="E214">
            <v>46050</v>
          </cell>
          <cell r="F214">
            <v>8.7529590000000006</v>
          </cell>
          <cell r="G214">
            <v>-75.271915000000007</v>
          </cell>
          <cell r="H214" t="str">
            <v>Sucre</v>
          </cell>
          <cell r="I214" t="str">
            <v>WOM-HUAWEI</v>
          </cell>
          <cell r="J214" t="str">
            <v>COSTA</v>
          </cell>
          <cell r="K214" t="str">
            <v>Cesar Osorio</v>
          </cell>
          <cell r="L214" t="str">
            <v>En Ejecución</v>
          </cell>
        </row>
        <row r="215">
          <cell r="C215" t="str">
            <v>Apartamento wom</v>
          </cell>
          <cell r="D215" t="str">
            <v>N/A</v>
          </cell>
          <cell r="E215">
            <v>46051</v>
          </cell>
          <cell r="F215">
            <v>4.6625861999999998</v>
          </cell>
          <cell r="G215">
            <v>-74.059238100000002</v>
          </cell>
          <cell r="H215" t="str">
            <v>Cundinamarca</v>
          </cell>
          <cell r="I215" t="str">
            <v>WOM</v>
          </cell>
          <cell r="J215" t="str">
            <v>CENTRO SUR/ NORTE</v>
          </cell>
          <cell r="K215" t="str">
            <v>Luciano Rubio</v>
          </cell>
          <cell r="L215" t="str">
            <v>Terminado</v>
          </cell>
        </row>
        <row r="216">
          <cell r="C216" t="str">
            <v xml:space="preserve">BTA Morabia
</v>
          </cell>
          <cell r="D216" t="str">
            <v xml:space="preserve">BTA_00724
</v>
          </cell>
          <cell r="E216">
            <v>46052</v>
          </cell>
          <cell r="F216">
            <v>4.6766500000000004</v>
          </cell>
          <cell r="G216">
            <v>-74.155079999999998</v>
          </cell>
          <cell r="H216" t="str">
            <v>Cundinamarca</v>
          </cell>
          <cell r="I216" t="str">
            <v>WOM-HUAWEI</v>
          </cell>
          <cell r="J216" t="str">
            <v>CENTRO SUR/ NORTE</v>
          </cell>
          <cell r="K216" t="str">
            <v>Jaime Camargo</v>
          </cell>
          <cell r="L216" t="str">
            <v>Terminado</v>
          </cell>
        </row>
        <row r="217">
          <cell r="C217" t="str">
            <v>TIBU PETROLEROS</v>
          </cell>
          <cell r="D217" t="str">
            <v>S8446</v>
          </cell>
          <cell r="E217">
            <v>46057</v>
          </cell>
          <cell r="F217">
            <v>8.4890000000000008</v>
          </cell>
          <cell r="G217">
            <v>-72.632999999999996</v>
          </cell>
          <cell r="H217" t="str">
            <v>Norte de Santander</v>
          </cell>
          <cell r="I217" t="str">
            <v>WOM-HUAWEI</v>
          </cell>
          <cell r="J217" t="str">
            <v>CENTRO SUR/ NORTE</v>
          </cell>
          <cell r="K217" t="str">
            <v>Carlos Eduardo Montoya</v>
          </cell>
          <cell r="L217" t="str">
            <v>Terminado</v>
          </cell>
        </row>
        <row r="218">
          <cell r="C218" t="str">
            <v>BTA Santafe Santa Ines</v>
          </cell>
          <cell r="D218" t="str">
            <v>BTA_06480</v>
          </cell>
          <cell r="E218">
            <v>46056</v>
          </cell>
          <cell r="F218">
            <v>4.6011300000000004</v>
          </cell>
          <cell r="G218">
            <v>-74.079899999999995</v>
          </cell>
          <cell r="H218" t="str">
            <v>Cundinamarca</v>
          </cell>
          <cell r="I218" t="str">
            <v>WOM-HUAWEI</v>
          </cell>
          <cell r="J218" t="str">
            <v>CENTRO SUR/ NORTE</v>
          </cell>
          <cell r="K218" t="str">
            <v>Jaime Camargo</v>
          </cell>
          <cell r="L218" t="str">
            <v>Terminado</v>
          </cell>
        </row>
        <row r="219">
          <cell r="C219" t="str">
            <v>CUN Villeta C</v>
          </cell>
          <cell r="D219" t="str">
            <v>CUN_20174</v>
          </cell>
          <cell r="E219">
            <v>46058</v>
          </cell>
          <cell r="F219">
            <v>50105</v>
          </cell>
          <cell r="G219">
            <v>-744771</v>
          </cell>
          <cell r="H219" t="str">
            <v>Cundinamarca</v>
          </cell>
          <cell r="I219" t="str">
            <v>WOM-HUAWEI</v>
          </cell>
          <cell r="J219" t="str">
            <v>CENTRO SUR/ NORTE</v>
          </cell>
          <cell r="K219" t="str">
            <v>Jaime Camargo</v>
          </cell>
          <cell r="L219" t="str">
            <v>Terminado</v>
          </cell>
        </row>
        <row r="220">
          <cell r="C220" t="str">
            <v>CBTA Mosquera El Carmen</v>
          </cell>
          <cell r="D220" t="str">
            <v>CBTA_01081</v>
          </cell>
          <cell r="E220">
            <v>46057</v>
          </cell>
          <cell r="F220">
            <v>471027</v>
          </cell>
          <cell r="G220">
            <v>-7422486</v>
          </cell>
          <cell r="H220" t="str">
            <v>Cundinamarca</v>
          </cell>
          <cell r="I220" t="str">
            <v>WOM-HUAWEI</v>
          </cell>
          <cell r="J220" t="str">
            <v>CENTRO SUR/ NORTE</v>
          </cell>
          <cell r="K220" t="str">
            <v>Jaime Camargo</v>
          </cell>
          <cell r="L220" t="str">
            <v>Terminado</v>
          </cell>
        </row>
        <row r="221">
          <cell r="C221" t="str">
            <v>GIRARDOT PLAZA</v>
          </cell>
          <cell r="D221" t="str">
            <v>CUN-010339</v>
          </cell>
          <cell r="E221">
            <v>46059</v>
          </cell>
          <cell r="F221" t="str">
            <v>N/A</v>
          </cell>
          <cell r="G221" t="str">
            <v>N/A</v>
          </cell>
          <cell r="H221" t="str">
            <v>Cundinamarca</v>
          </cell>
          <cell r="I221" t="str">
            <v>UNIRED</v>
          </cell>
          <cell r="J221" t="str">
            <v>CENTRO SUR/ NORTE</v>
          </cell>
          <cell r="K221" t="str">
            <v>Rafael Torres</v>
          </cell>
          <cell r="L221" t="str">
            <v>Terminado</v>
          </cell>
        </row>
        <row r="222">
          <cell r="C222" t="str">
            <v>CUN_LA_VEGA_II</v>
          </cell>
          <cell r="D222" t="str">
            <v>CUN-010077</v>
          </cell>
          <cell r="E222">
            <v>46059</v>
          </cell>
          <cell r="F222" t="str">
            <v>N/A</v>
          </cell>
          <cell r="G222" t="str">
            <v>N/A</v>
          </cell>
          <cell r="H222" t="str">
            <v>Cundinamarca</v>
          </cell>
          <cell r="I222" t="str">
            <v>UNIRED</v>
          </cell>
          <cell r="J222" t="str">
            <v>CENTRO SUR/ NORTE</v>
          </cell>
          <cell r="K222" t="str">
            <v>Rafael Torres</v>
          </cell>
          <cell r="L222" t="str">
            <v>Terminado</v>
          </cell>
        </row>
        <row r="223">
          <cell r="C223" t="str">
            <v>CHULO</v>
          </cell>
          <cell r="D223" t="str">
            <v>S414</v>
          </cell>
          <cell r="E223">
            <v>46059</v>
          </cell>
          <cell r="F223" t="str">
            <v>N/A</v>
          </cell>
          <cell r="G223" t="str">
            <v>N/A</v>
          </cell>
          <cell r="H223" t="str">
            <v>Cundinamarca</v>
          </cell>
          <cell r="I223" t="str">
            <v>UNIRED</v>
          </cell>
          <cell r="J223" t="str">
            <v>CENTRO SUR/ NORTE</v>
          </cell>
          <cell r="K223" t="str">
            <v>Rafael Torres</v>
          </cell>
          <cell r="L223" t="str">
            <v>Terminado</v>
          </cell>
        </row>
        <row r="224">
          <cell r="C224" t="str">
            <v>CUN_ANOLAIMA</v>
          </cell>
          <cell r="D224" t="str">
            <v>CUN0128</v>
          </cell>
          <cell r="E224">
            <v>46059</v>
          </cell>
          <cell r="F224" t="str">
            <v>N/A</v>
          </cell>
          <cell r="G224" t="str">
            <v>N/A</v>
          </cell>
          <cell r="H224" t="str">
            <v>Cundinamarca</v>
          </cell>
          <cell r="I224" t="str">
            <v>UNIRED</v>
          </cell>
          <cell r="J224" t="str">
            <v>CENTRO SUR/ NORTE</v>
          </cell>
          <cell r="K224" t="str">
            <v>Rafael Torres</v>
          </cell>
          <cell r="L224" t="str">
            <v>Terminado</v>
          </cell>
        </row>
        <row r="225">
          <cell r="C225" t="str">
            <v>CUN_SASAIMA</v>
          </cell>
          <cell r="D225" t="str">
            <v>CUN0220</v>
          </cell>
          <cell r="E225">
            <v>46059</v>
          </cell>
          <cell r="F225" t="str">
            <v>N/A</v>
          </cell>
          <cell r="G225" t="str">
            <v>N/A</v>
          </cell>
          <cell r="H225" t="str">
            <v>Cundinamarca</v>
          </cell>
          <cell r="I225" t="str">
            <v>UNIRED</v>
          </cell>
          <cell r="J225" t="str">
            <v>CENTRO SUR/ NORTE</v>
          </cell>
          <cell r="K225" t="str">
            <v>Rafael Torres</v>
          </cell>
          <cell r="L225" t="str">
            <v>Terminado</v>
          </cell>
        </row>
        <row r="226">
          <cell r="C226" t="str">
            <v>IZA</v>
          </cell>
          <cell r="D226" t="str">
            <v>BOY-250199</v>
          </cell>
          <cell r="E226">
            <v>46060</v>
          </cell>
          <cell r="F226">
            <v>5.6470000000000002</v>
          </cell>
          <cell r="G226">
            <v>-72.980999999999995</v>
          </cell>
          <cell r="H226" t="str">
            <v>Boyaca</v>
          </cell>
          <cell r="I226" t="str">
            <v>UNIRED</v>
          </cell>
          <cell r="J226" t="str">
            <v>CENTRO SUR/ NORTE</v>
          </cell>
          <cell r="K226" t="str">
            <v>Carlos Eduardo Montoya</v>
          </cell>
          <cell r="L226" t="str">
            <v>Terminado</v>
          </cell>
        </row>
        <row r="227">
          <cell r="C227" t="str">
            <v>SANTA HELENA DEL OPON</v>
          </cell>
          <cell r="D227" t="str">
            <v>SAT-200086</v>
          </cell>
          <cell r="E227">
            <v>46061</v>
          </cell>
          <cell r="F227">
            <v>6.3419999999999996</v>
          </cell>
          <cell r="G227">
            <v>-73.614000000000004</v>
          </cell>
          <cell r="H227" t="str">
            <v>Norte de Santander</v>
          </cell>
          <cell r="I227" t="str">
            <v>UNIRED</v>
          </cell>
          <cell r="J227" t="str">
            <v>CENTRO SUR/ NORTE</v>
          </cell>
          <cell r="K227" t="str">
            <v>Carlos Eduardo Montoya</v>
          </cell>
          <cell r="L227" t="str">
            <v>Terminado</v>
          </cell>
        </row>
        <row r="228">
          <cell r="C228" t="str">
            <v>ANT_YONDO</v>
          </cell>
          <cell r="D228" t="str">
            <v>ANT-170455</v>
          </cell>
          <cell r="E228">
            <v>46060</v>
          </cell>
          <cell r="F228">
            <v>7.0060000000000002</v>
          </cell>
          <cell r="G228">
            <v>-73.91</v>
          </cell>
          <cell r="H228" t="str">
            <v>Antioquia</v>
          </cell>
          <cell r="I228" t="str">
            <v>UNIRED</v>
          </cell>
          <cell r="J228" t="str">
            <v>CENTRO SUR/ NORTE</v>
          </cell>
          <cell r="K228" t="str">
            <v>Carlos Eduardo Montoya</v>
          </cell>
          <cell r="L228" t="str">
            <v>Terminado</v>
          </cell>
        </row>
        <row r="229">
          <cell r="C229" t="str">
            <v>CMED Bello La Selva</v>
          </cell>
          <cell r="D229" t="str">
            <v>CMED_02495</v>
          </cell>
          <cell r="E229">
            <v>46059</v>
          </cell>
          <cell r="F229">
            <v>6.343966</v>
          </cell>
          <cell r="G229">
            <v>-75.559365</v>
          </cell>
          <cell r="H229" t="str">
            <v>Antioquia</v>
          </cell>
          <cell r="I229" t="str">
            <v>WOM-HUAWEI</v>
          </cell>
          <cell r="J229" t="str">
            <v>NOROCCIDENTE</v>
          </cell>
          <cell r="K229" t="str">
            <v>Alejandro Sanchez</v>
          </cell>
          <cell r="L229" t="str">
            <v>Terminado</v>
          </cell>
        </row>
        <row r="230">
          <cell r="C230" t="str">
            <v>BTA El Playon</v>
          </cell>
          <cell r="D230" t="str">
            <v>BTA_07780</v>
          </cell>
          <cell r="E230">
            <v>46062</v>
          </cell>
          <cell r="F230">
            <v>4.5620000000000003</v>
          </cell>
          <cell r="G230">
            <v>-74.120500000000007</v>
          </cell>
          <cell r="H230" t="str">
            <v>Cundinamarca</v>
          </cell>
          <cell r="I230" t="str">
            <v>WOM-HUAWEI</v>
          </cell>
          <cell r="J230" t="str">
            <v>CENTRO SUR/ NORTE</v>
          </cell>
          <cell r="K230" t="str">
            <v>Jaime Camargo</v>
          </cell>
          <cell r="L230" t="str">
            <v>Terminado</v>
          </cell>
        </row>
        <row r="231">
          <cell r="C231" t="str">
            <v>Poblado Campestre</v>
          </cell>
          <cell r="D231" t="str">
            <v xml:space="preserve">VAC-340137 </v>
          </cell>
          <cell r="E231">
            <v>46063</v>
          </cell>
          <cell r="F231">
            <v>3.4104999999999999</v>
          </cell>
          <cell r="G231">
            <v>-76.458100000000002</v>
          </cell>
          <cell r="H231" t="str">
            <v>Valle del Cauca</v>
          </cell>
          <cell r="I231" t="str">
            <v>UNIRED</v>
          </cell>
          <cell r="J231" t="str">
            <v>SUROCCIDENTE</v>
          </cell>
          <cell r="K231" t="str">
            <v>Wilson Alejandro Solarte</v>
          </cell>
          <cell r="L231" t="str">
            <v>Terminado</v>
          </cell>
        </row>
        <row r="232">
          <cell r="C232" t="str">
            <v>PAS Carolina</v>
          </cell>
          <cell r="D232" t="str">
            <v>PAS_06349</v>
          </cell>
          <cell r="E232">
            <v>46062</v>
          </cell>
          <cell r="F232">
            <v>121081</v>
          </cell>
          <cell r="G232">
            <v>-772616</v>
          </cell>
          <cell r="H232" t="str">
            <v>Nariño</v>
          </cell>
          <cell r="I232" t="str">
            <v>WOM-HUAWEI</v>
          </cell>
          <cell r="J232" t="str">
            <v>SUROCCIDENTE</v>
          </cell>
          <cell r="K232" t="str">
            <v>Cesar Osorio</v>
          </cell>
          <cell r="L232" t="str">
            <v>Terminado</v>
          </cell>
        </row>
        <row r="233">
          <cell r="C233" t="str">
            <v>CLI Vallado B</v>
          </cell>
          <cell r="D233" t="str">
            <v>CLI_07302</v>
          </cell>
          <cell r="E233">
            <v>46063</v>
          </cell>
          <cell r="F233">
            <v>340372</v>
          </cell>
          <cell r="G233">
            <v>-7649812</v>
          </cell>
          <cell r="H233" t="str">
            <v>Valle del Cauca</v>
          </cell>
          <cell r="I233" t="str">
            <v>WOM-HUAWEI</v>
          </cell>
          <cell r="J233" t="str">
            <v>SUROCCIDENTE</v>
          </cell>
          <cell r="K233" t="str">
            <v>Cesar Osorio</v>
          </cell>
          <cell r="L233" t="str">
            <v>Terminado</v>
          </cell>
        </row>
        <row r="234">
          <cell r="C234" t="str">
            <v>NAR Patapau</v>
          </cell>
          <cell r="D234" t="str">
            <v>NAR_02180</v>
          </cell>
          <cell r="E234">
            <v>46065</v>
          </cell>
          <cell r="F234">
            <v>17884</v>
          </cell>
          <cell r="G234">
            <v>-787899</v>
          </cell>
          <cell r="H234" t="str">
            <v>Nariño</v>
          </cell>
          <cell r="I234" t="str">
            <v>WOM-HUAWEI</v>
          </cell>
          <cell r="J234" t="str">
            <v>SUROCCIDENTE</v>
          </cell>
          <cell r="K234" t="str">
            <v>Cesar Osorio</v>
          </cell>
          <cell r="L234" t="str">
            <v>Terminado</v>
          </cell>
        </row>
        <row r="235">
          <cell r="C235" t="str">
            <v>NAR Tumaco B</v>
          </cell>
          <cell r="D235" t="str">
            <v>NAR_06022</v>
          </cell>
          <cell r="E235">
            <v>46065</v>
          </cell>
          <cell r="F235">
            <v>182786</v>
          </cell>
          <cell r="G235">
            <v>-787368</v>
          </cell>
          <cell r="H235" t="str">
            <v>Nariño</v>
          </cell>
          <cell r="I235" t="str">
            <v>WOM-HUAWEI</v>
          </cell>
          <cell r="J235" t="str">
            <v>SUROCCIDENTE</v>
          </cell>
          <cell r="K235" t="str">
            <v>Cesar Osorio</v>
          </cell>
          <cell r="L235" t="str">
            <v>En Ejecución</v>
          </cell>
        </row>
        <row r="236">
          <cell r="C236" t="str">
            <v>CCLI Jamundi Ciudadela Terranova</v>
          </cell>
          <cell r="D236" t="str">
            <v>CCLI_03065</v>
          </cell>
          <cell r="E236">
            <v>46065</v>
          </cell>
          <cell r="F236">
            <v>323791</v>
          </cell>
          <cell r="G236">
            <v>-765137</v>
          </cell>
          <cell r="H236" t="str">
            <v>Valle del Cauca</v>
          </cell>
          <cell r="I236" t="str">
            <v>WOM-HUAWEI</v>
          </cell>
          <cell r="J236" t="str">
            <v>SUROCCIDENTE</v>
          </cell>
          <cell r="K236" t="str">
            <v>Cesar Osorio</v>
          </cell>
          <cell r="L236" t="str">
            <v>Terminado</v>
          </cell>
        </row>
        <row r="237">
          <cell r="C237" t="str">
            <v>CCLI Jamundi Paisaje de las Flores</v>
          </cell>
          <cell r="D237" t="str">
            <v>CCLI_07235</v>
          </cell>
          <cell r="E237">
            <v>46072</v>
          </cell>
          <cell r="F237">
            <v>323796</v>
          </cell>
          <cell r="G237">
            <v>-7650152</v>
          </cell>
          <cell r="H237" t="str">
            <v>Valle del Cauca</v>
          </cell>
          <cell r="I237" t="str">
            <v>WOM-HUAWEI</v>
          </cell>
          <cell r="J237" t="str">
            <v>SUROCCIDENTE</v>
          </cell>
          <cell r="K237" t="str">
            <v>Cesar Osorio</v>
          </cell>
          <cell r="L237" t="str">
            <v>Terminado</v>
          </cell>
        </row>
        <row r="238">
          <cell r="C238" t="str">
            <v>CLI Parcelaciones Pance R</v>
          </cell>
          <cell r="D238" t="str">
            <v>CLI_02851</v>
          </cell>
          <cell r="F238">
            <v>3349</v>
          </cell>
          <cell r="G238">
            <v>-765297</v>
          </cell>
          <cell r="H238" t="str">
            <v>Valle del Cauca</v>
          </cell>
          <cell r="I238" t="str">
            <v>WOM-HUAWEI</v>
          </cell>
          <cell r="J238" t="str">
            <v>SUROCCIDENTE</v>
          </cell>
          <cell r="K238" t="str">
            <v>Cesar Osorio</v>
          </cell>
          <cell r="L238" t="str">
            <v>En Ejecución</v>
          </cell>
        </row>
        <row r="239">
          <cell r="C239" t="str">
            <v>CLI El Poblado I C</v>
          </cell>
          <cell r="D239" t="str">
            <v>CLI_08949</v>
          </cell>
          <cell r="E239">
            <v>46067</v>
          </cell>
          <cell r="F239">
            <v>3.4197199999999999</v>
          </cell>
          <cell r="G239">
            <v>-76.498189999999994</v>
          </cell>
          <cell r="H239" t="str">
            <v>Valle del Cauca</v>
          </cell>
          <cell r="I239" t="str">
            <v>WOM-HUAWEI</v>
          </cell>
          <cell r="J239" t="str">
            <v>SUROCCIDENTE</v>
          </cell>
          <cell r="K239" t="str">
            <v>Cesar Osorio</v>
          </cell>
          <cell r="L239" t="str">
            <v>Terminado</v>
          </cell>
        </row>
        <row r="240">
          <cell r="C240" t="str">
            <v>POP Popayan Colombia I</v>
          </cell>
          <cell r="D240" t="str">
            <v>POP_05831</v>
          </cell>
          <cell r="E240">
            <v>46066</v>
          </cell>
          <cell r="F240">
            <v>243761111</v>
          </cell>
          <cell r="G240">
            <v>-7661511111</v>
          </cell>
          <cell r="H240" t="str">
            <v>Valle del Cauca</v>
          </cell>
          <cell r="I240" t="str">
            <v>WOM-HUAWEI</v>
          </cell>
          <cell r="J240" t="str">
            <v>SUROCCIDENTE</v>
          </cell>
          <cell r="K240" t="str">
            <v>Jaime Camargo</v>
          </cell>
          <cell r="L240" t="str">
            <v>Terminado</v>
          </cell>
        </row>
        <row r="241">
          <cell r="C241" t="str">
            <v>LARANDIA Caquetá</v>
          </cell>
          <cell r="D241" t="str">
            <v>TLF_S8978</v>
          </cell>
          <cell r="E241">
            <v>46063</v>
          </cell>
          <cell r="F241">
            <v>1.47367</v>
          </cell>
          <cell r="G241">
            <v>-75.442800000000005</v>
          </cell>
          <cell r="H241" t="str">
            <v>Caqueta</v>
          </cell>
          <cell r="I241" t="str">
            <v>TELEFONICA</v>
          </cell>
          <cell r="J241" t="str">
            <v>ORIENTE</v>
          </cell>
          <cell r="K241" t="str">
            <v>Jason Julian Melo</v>
          </cell>
          <cell r="L241" t="str">
            <v>Terminado</v>
          </cell>
        </row>
        <row r="242">
          <cell r="C242" t="str">
            <v>BTA San Vicente</v>
          </cell>
          <cell r="D242" t="str">
            <v>BTA_07153</v>
          </cell>
          <cell r="E242">
            <v>46063</v>
          </cell>
          <cell r="F242">
            <v>4.5564999999999998</v>
          </cell>
          <cell r="G242">
            <v>-74.090360000000004</v>
          </cell>
          <cell r="H242" t="str">
            <v>Cundinamarca</v>
          </cell>
          <cell r="I242" t="str">
            <v>WOM-HUAWEI</v>
          </cell>
          <cell r="J242" t="str">
            <v>CENTRO SUR/ NORTE</v>
          </cell>
          <cell r="K242" t="str">
            <v>Jaime Camargo</v>
          </cell>
          <cell r="L242" t="str">
            <v>Terminado</v>
          </cell>
        </row>
        <row r="243">
          <cell r="C243" t="str">
            <v>BTA Maria Paz D</v>
          </cell>
          <cell r="D243" t="str">
            <v>BTA_07724</v>
          </cell>
          <cell r="E243">
            <v>46064</v>
          </cell>
          <cell r="F243">
            <v>4.6354306000000003</v>
          </cell>
          <cell r="G243">
            <v>-74.159769999999995</v>
          </cell>
          <cell r="H243" t="str">
            <v>Cundinamarca</v>
          </cell>
          <cell r="I243" t="str">
            <v>WOM-HUAWEI</v>
          </cell>
          <cell r="J243" t="str">
            <v>CENTRO SUR/ NORTE</v>
          </cell>
          <cell r="K243" t="str">
            <v>Maria Camila Torres</v>
          </cell>
          <cell r="L243" t="str">
            <v>Terminado</v>
          </cell>
        </row>
        <row r="244">
          <cell r="C244" t="str">
            <v>BTA Niza Norte</v>
          </cell>
          <cell r="D244" t="str">
            <v>BTA_00324</v>
          </cell>
          <cell r="E244">
            <v>46072</v>
          </cell>
          <cell r="F244">
            <v>4.7129950000000003</v>
          </cell>
          <cell r="G244">
            <v>-74.073498000000001</v>
          </cell>
          <cell r="H244" t="str">
            <v>Cundinamarca</v>
          </cell>
          <cell r="I244" t="str">
            <v>WOM-HUAWEI</v>
          </cell>
          <cell r="J244" t="str">
            <v>CENTRO SUR/ NORTE</v>
          </cell>
          <cell r="K244" t="str">
            <v>Maria Camila Torres</v>
          </cell>
          <cell r="L244" t="str">
            <v>Terminado</v>
          </cell>
        </row>
        <row r="245">
          <cell r="C245" t="str">
            <v>CUN Nemocon _ 274163</v>
          </cell>
          <cell r="D245" t="str">
            <v>CUN_04512</v>
          </cell>
          <cell r="E245">
            <v>46065</v>
          </cell>
          <cell r="F245">
            <v>5.0670599999999997</v>
          </cell>
          <cell r="G245">
            <v>-73.880899999999997</v>
          </cell>
          <cell r="H245" t="str">
            <v>Cundinamarca</v>
          </cell>
          <cell r="I245" t="str">
            <v>WOM-HUAWEI</v>
          </cell>
          <cell r="J245" t="str">
            <v>CENTRO SUR/ NORTE</v>
          </cell>
          <cell r="K245" t="str">
            <v>Jaime Camargo</v>
          </cell>
          <cell r="L245" t="str">
            <v>Terminado</v>
          </cell>
        </row>
        <row r="246">
          <cell r="C246" t="str">
            <v>CBTA Soacha Rincon de Santafe B</v>
          </cell>
          <cell r="D246" t="str">
            <v>CBTA_08964</v>
          </cell>
          <cell r="E246">
            <v>46064</v>
          </cell>
          <cell r="F246">
            <v>4.5909722200000003</v>
          </cell>
          <cell r="G246">
            <v>-74.200916669999998</v>
          </cell>
          <cell r="H246" t="str">
            <v>Cundinamarca</v>
          </cell>
          <cell r="I246" t="str">
            <v>WOM-HUAWEI</v>
          </cell>
          <cell r="J246" t="str">
            <v>CENTRO SUR/ NORTE</v>
          </cell>
          <cell r="K246" t="str">
            <v>Maria Camila Torres</v>
          </cell>
          <cell r="L246" t="str">
            <v>Terminado</v>
          </cell>
        </row>
        <row r="247">
          <cell r="C247" t="str">
            <v>JSUC San Marcos</v>
          </cell>
          <cell r="D247" t="str">
            <v>JSUC_00420</v>
          </cell>
        </row>
        <row r="248">
          <cell r="C248" t="str">
            <v>JBOY El Cubo</v>
          </cell>
          <cell r="D248" t="str">
            <v>JBOY_00306</v>
          </cell>
          <cell r="E248">
            <v>47176</v>
          </cell>
          <cell r="F248">
            <v>5.5450999999999997</v>
          </cell>
          <cell r="G248">
            <v>-73.888509999999997</v>
          </cell>
          <cell r="H248" t="str">
            <v>Boyaca</v>
          </cell>
          <cell r="I248" t="str">
            <v>WOM-HUAWEI</v>
          </cell>
          <cell r="J248" t="str">
            <v>CENTRO SUR/ NORTE</v>
          </cell>
          <cell r="K248" t="str">
            <v>Diego Cepeda</v>
          </cell>
          <cell r="L248" t="str">
            <v>Terminado</v>
          </cell>
        </row>
        <row r="249">
          <cell r="C249" t="str">
            <v>ANT RIONEGRO BELCHITE</v>
          </cell>
          <cell r="D249" t="str">
            <v>ANT_01766</v>
          </cell>
          <cell r="H249" t="str">
            <v>Antioquia</v>
          </cell>
          <cell r="I249" t="str">
            <v>WOM</v>
          </cell>
          <cell r="J249" t="str">
            <v>NOROCCIDENTE</v>
          </cell>
          <cell r="K249" t="str">
            <v>Juan David Jimenez</v>
          </cell>
          <cell r="L249" t="str">
            <v>En Ejecución</v>
          </cell>
        </row>
        <row r="250">
          <cell r="C250" t="str">
            <v>CMED Bello Nazareth</v>
          </cell>
          <cell r="D250" t="str">
            <v>CMED_00565</v>
          </cell>
          <cell r="E250">
            <v>46055</v>
          </cell>
          <cell r="H250" t="str">
            <v>Antioquia</v>
          </cell>
          <cell r="I250" t="str">
            <v>WOM</v>
          </cell>
          <cell r="J250" t="str">
            <v>NOROCCIDENTE</v>
          </cell>
          <cell r="K250" t="str">
            <v>Juan David Jimenez</v>
          </cell>
          <cell r="L250" t="str">
            <v>En Ejecución</v>
          </cell>
        </row>
        <row r="251">
          <cell r="C251" t="str">
            <v>CMED Envigado Pontevedra</v>
          </cell>
          <cell r="D251" t="str">
            <v>CMED_00574</v>
          </cell>
          <cell r="E251">
            <v>46048</v>
          </cell>
          <cell r="H251" t="str">
            <v>Antioquia</v>
          </cell>
          <cell r="I251" t="str">
            <v>WOM</v>
          </cell>
          <cell r="J251" t="str">
            <v>NOROCCIDENTE</v>
          </cell>
          <cell r="K251" t="str">
            <v>Juan David Jimenez</v>
          </cell>
          <cell r="L251" t="str">
            <v>En Ejecución</v>
          </cell>
        </row>
        <row r="252">
          <cell r="C252" t="str">
            <v>Juan Chaco</v>
          </cell>
          <cell r="D252" t="str">
            <v>BUE-360055</v>
          </cell>
          <cell r="E252">
            <v>46065</v>
          </cell>
          <cell r="F252">
            <v>3.8801000000000001</v>
          </cell>
          <cell r="G252">
            <v>-77.03116</v>
          </cell>
          <cell r="H252" t="str">
            <v>Valle del Cauca</v>
          </cell>
          <cell r="I252" t="str">
            <v>UNIRED</v>
          </cell>
          <cell r="J252" t="str">
            <v>SUROCCIDENTE</v>
          </cell>
          <cell r="K252" t="str">
            <v>Wilson Alejandro Solarte</v>
          </cell>
          <cell r="L252" t="str">
            <v>Terminado</v>
          </cell>
        </row>
        <row r="253">
          <cell r="C253" t="str">
            <v>CBTA Funza La Fortuna</v>
          </cell>
          <cell r="D253" t="str">
            <v>CBTA_06715</v>
          </cell>
          <cell r="E253">
            <v>46066</v>
          </cell>
          <cell r="F253">
            <v>4.70723</v>
          </cell>
          <cell r="G253">
            <v>-74.205680000000001</v>
          </cell>
          <cell r="H253" t="str">
            <v>Cundinamarca</v>
          </cell>
          <cell r="I253" t="str">
            <v>WOM-HUAWEI</v>
          </cell>
          <cell r="J253" t="str">
            <v>CENTRO SUR/ NORTE</v>
          </cell>
          <cell r="K253" t="str">
            <v>Jaime Camargo</v>
          </cell>
          <cell r="L253" t="str">
            <v>Terminado</v>
          </cell>
        </row>
        <row r="254">
          <cell r="C254" t="str">
            <v>JBOL Veredas de La Cabecera</v>
          </cell>
          <cell r="D254" t="str">
            <v>JBOL_00486</v>
          </cell>
          <cell r="E254">
            <v>46067</v>
          </cell>
          <cell r="F254">
            <v>81135483</v>
          </cell>
          <cell r="G254">
            <v>-7387875</v>
          </cell>
          <cell r="H254" t="str">
            <v>Bolivar</v>
          </cell>
          <cell r="I254" t="str">
            <v>WOM-HUAWEI</v>
          </cell>
          <cell r="J254" t="str">
            <v>COSTA</v>
          </cell>
          <cell r="K254" t="str">
            <v>Cesar Osorio</v>
          </cell>
          <cell r="L254" t="str">
            <v>Terminado</v>
          </cell>
        </row>
        <row r="255">
          <cell r="C255" t="str">
            <v>JCES Rio Seco B</v>
          </cell>
          <cell r="D255" t="str">
            <v>JCES_00350</v>
          </cell>
          <cell r="E255">
            <v>46065</v>
          </cell>
          <cell r="F255">
            <v>10.48582</v>
          </cell>
          <cell r="G255">
            <v>-73.189440000000005</v>
          </cell>
          <cell r="H255" t="str">
            <v>Cesar</v>
          </cell>
          <cell r="I255" t="str">
            <v>WOM-HUAWEI</v>
          </cell>
          <cell r="J255" t="str">
            <v>COSTA</v>
          </cell>
          <cell r="K255" t="str">
            <v>Cesar Osorio</v>
          </cell>
          <cell r="L255" t="str">
            <v>Terminado</v>
          </cell>
        </row>
        <row r="256">
          <cell r="C256" t="str">
            <v>JCOR Mochilas</v>
          </cell>
          <cell r="D256" t="str">
            <v>JCOR_00034</v>
          </cell>
          <cell r="E256">
            <v>46069</v>
          </cell>
          <cell r="F256">
            <v>8.5921800000000008</v>
          </cell>
          <cell r="G256">
            <v>-75.838380000000001</v>
          </cell>
          <cell r="H256" t="str">
            <v>Cordoba</v>
          </cell>
          <cell r="I256" t="str">
            <v>WOM-HUAWEI</v>
          </cell>
          <cell r="J256" t="str">
            <v>COSTA</v>
          </cell>
          <cell r="K256" t="str">
            <v>Cesar Osorio</v>
          </cell>
          <cell r="L256" t="str">
            <v>Terminado</v>
          </cell>
        </row>
        <row r="257">
          <cell r="C257" t="str">
            <v>JCOR Pica Pica Viejo</v>
          </cell>
          <cell r="D257" t="str">
            <v>JCOR_00015</v>
          </cell>
          <cell r="E257">
            <v>46070</v>
          </cell>
          <cell r="F257">
            <v>8.0200300000000002</v>
          </cell>
          <cell r="G257">
            <v>-75.680189999999996</v>
          </cell>
          <cell r="H257" t="str">
            <v>Cordoba</v>
          </cell>
          <cell r="I257" t="str">
            <v>WOM-HUAWEI</v>
          </cell>
          <cell r="J257" t="str">
            <v>COSTA</v>
          </cell>
          <cell r="K257" t="str">
            <v>Cesar Osorio</v>
          </cell>
          <cell r="L257" t="str">
            <v>Terminado</v>
          </cell>
        </row>
        <row r="258">
          <cell r="C258" t="str">
            <v>JCOR Nuevo Paraiso</v>
          </cell>
          <cell r="D258" t="str">
            <v>JCOR_00243</v>
          </cell>
          <cell r="E258">
            <v>46068</v>
          </cell>
          <cell r="F258">
            <v>8.7403569999999995</v>
          </cell>
          <cell r="G258">
            <v>-76.047246999999999</v>
          </cell>
          <cell r="H258" t="str">
            <v>Cordoba</v>
          </cell>
          <cell r="I258" t="str">
            <v>WOM-TIENDAS</v>
          </cell>
          <cell r="J258" t="str">
            <v>COSTA</v>
          </cell>
          <cell r="K258" t="str">
            <v>Cesar Osorio</v>
          </cell>
          <cell r="L258" t="str">
            <v>Terminado</v>
          </cell>
        </row>
        <row r="259">
          <cell r="C259" t="str">
            <v>JSUC La Esperanza B</v>
          </cell>
          <cell r="D259" t="str">
            <v>JSUC_00418</v>
          </cell>
          <cell r="E259">
            <v>46066</v>
          </cell>
          <cell r="F259">
            <v>8.7902100000000001</v>
          </cell>
          <cell r="G259">
            <v>-75.347300000000004</v>
          </cell>
          <cell r="H259" t="str">
            <v>Sucre</v>
          </cell>
          <cell r="I259" t="str">
            <v>WOM-HUAWEI</v>
          </cell>
          <cell r="J259" t="str">
            <v>COSTA</v>
          </cell>
          <cell r="K259" t="str">
            <v>Cesar Osorio</v>
          </cell>
          <cell r="L259" t="str">
            <v>Terminado</v>
          </cell>
        </row>
        <row r="260">
          <cell r="C260" t="str">
            <v xml:space="preserve"> JSUC Diaz Granado</v>
          </cell>
          <cell r="D260" t="str">
            <v>JSUC_00035</v>
          </cell>
          <cell r="E260">
            <v>46066</v>
          </cell>
          <cell r="F260">
            <v>8.3064699999999991</v>
          </cell>
          <cell r="G260">
            <v>-74.704239999999999</v>
          </cell>
          <cell r="H260" t="str">
            <v>Sucre</v>
          </cell>
          <cell r="I260" t="str">
            <v>WOM-HUAWEI</v>
          </cell>
          <cell r="J260" t="str">
            <v>COSTA</v>
          </cell>
          <cell r="K260" t="str">
            <v>Cesar Osorio</v>
          </cell>
          <cell r="L260" t="str">
            <v>Terminado</v>
          </cell>
        </row>
        <row r="261">
          <cell r="C261" t="str">
            <v>JSUC La Union</v>
          </cell>
          <cell r="D261" t="str">
            <v>JSUC_00117</v>
          </cell>
          <cell r="E261">
            <v>46066</v>
          </cell>
          <cell r="F261">
            <v>8.8929159999999996</v>
          </cell>
          <cell r="G261">
            <v>-75.207335999999998</v>
          </cell>
          <cell r="H261" t="str">
            <v>Sucre</v>
          </cell>
          <cell r="I261" t="str">
            <v>WOM-HUAWEI</v>
          </cell>
          <cell r="J261" t="str">
            <v>COSTA</v>
          </cell>
          <cell r="K261" t="str">
            <v>Cesar Osorio</v>
          </cell>
          <cell r="L261" t="str">
            <v>Terminado</v>
          </cell>
        </row>
        <row r="262">
          <cell r="C262" t="str">
            <v>SMT Bonda Macinga</v>
          </cell>
          <cell r="D262" t="str">
            <v>SMT_02136</v>
          </cell>
          <cell r="E262">
            <v>46065</v>
          </cell>
          <cell r="F262">
            <v>11.23204</v>
          </cell>
          <cell r="G262">
            <v>-74.141390000000001</v>
          </cell>
          <cell r="H262" t="str">
            <v>Magdalena</v>
          </cell>
          <cell r="I262" t="str">
            <v>WOM-HUAWEI</v>
          </cell>
          <cell r="J262" t="str">
            <v>COSTA</v>
          </cell>
          <cell r="K262" t="str">
            <v>Cesar Osorio</v>
          </cell>
          <cell r="L262" t="str">
            <v>Terminado</v>
          </cell>
        </row>
        <row r="263">
          <cell r="C263" t="str">
            <v>JSUC San Marcos C</v>
          </cell>
          <cell r="D263" t="str">
            <v>JSUC_00420</v>
          </cell>
          <cell r="E263">
            <v>46064</v>
          </cell>
          <cell r="F263">
            <v>8.6262950000000007</v>
          </cell>
          <cell r="G263">
            <v>-75.211898000000005</v>
          </cell>
          <cell r="H263" t="str">
            <v>Sucre</v>
          </cell>
          <cell r="I263" t="str">
            <v>WOM-HUAWEI</v>
          </cell>
          <cell r="J263" t="str">
            <v>COSTA</v>
          </cell>
          <cell r="K263" t="str">
            <v>Cesar Osorio</v>
          </cell>
          <cell r="L263" t="str">
            <v>Terminado</v>
          </cell>
        </row>
        <row r="264">
          <cell r="C264" t="str">
            <v>CUN_BOJACA</v>
          </cell>
          <cell r="D264" t="str">
            <v>CUN-010151</v>
          </cell>
          <cell r="E264">
            <v>46070</v>
          </cell>
          <cell r="F264" t="str">
            <v>N/A</v>
          </cell>
          <cell r="G264" t="str">
            <v>N/A</v>
          </cell>
          <cell r="H264" t="str">
            <v>Cundinamarca</v>
          </cell>
          <cell r="I264" t="str">
            <v>WOM-HUAWEI</v>
          </cell>
          <cell r="J264" t="str">
            <v>CENTRO SUR/ NORTE</v>
          </cell>
          <cell r="K264" t="str">
            <v>Rafael Torres</v>
          </cell>
          <cell r="L264" t="str">
            <v>Terminado</v>
          </cell>
        </row>
        <row r="265">
          <cell r="C265" t="str">
            <v>SINDAMANOY</v>
          </cell>
          <cell r="D265" t="str">
            <v>S6789</v>
          </cell>
          <cell r="E265">
            <v>46073</v>
          </cell>
          <cell r="F265">
            <v>4.8837400000000004</v>
          </cell>
          <cell r="G265">
            <v>-74.019300000000001</v>
          </cell>
          <cell r="H265" t="str">
            <v>Cundinamarca</v>
          </cell>
          <cell r="I265" t="str">
            <v>UNIRED</v>
          </cell>
          <cell r="J265" t="str">
            <v>CENTRO SUR/ NORTE</v>
          </cell>
          <cell r="K265" t="str">
            <v>Rafael Torres</v>
          </cell>
          <cell r="L265" t="str">
            <v>Terminado</v>
          </cell>
        </row>
        <row r="266">
          <cell r="C266" t="str">
            <v>PUERTO_GIRALDO</v>
          </cell>
          <cell r="D266" t="str">
            <v>ATL0021</v>
          </cell>
          <cell r="E266">
            <v>46068</v>
          </cell>
          <cell r="F266">
            <v>10.513</v>
          </cell>
          <cell r="G266">
            <v>-74.820999999999998</v>
          </cell>
          <cell r="H266" t="str">
            <v>Bolivar</v>
          </cell>
          <cell r="I266" t="str">
            <v>UNIRED</v>
          </cell>
          <cell r="J266" t="str">
            <v>CENTRO SUR/ NORTE</v>
          </cell>
          <cell r="K266" t="str">
            <v>Rafael Torres</v>
          </cell>
          <cell r="L266" t="str">
            <v>Terminado</v>
          </cell>
        </row>
        <row r="267">
          <cell r="C267" t="str">
            <v>PIVIJAY</v>
          </cell>
          <cell r="D267" t="str">
            <v>TLF_S21062</v>
          </cell>
          <cell r="E267">
            <v>46070</v>
          </cell>
          <cell r="F267" t="str">
            <v>N/A</v>
          </cell>
          <cell r="G267" t="str">
            <v>N/A</v>
          </cell>
          <cell r="H267" t="str">
            <v>Bolivar</v>
          </cell>
          <cell r="I267" t="str">
            <v>TELEFONICA</v>
          </cell>
          <cell r="J267" t="str">
            <v>COSTA</v>
          </cell>
          <cell r="K267" t="str">
            <v>Jarbys arturo Fernández florez</v>
          </cell>
          <cell r="L267" t="str">
            <v>Terminado</v>
          </cell>
        </row>
        <row r="268">
          <cell r="C268" t="str">
            <v xml:space="preserve"> JSUC Baraya</v>
          </cell>
          <cell r="D268" t="str">
            <v>JSUC_00221</v>
          </cell>
          <cell r="E268">
            <v>46070</v>
          </cell>
          <cell r="F268">
            <v>9.0976999999999997</v>
          </cell>
          <cell r="G268">
            <v>-74.978269999999995</v>
          </cell>
          <cell r="H268" t="str">
            <v>Sucre</v>
          </cell>
          <cell r="I268" t="str">
            <v>WOM-HUAWEI</v>
          </cell>
          <cell r="J268" t="str">
            <v>COSTA</v>
          </cell>
          <cell r="K268" t="str">
            <v>Cesar Osorio</v>
          </cell>
          <cell r="L268" t="str">
            <v>Terminado</v>
          </cell>
        </row>
        <row r="269">
          <cell r="C269" t="str">
            <v>JGUA Carraipia-Majayura</v>
          </cell>
          <cell r="D269" t="str">
            <v>JGUA_00027</v>
          </cell>
          <cell r="E269">
            <v>46064</v>
          </cell>
          <cell r="F269">
            <v>11.214779999999999</v>
          </cell>
          <cell r="G269">
            <v>-72.256259999999997</v>
          </cell>
          <cell r="H269" t="str">
            <v>La Guajira</v>
          </cell>
          <cell r="I269" t="str">
            <v>WOM-HUAWEI</v>
          </cell>
          <cell r="J269" t="str">
            <v>COSTA</v>
          </cell>
          <cell r="K269" t="str">
            <v>Cesar Osorio</v>
          </cell>
          <cell r="L269" t="str">
            <v>Terminado</v>
          </cell>
        </row>
        <row r="270">
          <cell r="C270" t="str">
            <v>GUA Manaure B</v>
          </cell>
          <cell r="D270" t="str">
            <v>GUA_03518</v>
          </cell>
          <cell r="E270">
            <v>46069</v>
          </cell>
          <cell r="F270">
            <v>11.775499999999999</v>
          </cell>
          <cell r="G270">
            <v>-72.436899999999994</v>
          </cell>
          <cell r="H270" t="str">
            <v>La Guajira</v>
          </cell>
          <cell r="I270" t="str">
            <v>WOM-HUAWEI</v>
          </cell>
          <cell r="J270" t="str">
            <v>COSTA</v>
          </cell>
          <cell r="K270" t="str">
            <v>Cesar Osorio</v>
          </cell>
          <cell r="L270" t="str">
            <v>Terminado</v>
          </cell>
        </row>
        <row r="271">
          <cell r="C271" t="str">
            <v>JGUA Juan y Medio</v>
          </cell>
          <cell r="D271" t="str">
            <v>JGUA_00005</v>
          </cell>
          <cell r="E271">
            <v>46062</v>
          </cell>
          <cell r="F271">
            <v>11.116059999999999</v>
          </cell>
          <cell r="G271">
            <v>-73.005200000000002</v>
          </cell>
          <cell r="H271" t="str">
            <v>La Guajira</v>
          </cell>
          <cell r="I271" t="str">
            <v>WOM-HUAWEI</v>
          </cell>
          <cell r="J271" t="str">
            <v>COSTA</v>
          </cell>
          <cell r="K271" t="str">
            <v>Cesar Osorio</v>
          </cell>
          <cell r="L271" t="str">
            <v>Terminado</v>
          </cell>
        </row>
        <row r="272">
          <cell r="C272" t="str">
            <v xml:space="preserve"> JCOR Villa Esperanza</v>
          </cell>
          <cell r="D272" t="str">
            <v>JCOR_00031</v>
          </cell>
          <cell r="E272">
            <v>46062</v>
          </cell>
          <cell r="F272">
            <v>8.5621299999999998</v>
          </cell>
          <cell r="G272">
            <v>-75.399050000000003</v>
          </cell>
          <cell r="H272" t="str">
            <v>Cordoba</v>
          </cell>
          <cell r="I272" t="str">
            <v>WOM-HUAWEI</v>
          </cell>
          <cell r="J272" t="str">
            <v>COSTA</v>
          </cell>
          <cell r="K272" t="str">
            <v>Cesar Osorio</v>
          </cell>
          <cell r="L272" t="str">
            <v>Terminado</v>
          </cell>
        </row>
        <row r="273">
          <cell r="C273" t="str">
            <v>VIC La Primavera</v>
          </cell>
          <cell r="D273" t="str">
            <v>VIC_04648</v>
          </cell>
          <cell r="E273">
            <v>46066</v>
          </cell>
          <cell r="F273">
            <v>5.4904400000000004</v>
          </cell>
          <cell r="G273">
            <v>-70.410700000000006</v>
          </cell>
          <cell r="H273" t="str">
            <v>Vichada</v>
          </cell>
          <cell r="I273" t="str">
            <v>WOM-HUAWEI</v>
          </cell>
          <cell r="J273" t="str">
            <v>SUROCCIDENTE</v>
          </cell>
          <cell r="K273" t="str">
            <v>Jaime Camargo</v>
          </cell>
          <cell r="L273" t="str">
            <v>Terminado</v>
          </cell>
        </row>
        <row r="274">
          <cell r="C274" t="str">
            <v>TERMINAL</v>
          </cell>
          <cell r="D274" t="str">
            <v>CAL-350525</v>
          </cell>
          <cell r="E274">
            <v>46072</v>
          </cell>
          <cell r="F274">
            <v>3.4516</v>
          </cell>
          <cell r="G274">
            <v>-76.531999999999996</v>
          </cell>
          <cell r="H274" t="str">
            <v>Valle del Cauca</v>
          </cell>
          <cell r="I274" t="str">
            <v>UNIRED</v>
          </cell>
          <cell r="J274" t="str">
            <v>SUROCCIDENTE</v>
          </cell>
          <cell r="K274" t="str">
            <v>Wilson Alejandro Solarte</v>
          </cell>
          <cell r="L274" t="str">
            <v>Terminado</v>
          </cell>
        </row>
        <row r="275">
          <cell r="C275" t="str">
            <v>JCOR La Manta</v>
          </cell>
          <cell r="D275" t="str">
            <v>JCOR_00314</v>
          </cell>
          <cell r="E275">
            <v>46071</v>
          </cell>
          <cell r="F275">
            <v>8399521</v>
          </cell>
          <cell r="G275">
            <v>-75726216</v>
          </cell>
          <cell r="H275" t="str">
            <v>Cordoba</v>
          </cell>
          <cell r="I275" t="str">
            <v>WOM-HUAWEI</v>
          </cell>
          <cell r="J275" t="str">
            <v>COSTA</v>
          </cell>
          <cell r="K275" t="str">
            <v>Cesar Osorio</v>
          </cell>
          <cell r="L275" t="str">
            <v>Terminado</v>
          </cell>
        </row>
        <row r="276">
          <cell r="C276" t="str">
            <v>JCOR Maquencal</v>
          </cell>
          <cell r="D276" t="str">
            <v>JCOR_00313</v>
          </cell>
          <cell r="E276">
            <v>46071</v>
          </cell>
          <cell r="F276">
            <v>842413</v>
          </cell>
          <cell r="G276">
            <v>-7569858</v>
          </cell>
          <cell r="H276" t="str">
            <v>Cordoba</v>
          </cell>
          <cell r="I276" t="str">
            <v>WOM-HUAWEI</v>
          </cell>
          <cell r="J276" t="str">
            <v>COSTA</v>
          </cell>
          <cell r="K276" t="str">
            <v>Cesar Osorio</v>
          </cell>
          <cell r="L276" t="str">
            <v>Terminado</v>
          </cell>
        </row>
        <row r="277">
          <cell r="C277" t="str">
            <v>JCOR Loma Verde</v>
          </cell>
          <cell r="D277" t="str">
            <v>JCOR_00167</v>
          </cell>
          <cell r="E277">
            <v>46072</v>
          </cell>
          <cell r="F277">
            <v>8499297</v>
          </cell>
          <cell r="G277">
            <v>-76175258</v>
          </cell>
          <cell r="H277" t="str">
            <v>Cordoba</v>
          </cell>
          <cell r="I277" t="str">
            <v>WOM-HUAWEI</v>
          </cell>
          <cell r="J277" t="str">
            <v>COSTA</v>
          </cell>
          <cell r="K277" t="str">
            <v>Cesar Osorio</v>
          </cell>
          <cell r="L277" t="str">
            <v>Terminado</v>
          </cell>
        </row>
        <row r="278">
          <cell r="C278" t="str">
            <v>BTA Diana Turbay B</v>
          </cell>
          <cell r="D278" t="str">
            <v>BTA_07481</v>
          </cell>
          <cell r="E278">
            <v>46071</v>
          </cell>
          <cell r="F278">
            <v>454892</v>
          </cell>
          <cell r="G278">
            <v>-741092</v>
          </cell>
          <cell r="H278" t="str">
            <v>Cundinamarca</v>
          </cell>
          <cell r="I278" t="str">
            <v>WOM-HUAWEI</v>
          </cell>
          <cell r="J278" t="str">
            <v>CENTRO SUR/ NORTE</v>
          </cell>
          <cell r="K278" t="str">
            <v>Jaime Camargo</v>
          </cell>
          <cell r="L278" t="str">
            <v>Terminado</v>
          </cell>
        </row>
        <row r="279">
          <cell r="C279" t="str">
            <v>JBOL Regidor C</v>
          </cell>
          <cell r="D279" t="str">
            <v>JBOL_00378</v>
          </cell>
          <cell r="E279">
            <v>46072</v>
          </cell>
          <cell r="F279">
            <v>8.6675210000000007</v>
          </cell>
          <cell r="G279">
            <v>-73.936633</v>
          </cell>
          <cell r="H279" t="str">
            <v>Bolivar</v>
          </cell>
          <cell r="I279" t="str">
            <v>WOM-HUAWEI</v>
          </cell>
          <cell r="J279" t="str">
            <v>SUROCCIDENTE</v>
          </cell>
          <cell r="K279" t="str">
            <v>Diego Cepeda</v>
          </cell>
          <cell r="L279" t="str">
            <v>Terminado</v>
          </cell>
        </row>
        <row r="280">
          <cell r="C280" t="str">
            <v>SUC Sucre</v>
          </cell>
          <cell r="D280" t="str">
            <v>SUC_06467</v>
          </cell>
          <cell r="E280">
            <v>46071</v>
          </cell>
          <cell r="F280">
            <v>8.8126700000000007</v>
          </cell>
          <cell r="G280">
            <v>-74.721800000000002</v>
          </cell>
          <cell r="H280" t="str">
            <v>Sucre</v>
          </cell>
          <cell r="I280" t="str">
            <v>WOM-HUAWEI</v>
          </cell>
          <cell r="J280" t="str">
            <v>COSTA</v>
          </cell>
          <cell r="K280" t="str">
            <v>Cesar Osorio</v>
          </cell>
          <cell r="L280" t="str">
            <v>Terminado</v>
          </cell>
        </row>
        <row r="281">
          <cell r="C281" t="str">
            <v>JBOL Nueva Florida</v>
          </cell>
          <cell r="D281" t="str">
            <v>JBOL_00216</v>
          </cell>
          <cell r="E281">
            <v>46072</v>
          </cell>
          <cell r="F281">
            <v>9.9343470000000007</v>
          </cell>
          <cell r="G281">
            <v>-75.354913999999994</v>
          </cell>
          <cell r="H281" t="str">
            <v>Bolivar</v>
          </cell>
          <cell r="I281" t="str">
            <v>WOM-HUAWEI</v>
          </cell>
          <cell r="J281" t="str">
            <v>COSTA</v>
          </cell>
          <cell r="K281" t="str">
            <v>Cesar Osorio</v>
          </cell>
          <cell r="L281" t="str">
            <v>Terminado</v>
          </cell>
        </row>
        <row r="282">
          <cell r="C282" t="str">
            <v>HUI Campoalegre Vega de Oriente</v>
          </cell>
          <cell r="D282" t="str">
            <v>HUI_20103</v>
          </cell>
          <cell r="E282">
            <v>46057</v>
          </cell>
          <cell r="H282" t="str">
            <v>Huila</v>
          </cell>
          <cell r="I282" t="str">
            <v>WOM-HUAWEI</v>
          </cell>
          <cell r="J282" t="str">
            <v>SUROCCIDENTE</v>
          </cell>
          <cell r="K282" t="str">
            <v>Alejandro Sanchez</v>
          </cell>
          <cell r="L282" t="str">
            <v>Terminado</v>
          </cell>
        </row>
        <row r="283">
          <cell r="C283" t="str">
            <v>HUI Teruel</v>
          </cell>
          <cell r="D283" t="str">
            <v>HUI_04635</v>
          </cell>
          <cell r="E283">
            <v>46057</v>
          </cell>
          <cell r="F283">
            <v>2.7389329999999998</v>
          </cell>
          <cell r="G283">
            <v>-75.567949999999996</v>
          </cell>
          <cell r="H283" t="str">
            <v>Huila</v>
          </cell>
          <cell r="I283" t="str">
            <v>WOM-HUAWEI</v>
          </cell>
          <cell r="J283" t="str">
            <v>SUROCCIDENTE</v>
          </cell>
          <cell r="K283" t="str">
            <v>Alejandro Sanchez</v>
          </cell>
          <cell r="L283" t="str">
            <v>Terminado</v>
          </cell>
        </row>
        <row r="284">
          <cell r="C284" t="str">
            <v>BTA Granada Norte</v>
          </cell>
          <cell r="D284" t="str">
            <v>BTA_00183</v>
          </cell>
          <cell r="E284">
            <v>46071</v>
          </cell>
          <cell r="F284">
            <v>4.7502500000000003</v>
          </cell>
          <cell r="G284">
            <v>-74.050169999999994</v>
          </cell>
          <cell r="H284" t="str">
            <v>Cundinamarca</v>
          </cell>
          <cell r="I284" t="str">
            <v>WOM-HUAWEI</v>
          </cell>
          <cell r="J284" t="str">
            <v>CENTRO SUR/ NORTE</v>
          </cell>
          <cell r="K284" t="str">
            <v>Maria Camila Torres</v>
          </cell>
          <cell r="L284" t="str">
            <v>Terminado</v>
          </cell>
        </row>
        <row r="285">
          <cell r="C285" t="str">
            <v>BTA Niza Norte</v>
          </cell>
          <cell r="D285" t="str">
            <v>BTA_00324</v>
          </cell>
          <cell r="E285">
            <v>46072</v>
          </cell>
          <cell r="F285">
            <v>4.7129950000000003</v>
          </cell>
          <cell r="G285">
            <v>-74.073498000000001</v>
          </cell>
          <cell r="H285" t="str">
            <v>Cundinamarca</v>
          </cell>
          <cell r="I285" t="str">
            <v>WOM-HUAWEI</v>
          </cell>
          <cell r="J285" t="str">
            <v>CENTRO SUR/ NORTE</v>
          </cell>
          <cell r="K285" t="str">
            <v>Maria Camila Torres</v>
          </cell>
          <cell r="L285" t="str">
            <v>Terminado</v>
          </cell>
        </row>
        <row r="286">
          <cell r="C286" t="str">
            <v>BTA Molinos del Viento</v>
          </cell>
          <cell r="D286" t="str">
            <v>BTA_00313</v>
          </cell>
          <cell r="E286">
            <v>46073</v>
          </cell>
          <cell r="F286">
            <v>4.7078430000000004</v>
          </cell>
          <cell r="G286">
            <v>-74.115994999999998</v>
          </cell>
          <cell r="H286" t="str">
            <v>Cundinamarca</v>
          </cell>
          <cell r="I286" t="str">
            <v>WOM-HUAWEI</v>
          </cell>
          <cell r="J286" t="str">
            <v>CENTRO SUR/ NORTE</v>
          </cell>
          <cell r="K286" t="str">
            <v>Maria Camila Torres</v>
          </cell>
          <cell r="L286" t="str">
            <v>Terminado</v>
          </cell>
        </row>
        <row r="287">
          <cell r="C287" t="str">
            <v>BTA Puerta del Sol</v>
          </cell>
          <cell r="D287" t="str">
            <v>BTA_03815</v>
          </cell>
          <cell r="E287">
            <v>46070</v>
          </cell>
          <cell r="F287">
            <v>4.7434418000000003</v>
          </cell>
          <cell r="G287">
            <v>-74.103949999999998</v>
          </cell>
          <cell r="H287" t="str">
            <v>Cundinamarca</v>
          </cell>
          <cell r="I287" t="str">
            <v>WOM-HUAWEI</v>
          </cell>
          <cell r="J287" t="str">
            <v>CENTRO SUR/ NORTE</v>
          </cell>
          <cell r="K287" t="str">
            <v>Maria Camila Torres</v>
          </cell>
          <cell r="L287" t="str">
            <v>Terminado</v>
          </cell>
        </row>
        <row r="288">
          <cell r="C288" t="str">
            <v>Med Los Naranjos</v>
          </cell>
          <cell r="D288" t="str">
            <v>MED_08945</v>
          </cell>
          <cell r="F288">
            <v>6.1976979999999999</v>
          </cell>
          <cell r="G288">
            <v>-75.557355999999999</v>
          </cell>
          <cell r="H288" t="str">
            <v>Antioquia</v>
          </cell>
          <cell r="I288" t="str">
            <v>WOM</v>
          </cell>
          <cell r="J288" t="str">
            <v>NOROCCIDENTE</v>
          </cell>
          <cell r="K288" t="str">
            <v>Juan David Jimenez</v>
          </cell>
          <cell r="L288" t="str">
            <v>Inicio</v>
          </cell>
        </row>
        <row r="289">
          <cell r="C289" t="str">
            <v>CBTA Soacha La Esperanza Norte</v>
          </cell>
          <cell r="D289" t="str">
            <v>CBTA_03895</v>
          </cell>
          <cell r="E289">
            <v>46066</v>
          </cell>
          <cell r="F289">
            <v>4.5830929999999999</v>
          </cell>
          <cell r="G289">
            <v>-74.188597000000001</v>
          </cell>
          <cell r="H289" t="str">
            <v>Cundinamarca</v>
          </cell>
          <cell r="I289" t="str">
            <v>WOM-HUAWEI</v>
          </cell>
          <cell r="J289" t="str">
            <v>CENTRO SUR/ NORTE</v>
          </cell>
          <cell r="K289" t="str">
            <v>Maria Camila Torres</v>
          </cell>
          <cell r="L289" t="str">
            <v>Terminado</v>
          </cell>
        </row>
        <row r="290">
          <cell r="C290" t="str">
            <v>EL OCASO</v>
          </cell>
          <cell r="D290" t="str">
            <v>CUN-010129</v>
          </cell>
          <cell r="E290">
            <v>46063</v>
          </cell>
          <cell r="F290" t="str">
            <v>N/A</v>
          </cell>
          <cell r="G290" t="str">
            <v>N/A</v>
          </cell>
          <cell r="H290" t="str">
            <v>Cundinamarca</v>
          </cell>
          <cell r="I290" t="str">
            <v>UNIRED</v>
          </cell>
          <cell r="J290" t="str">
            <v>CENTRO SUR/ NORTE</v>
          </cell>
          <cell r="K290" t="str">
            <v>Rafael Torres</v>
          </cell>
          <cell r="L290" t="str">
            <v>Terminado</v>
          </cell>
        </row>
        <row r="291">
          <cell r="C291" t="str">
            <v>Med Candelaria B</v>
          </cell>
          <cell r="D291" t="str">
            <v>MED_00637</v>
          </cell>
          <cell r="E291">
            <v>46081</v>
          </cell>
          <cell r="H291" t="str">
            <v>Antioquia</v>
          </cell>
          <cell r="I291" t="str">
            <v>WOM</v>
          </cell>
          <cell r="J291" t="str">
            <v>NOROCCIDENTE</v>
          </cell>
          <cell r="K291" t="str">
            <v>Juan David Jimenez</v>
          </cell>
          <cell r="L291" t="str">
            <v>Terminado</v>
          </cell>
        </row>
        <row r="292">
          <cell r="C292" t="str">
            <v>BARRANCAS_IV</v>
          </cell>
          <cell r="D292" t="str">
            <v>GUA-100017</v>
          </cell>
          <cell r="E292">
            <v>46073</v>
          </cell>
          <cell r="F292" t="str">
            <v>N/A</v>
          </cell>
          <cell r="G292" t="str">
            <v>N/A</v>
          </cell>
          <cell r="H292" t="str">
            <v>La Guajira</v>
          </cell>
          <cell r="I292" t="str">
            <v>UNIRED</v>
          </cell>
          <cell r="J292" t="str">
            <v>COSTA</v>
          </cell>
          <cell r="K292" t="str">
            <v>Rafael Torres</v>
          </cell>
          <cell r="L292" t="str">
            <v>Terminado</v>
          </cell>
        </row>
        <row r="293">
          <cell r="C293" t="str">
            <v>HUI_SANTA_MARIA_SAN_JOAQUIN</v>
          </cell>
          <cell r="D293" t="str">
            <v>HUI-390069</v>
          </cell>
          <cell r="E293">
            <v>46076</v>
          </cell>
          <cell r="F293">
            <v>2.907324</v>
          </cell>
          <cell r="G293">
            <v>-75.624106999999995</v>
          </cell>
          <cell r="H293" t="str">
            <v>Huila</v>
          </cell>
          <cell r="I293" t="str">
            <v>UNIRED</v>
          </cell>
          <cell r="J293" t="str">
            <v>CENTRO SUR/ NORTE</v>
          </cell>
          <cell r="K293" t="str">
            <v>Rafael Torres</v>
          </cell>
          <cell r="L293" t="str">
            <v>Terminado</v>
          </cell>
        </row>
        <row r="294">
          <cell r="C294" t="str">
            <v>VILLARICA II</v>
          </cell>
          <cell r="D294" t="str">
            <v>TOL-430086</v>
          </cell>
          <cell r="E294">
            <v>46078</v>
          </cell>
          <cell r="F294">
            <v>3.9673699999999998</v>
          </cell>
          <cell r="G294">
            <v>-74.645499999999998</v>
          </cell>
          <cell r="H294" t="str">
            <v>Tolima</v>
          </cell>
          <cell r="I294" t="str">
            <v>UNIRED</v>
          </cell>
          <cell r="J294" t="str">
            <v>CENTRO SUR/ NORTE</v>
          </cell>
          <cell r="K294" t="str">
            <v>Rafael Torres</v>
          </cell>
          <cell r="L294" t="str">
            <v>Terminado</v>
          </cell>
        </row>
        <row r="295">
          <cell r="C295" t="str">
            <v>JSUC La Union B</v>
          </cell>
          <cell r="D295" t="str">
            <v>JSUC_00490</v>
          </cell>
          <cell r="E295">
            <v>46073</v>
          </cell>
          <cell r="F295">
            <v>8.7529590000000006</v>
          </cell>
          <cell r="G295">
            <v>-75.271915000000007</v>
          </cell>
          <cell r="H295" t="str">
            <v>Sucre</v>
          </cell>
          <cell r="I295" t="str">
            <v>WOM-HUAWEI</v>
          </cell>
          <cell r="J295" t="str">
            <v>COSTA</v>
          </cell>
          <cell r="K295" t="str">
            <v>Cesar Osorio</v>
          </cell>
          <cell r="L295" t="str">
            <v>Terminado</v>
          </cell>
        </row>
        <row r="296">
          <cell r="C296" t="str">
            <v>VENADILLO</v>
          </cell>
          <cell r="D296" t="str">
            <v>TOL-430022</v>
          </cell>
          <cell r="E296">
            <v>46077</v>
          </cell>
          <cell r="F296">
            <v>4.71394</v>
          </cell>
          <cell r="G296">
            <v>-74.951899999999995</v>
          </cell>
          <cell r="H296" t="str">
            <v>Tolima</v>
          </cell>
          <cell r="I296" t="str">
            <v>UNIRED</v>
          </cell>
          <cell r="J296" t="str">
            <v>CENTRO SUR/ NORTE</v>
          </cell>
          <cell r="K296" t="str">
            <v>Rafael Torres</v>
          </cell>
          <cell r="L296" t="str">
            <v>Terminado</v>
          </cell>
        </row>
        <row r="297">
          <cell r="C297" t="str">
            <v>JCOR El Corral</v>
          </cell>
          <cell r="D297" t="str">
            <v>JCOR_00044</v>
          </cell>
          <cell r="E297">
            <v>46073</v>
          </cell>
          <cell r="F297">
            <v>841599</v>
          </cell>
          <cell r="G297">
            <v>-7531657</v>
          </cell>
          <cell r="H297" t="str">
            <v>Cordoba</v>
          </cell>
          <cell r="I297" t="str">
            <v>WOM-HUAWEI</v>
          </cell>
          <cell r="J297" t="str">
            <v>COSTA</v>
          </cell>
          <cell r="K297" t="str">
            <v>Cesar Osorio</v>
          </cell>
          <cell r="L297" t="str">
            <v>Terminado</v>
          </cell>
        </row>
        <row r="298">
          <cell r="C298" t="str">
            <v>JCOR Villa Esperanza</v>
          </cell>
          <cell r="D298" t="str">
            <v>JCOR_00031</v>
          </cell>
          <cell r="E298">
            <v>46073</v>
          </cell>
          <cell r="F298">
            <v>856213</v>
          </cell>
          <cell r="G298">
            <v>-7539905</v>
          </cell>
          <cell r="H298" t="str">
            <v>Cordoba</v>
          </cell>
          <cell r="I298" t="str">
            <v>WOM-HUAWEI</v>
          </cell>
          <cell r="J298" t="str">
            <v>COSTA</v>
          </cell>
          <cell r="K298" t="str">
            <v>Cesar Osorio</v>
          </cell>
          <cell r="L298" t="str">
            <v>Terminado</v>
          </cell>
        </row>
        <row r="299">
          <cell r="C299" t="str">
            <v>HUI_GIGANTE</v>
          </cell>
          <cell r="D299" t="str">
            <v>HUI-390081</v>
          </cell>
          <cell r="F299">
            <v>2.3950833299999998</v>
          </cell>
          <cell r="G299">
            <v>-75.557861110000005</v>
          </cell>
          <cell r="H299" t="str">
            <v>Huila</v>
          </cell>
          <cell r="I299" t="str">
            <v>UNIRED</v>
          </cell>
          <cell r="J299" t="str">
            <v>CENTRO SUR/ NORTE</v>
          </cell>
          <cell r="K299" t="str">
            <v>Rafael Torres</v>
          </cell>
          <cell r="L299" t="str">
            <v>Terminado</v>
          </cell>
        </row>
        <row r="300">
          <cell r="C300" t="str">
            <v>JSUC Totumal</v>
          </cell>
          <cell r="D300" t="str">
            <v>JSUC_00193</v>
          </cell>
          <cell r="E300">
            <v>46075</v>
          </cell>
          <cell r="F300">
            <v>8741525</v>
          </cell>
          <cell r="G300">
            <v>-74742695</v>
          </cell>
          <cell r="H300" t="str">
            <v>Sucre</v>
          </cell>
          <cell r="I300" t="str">
            <v>WOM-HUAWEI</v>
          </cell>
          <cell r="J300" t="str">
            <v>COSTA</v>
          </cell>
          <cell r="K300" t="str">
            <v>Cesar Osorio</v>
          </cell>
          <cell r="L300" t="str">
            <v>Terminado</v>
          </cell>
        </row>
        <row r="301">
          <cell r="C301" t="str">
            <v>JCOR El Silencio</v>
          </cell>
          <cell r="D301" t="str">
            <v>JCOR_00067</v>
          </cell>
          <cell r="E301">
            <v>46074</v>
          </cell>
          <cell r="F301">
            <v>78692</v>
          </cell>
          <cell r="G301">
            <v>-7589361</v>
          </cell>
          <cell r="H301" t="str">
            <v>Cordoba</v>
          </cell>
          <cell r="I301" t="str">
            <v>WOM-HUAWEI</v>
          </cell>
          <cell r="J301" t="str">
            <v>COSTA</v>
          </cell>
          <cell r="K301" t="str">
            <v>Cesar Osorio</v>
          </cell>
          <cell r="L301" t="str">
            <v>Terminado</v>
          </cell>
        </row>
        <row r="302">
          <cell r="C302" t="str">
            <v>JCOR Los Palmitos</v>
          </cell>
          <cell r="D302" t="str">
            <v>JCOR_00236</v>
          </cell>
          <cell r="E302">
            <v>46076</v>
          </cell>
          <cell r="F302">
            <v>91183333</v>
          </cell>
          <cell r="G302">
            <v>-755697222</v>
          </cell>
          <cell r="H302" t="str">
            <v>Cordoba</v>
          </cell>
          <cell r="I302" t="str">
            <v>WOM-HUAWEI</v>
          </cell>
          <cell r="J302" t="str">
            <v>COSTA</v>
          </cell>
          <cell r="K302" t="str">
            <v>Cesar Osorio</v>
          </cell>
          <cell r="L302" t="str">
            <v>Terminado</v>
          </cell>
        </row>
        <row r="303">
          <cell r="C303" t="str">
            <v>CMED Itagui Santa Maria del Campo</v>
          </cell>
          <cell r="D303" t="str">
            <v>CMED_01747</v>
          </cell>
          <cell r="E303">
            <v>46076</v>
          </cell>
          <cell r="F303">
            <v>6.1919199999999996</v>
          </cell>
          <cell r="G303">
            <v>-75.599609999999998</v>
          </cell>
          <cell r="H303" t="str">
            <v>Antioquia</v>
          </cell>
          <cell r="I303" t="str">
            <v>WOM-HUAWEI</v>
          </cell>
          <cell r="J303" t="str">
            <v>NOROCCIDENTE</v>
          </cell>
          <cell r="K303" t="str">
            <v>Alejandro Sanchez</v>
          </cell>
          <cell r="L303" t="str">
            <v>Terminado</v>
          </cell>
        </row>
        <row r="304">
          <cell r="C304" t="str">
            <v>BTA Jimenez de Quesada B</v>
          </cell>
          <cell r="D304" t="str">
            <v>BTA_07594</v>
          </cell>
          <cell r="E304">
            <v>46361</v>
          </cell>
          <cell r="F304">
            <v>4605492</v>
          </cell>
          <cell r="G304">
            <v>-7418584</v>
          </cell>
          <cell r="H304" t="str">
            <v>Cundinamarca</v>
          </cell>
          <cell r="I304" t="str">
            <v>WOM-HUAWEI</v>
          </cell>
          <cell r="J304" t="str">
            <v>CENTRO SUR/ NORTE</v>
          </cell>
          <cell r="K304" t="str">
            <v>Maria Camila Torres</v>
          </cell>
          <cell r="L304" t="str">
            <v>Terminado</v>
          </cell>
        </row>
        <row r="305">
          <cell r="C305" t="str">
            <v>VIL Alamos Santa Rosa</v>
          </cell>
          <cell r="D305" t="str">
            <v>VIL_08965</v>
          </cell>
          <cell r="E305">
            <v>46361</v>
          </cell>
          <cell r="F305">
            <v>4.1386500000000002</v>
          </cell>
          <cell r="G305">
            <v>-73.64631</v>
          </cell>
          <cell r="H305" t="str">
            <v>Meta</v>
          </cell>
          <cell r="I305" t="str">
            <v>WOM-HUAWEI</v>
          </cell>
          <cell r="J305" t="str">
            <v>CENTRO SUR/ NORTE</v>
          </cell>
          <cell r="K305" t="str">
            <v>Maria Camila Torres</v>
          </cell>
          <cell r="L305" t="str">
            <v>Terminado</v>
          </cell>
        </row>
        <row r="306">
          <cell r="C306" t="str">
            <v>ANT El Salado</v>
          </cell>
          <cell r="D306" t="str">
            <v>ANT_03624</v>
          </cell>
          <cell r="E306">
            <v>46040</v>
          </cell>
          <cell r="F306" t="str">
            <v>N/A</v>
          </cell>
          <cell r="G306" t="str">
            <v>N/A</v>
          </cell>
          <cell r="H306" t="str">
            <v>Antioquia</v>
          </cell>
          <cell r="I306" t="str">
            <v>WOM-HUAWEI</v>
          </cell>
          <cell r="J306" t="str">
            <v>NOROCCIDENTE</v>
          </cell>
          <cell r="K306" t="str">
            <v>Alejandro Sanchez</v>
          </cell>
          <cell r="L306" t="str">
            <v>Terminado</v>
          </cell>
        </row>
        <row r="307">
          <cell r="C307" t="str">
            <v>JCAQ La Guadalosa</v>
          </cell>
          <cell r="D307" t="str">
            <v>JCAQ_00151</v>
          </cell>
          <cell r="E307">
            <v>46028</v>
          </cell>
          <cell r="F307">
            <v>1.315388</v>
          </cell>
          <cell r="G307">
            <v>-74.925633000000005</v>
          </cell>
          <cell r="H307" t="str">
            <v>Caqueta</v>
          </cell>
          <cell r="I307" t="str">
            <v>WOM-HUAWEI</v>
          </cell>
          <cell r="J307" t="str">
            <v>SUROCCIDENTE</v>
          </cell>
          <cell r="K307" t="str">
            <v>Maria Camila Torres</v>
          </cell>
          <cell r="L307" t="str">
            <v>Terminado</v>
          </cell>
        </row>
        <row r="308">
          <cell r="C308" t="str">
            <v>LET ESTADIO</v>
          </cell>
          <cell r="D308" t="str">
            <v>LET_05169</v>
          </cell>
          <cell r="E308">
            <v>46031</v>
          </cell>
          <cell r="F308" t="str">
            <v>N/A</v>
          </cell>
          <cell r="G308" t="str">
            <v>N/A</v>
          </cell>
          <cell r="H308" t="str">
            <v>Amazonas</v>
          </cell>
          <cell r="I308" t="str">
            <v>WOM-HUAWEI</v>
          </cell>
          <cell r="J308" t="str">
            <v>CENTRO SUR/ NORTE</v>
          </cell>
          <cell r="K308" t="str">
            <v>Maria Camila Torres</v>
          </cell>
          <cell r="L308" t="str">
            <v>Terminado</v>
          </cell>
        </row>
        <row r="309">
          <cell r="C309" t="str">
            <v>JCUN MALAMBO</v>
          </cell>
          <cell r="D309" t="str">
            <v>JCUN_00301</v>
          </cell>
          <cell r="E309">
            <v>46030</v>
          </cell>
          <cell r="F309" t="str">
            <v>N/A</v>
          </cell>
          <cell r="G309" t="str">
            <v>N/A</v>
          </cell>
          <cell r="H309" t="str">
            <v>Cundinamarca</v>
          </cell>
          <cell r="I309" t="str">
            <v>WOM-HUAWEI</v>
          </cell>
          <cell r="J309" t="str">
            <v>CENTRO SUR/ NORTE</v>
          </cell>
          <cell r="K309" t="str">
            <v>Maria Camila Torres</v>
          </cell>
          <cell r="L309" t="str">
            <v>Terminado</v>
          </cell>
        </row>
        <row r="310">
          <cell r="C310" t="str">
            <v>VIL CANOS NEGROS</v>
          </cell>
          <cell r="D310" t="str">
            <v>VIL_04481</v>
          </cell>
          <cell r="E310">
            <v>46025</v>
          </cell>
          <cell r="F310" t="str">
            <v>N/A</v>
          </cell>
          <cell r="G310" t="str">
            <v>N/A</v>
          </cell>
          <cell r="H310" t="str">
            <v>Meta</v>
          </cell>
          <cell r="I310" t="str">
            <v>WOM-HUAWEI</v>
          </cell>
          <cell r="J310" t="str">
            <v>CENTRO SUR/ NORTE</v>
          </cell>
          <cell r="K310" t="str">
            <v>Maria Camila Torres</v>
          </cell>
          <cell r="L310" t="str">
            <v>Terminado</v>
          </cell>
        </row>
        <row r="311">
          <cell r="C311" t="str">
            <v>JSAN La Playa</v>
          </cell>
          <cell r="D311" t="str">
            <v>JSAN_00460</v>
          </cell>
          <cell r="E311">
            <v>46040</v>
          </cell>
          <cell r="F311" t="str">
            <v>N/A</v>
          </cell>
          <cell r="G311" t="str">
            <v>N/A</v>
          </cell>
          <cell r="H311" t="str">
            <v>Meta</v>
          </cell>
          <cell r="I311" t="str">
            <v>WOM-HUAWEI</v>
          </cell>
          <cell r="J311" t="str">
            <v>CENTRO SUR/ NORTE</v>
          </cell>
          <cell r="K311" t="str">
            <v>Maria Camila Torres</v>
          </cell>
          <cell r="L311" t="str">
            <v>Terminado</v>
          </cell>
        </row>
        <row r="312">
          <cell r="C312" t="str">
            <v>JHUI Soto</v>
          </cell>
          <cell r="D312" t="str">
            <v>JHUI_00150</v>
          </cell>
          <cell r="E312">
            <v>46030</v>
          </cell>
          <cell r="F312" t="str">
            <v>N/A</v>
          </cell>
          <cell r="G312" t="str">
            <v>N/A</v>
          </cell>
          <cell r="H312" t="str">
            <v>Huila</v>
          </cell>
          <cell r="I312" t="str">
            <v>WOM-HUAWEI</v>
          </cell>
          <cell r="J312" t="str">
            <v>CENTRO SUR/ NORTE</v>
          </cell>
          <cell r="K312" t="str">
            <v>Maria Camila Torres</v>
          </cell>
          <cell r="L312" t="str">
            <v>Terminado</v>
          </cell>
        </row>
        <row r="313">
          <cell r="C313" t="str">
            <v>BTA Gualoche</v>
          </cell>
          <cell r="D313" t="str">
            <v>BTA_00187</v>
          </cell>
          <cell r="E313">
            <v>46076</v>
          </cell>
          <cell r="F313">
            <v>4.5974659999999998</v>
          </cell>
          <cell r="G313">
            <v>-74.183834000000004</v>
          </cell>
          <cell r="H313" t="str">
            <v>Cundinamarca</v>
          </cell>
          <cell r="I313" t="str">
            <v>WOM-HUAWEI</v>
          </cell>
          <cell r="J313" t="str">
            <v>CENTRO SUR/ NORTE</v>
          </cell>
          <cell r="K313" t="str">
            <v>Maria Camila Torres</v>
          </cell>
          <cell r="L313" t="str">
            <v>Terminado</v>
          </cell>
        </row>
        <row r="314">
          <cell r="C314" t="str">
            <v>NAR PUERTO GAITAN</v>
          </cell>
          <cell r="D314" t="str">
            <v>NAR_05868</v>
          </cell>
          <cell r="E314">
            <v>46030</v>
          </cell>
          <cell r="H314" t="str">
            <v>Nariño</v>
          </cell>
          <cell r="I314" t="str">
            <v>WOM-HUAWEI</v>
          </cell>
          <cell r="K314" t="str">
            <v>Alejandro Sanchez</v>
          </cell>
          <cell r="L314" t="str">
            <v>Terminado</v>
          </cell>
        </row>
        <row r="315">
          <cell r="C315" t="str">
            <v xml:space="preserve"> 1JSUC Hato Nuevo</v>
          </cell>
          <cell r="D315" t="str">
            <v>JSUC_00215</v>
          </cell>
          <cell r="E315">
            <v>46011</v>
          </cell>
          <cell r="F315">
            <v>9.1791099999999997</v>
          </cell>
          <cell r="G315">
            <v>-75.198250000000002</v>
          </cell>
          <cell r="H315" t="str">
            <v>Sucre</v>
          </cell>
          <cell r="I315" t="str">
            <v>WOM-HUAWEI</v>
          </cell>
          <cell r="J315" t="str">
            <v>COSTA</v>
          </cell>
          <cell r="K315" t="str">
            <v>Cesar Osorio</v>
          </cell>
          <cell r="L315" t="str">
            <v>Terminado</v>
          </cell>
        </row>
        <row r="316">
          <cell r="C316" t="str">
            <v>JCUN Cardonal</v>
          </cell>
          <cell r="D316" t="str">
            <v>JCUN_00076</v>
          </cell>
          <cell r="E316">
            <v>46072</v>
          </cell>
          <cell r="F316">
            <v>5.4375999999999998</v>
          </cell>
          <cell r="G316">
            <v>-74.2791</v>
          </cell>
          <cell r="H316" t="str">
            <v>Cundinamarca</v>
          </cell>
          <cell r="I316" t="str">
            <v>WOM-HUAWEI</v>
          </cell>
          <cell r="J316" t="str">
            <v>SUROCCIDENTE</v>
          </cell>
          <cell r="K316" t="str">
            <v>Jaime Camargo</v>
          </cell>
          <cell r="L316" t="str">
            <v>Terminado</v>
          </cell>
        </row>
        <row r="317">
          <cell r="C317" t="str">
            <v>JCUN Tancuena</v>
          </cell>
          <cell r="D317" t="str">
            <v>JCUN_00492</v>
          </cell>
          <cell r="E317">
            <v>46072</v>
          </cell>
          <cell r="F317">
            <v>5.4198189000000001</v>
          </cell>
          <cell r="G317">
            <v>-74.27037</v>
          </cell>
          <cell r="H317" t="str">
            <v>Cundinamarca</v>
          </cell>
          <cell r="I317" t="str">
            <v>WOM-HUAWEI</v>
          </cell>
          <cell r="J317" t="str">
            <v>SUROCCIDENTE</v>
          </cell>
          <cell r="K317" t="str">
            <v>Jaime Camargo</v>
          </cell>
          <cell r="L317" t="str">
            <v>Terminado</v>
          </cell>
        </row>
        <row r="318">
          <cell r="C318" t="str">
            <v xml:space="preserve">CBQL Malambo San Sebastian B </v>
          </cell>
          <cell r="D318" t="str">
            <v>CBQL_06231</v>
          </cell>
          <cell r="E318">
            <v>46077</v>
          </cell>
          <cell r="F318">
            <v>1085910</v>
          </cell>
          <cell r="G318">
            <v>-747827</v>
          </cell>
          <cell r="H318" t="str">
            <v>Atlantico</v>
          </cell>
          <cell r="I318" t="str">
            <v>WOM-HUAWEI</v>
          </cell>
          <cell r="J318" t="str">
            <v>COSTA</v>
          </cell>
          <cell r="K318" t="str">
            <v>Cesar Osorio</v>
          </cell>
          <cell r="L318" t="str">
            <v>Terminado</v>
          </cell>
        </row>
        <row r="319">
          <cell r="C319" t="str">
            <v>JMAG Carmen del Magdalena</v>
          </cell>
          <cell r="D319" t="str">
            <v>JMAG_00202</v>
          </cell>
          <cell r="E319">
            <v>46077</v>
          </cell>
          <cell r="F319">
            <v>10490498</v>
          </cell>
          <cell r="G319">
            <v>-7467119</v>
          </cell>
          <cell r="H319" t="str">
            <v>Magdalena</v>
          </cell>
          <cell r="I319" t="str">
            <v>WOM-HUAWEI</v>
          </cell>
          <cell r="J319" t="str">
            <v>COSTA</v>
          </cell>
          <cell r="K319" t="str">
            <v>Cesar Osorio</v>
          </cell>
          <cell r="L319" t="str">
            <v>Terminado</v>
          </cell>
        </row>
        <row r="320">
          <cell r="C320" t="str">
            <v>MAG Nueva Granada B</v>
          </cell>
          <cell r="D320" t="str">
            <v>MAG_06221</v>
          </cell>
          <cell r="E320">
            <v>46078</v>
          </cell>
          <cell r="F320">
            <v>9800841</v>
          </cell>
          <cell r="G320">
            <v>-74394175</v>
          </cell>
          <cell r="H320" t="str">
            <v>Magdalena</v>
          </cell>
          <cell r="I320" t="str">
            <v>WOM-HUAWEI</v>
          </cell>
          <cell r="J320" t="str">
            <v>COSTA</v>
          </cell>
          <cell r="K320" t="str">
            <v>Cesar Osorio</v>
          </cell>
          <cell r="L320" t="str">
            <v>Terminado</v>
          </cell>
        </row>
        <row r="321">
          <cell r="C321" t="str">
            <v>BTA PIO XII</v>
          </cell>
          <cell r="D321" t="str">
            <v>BTA_00351</v>
          </cell>
          <cell r="E321">
            <v>46078</v>
          </cell>
          <cell r="F321">
            <v>4.632854</v>
          </cell>
          <cell r="G321">
            <v>-74.149531999999994</v>
          </cell>
          <cell r="H321" t="str">
            <v>Cundinamarca</v>
          </cell>
          <cell r="I321" t="str">
            <v>WOM-HUAWEI</v>
          </cell>
          <cell r="J321" t="str">
            <v>CENTRO SUR/ NORTE</v>
          </cell>
          <cell r="K321" t="str">
            <v>Maria Camila Torres</v>
          </cell>
          <cell r="L321" t="str">
            <v>Terminado</v>
          </cell>
        </row>
        <row r="322">
          <cell r="C322" t="str">
            <v>KIOSCO GRAN PLAZA DEL SOL</v>
          </cell>
          <cell r="D322" t="str">
            <v>N/A</v>
          </cell>
          <cell r="F322" t="str">
            <v>N/A</v>
          </cell>
          <cell r="G322" t="str">
            <v>N/A</v>
          </cell>
          <cell r="H322" t="str">
            <v>Atlantico</v>
          </cell>
          <cell r="I322" t="str">
            <v>WOM</v>
          </cell>
          <cell r="J322" t="str">
            <v>COSTA</v>
          </cell>
          <cell r="K322" t="str">
            <v>Luciano Rubio</v>
          </cell>
          <cell r="L322" t="str">
            <v>Terminado</v>
          </cell>
        </row>
        <row r="323">
          <cell r="C323" t="str">
            <v>KIOSCO PORTAL DEL PRADO</v>
          </cell>
          <cell r="D323" t="str">
            <v>N/A</v>
          </cell>
          <cell r="F323" t="str">
            <v>N/A</v>
          </cell>
          <cell r="G323" t="str">
            <v>N/A</v>
          </cell>
          <cell r="H323" t="str">
            <v>Atlantico</v>
          </cell>
          <cell r="I323" t="str">
            <v>WOM</v>
          </cell>
          <cell r="J323" t="str">
            <v>COSTA</v>
          </cell>
          <cell r="K323" t="str">
            <v>Luciano Rubio</v>
          </cell>
          <cell r="L323" t="str">
            <v>Terminado</v>
          </cell>
        </row>
        <row r="324">
          <cell r="C324" t="str">
            <v>BTA Villa Claudia</v>
          </cell>
          <cell r="D324" t="str">
            <v>BTA_00514</v>
          </cell>
          <cell r="E324">
            <v>46079</v>
          </cell>
          <cell r="F324">
            <v>4.6131289999999998</v>
          </cell>
          <cell r="G324">
            <v>-74.133615000000006</v>
          </cell>
          <cell r="H324" t="str">
            <v>Cundinamarca</v>
          </cell>
          <cell r="I324" t="str">
            <v>WOM-HUAWEI</v>
          </cell>
          <cell r="J324" t="str">
            <v>CENTRO SUR/ NORTE</v>
          </cell>
          <cell r="K324" t="str">
            <v>Maria Camila Torres</v>
          </cell>
          <cell r="L324" t="str">
            <v>Terminado</v>
          </cell>
        </row>
        <row r="325">
          <cell r="C325" t="str">
            <v>TIENDA VALLEDUPAR</v>
          </cell>
          <cell r="D325" t="str">
            <v>N/A</v>
          </cell>
          <cell r="F325" t="str">
            <v>N/A</v>
          </cell>
          <cell r="G325" t="str">
            <v>N/A</v>
          </cell>
          <cell r="H325" t="str">
            <v>Atlantico</v>
          </cell>
          <cell r="I325" t="str">
            <v>WOM</v>
          </cell>
          <cell r="J325" t="str">
            <v>COSTA</v>
          </cell>
          <cell r="K325" t="str">
            <v>Luciano Rubio</v>
          </cell>
          <cell r="L325" t="str">
            <v>Terminado</v>
          </cell>
        </row>
        <row r="326">
          <cell r="C326" t="str">
            <v>BTA Guadalupe B</v>
          </cell>
          <cell r="D326" t="str">
            <v>BTA_01878</v>
          </cell>
          <cell r="E326">
            <v>46079</v>
          </cell>
          <cell r="F326">
            <v>4.6131289999999998</v>
          </cell>
          <cell r="G326">
            <v>-74.133615000000006</v>
          </cell>
          <cell r="H326" t="str">
            <v>Cundinamarca</v>
          </cell>
          <cell r="I326" t="str">
            <v>WOM-HUAWEI</v>
          </cell>
          <cell r="J326" t="str">
            <v>CENTRO SUR/ NORTE</v>
          </cell>
          <cell r="K326" t="str">
            <v>Maria Camila Torres</v>
          </cell>
          <cell r="L326" t="str">
            <v>Terminado</v>
          </cell>
        </row>
        <row r="327">
          <cell r="C327" t="str">
            <v>BTA Provivienda B</v>
          </cell>
          <cell r="D327" t="str">
            <v>BTA_20098</v>
          </cell>
          <cell r="E327">
            <v>46083</v>
          </cell>
          <cell r="F327">
            <v>4.6078799999999998</v>
          </cell>
          <cell r="G327">
            <v>-74.136105999999998</v>
          </cell>
          <cell r="H327" t="str">
            <v>Cundinamarca</v>
          </cell>
          <cell r="I327" t="str">
            <v>WOM-HUAWEI</v>
          </cell>
          <cell r="J327" t="str">
            <v>CENTRO SUR/ NORTE</v>
          </cell>
          <cell r="K327" t="str">
            <v>Jaime Camargo</v>
          </cell>
          <cell r="L327" t="str">
            <v>Terminado</v>
          </cell>
        </row>
        <row r="328">
          <cell r="C328" t="str">
            <v>BTA Estoril B</v>
          </cell>
          <cell r="D328" t="str">
            <v>BTA_00168</v>
          </cell>
          <cell r="E328">
            <v>46084</v>
          </cell>
          <cell r="F328">
            <v>4.6890191400000001</v>
          </cell>
          <cell r="G328">
            <v>4.6890191400000001</v>
          </cell>
          <cell r="H328" t="str">
            <v>Cundinamarca</v>
          </cell>
          <cell r="I328" t="str">
            <v>WOM-HUAWEI</v>
          </cell>
          <cell r="J328" t="str">
            <v>CENTRO SUR/ NORTE</v>
          </cell>
          <cell r="K328" t="str">
            <v>Maria Camila Torres</v>
          </cell>
          <cell r="L328" t="str">
            <v>Terminado</v>
          </cell>
        </row>
        <row r="329">
          <cell r="C329" t="str">
            <v>MAHATES</v>
          </cell>
          <cell r="D329" t="str">
            <v>BOL-040175</v>
          </cell>
          <cell r="E329">
            <v>47177</v>
          </cell>
          <cell r="F329">
            <v>10.236000000000001</v>
          </cell>
          <cell r="G329">
            <v>-75.188000000000002</v>
          </cell>
          <cell r="H329" t="str">
            <v>Atlantico</v>
          </cell>
          <cell r="I329" t="str">
            <v>UNIRED</v>
          </cell>
          <cell r="J329" t="str">
            <v>COSTA</v>
          </cell>
          <cell r="K329" t="str">
            <v>Rafael Torres</v>
          </cell>
          <cell r="L329" t="str">
            <v>Terminado</v>
          </cell>
        </row>
        <row r="330">
          <cell r="C330" t="str">
            <v>TERMINAL 2</v>
          </cell>
          <cell r="D330" t="str">
            <v>CAL-350023</v>
          </cell>
          <cell r="E330">
            <v>46080</v>
          </cell>
          <cell r="F330">
            <v>3.4516</v>
          </cell>
          <cell r="G330">
            <v>-76.531999999999996</v>
          </cell>
          <cell r="H330" t="str">
            <v>Valle del Cauca</v>
          </cell>
          <cell r="I330" t="str">
            <v>UNIRED</v>
          </cell>
          <cell r="J330" t="str">
            <v>SUROCCIDENTE</v>
          </cell>
          <cell r="K330" t="str">
            <v>Wilson Alejandro Solarte</v>
          </cell>
          <cell r="L330" t="str">
            <v>Terminado</v>
          </cell>
        </row>
        <row r="331">
          <cell r="C331" t="str">
            <v>BTA Santafe Santa Ines 2</v>
          </cell>
          <cell r="D331" t="str">
            <v>BTA_06480</v>
          </cell>
          <cell r="E331">
            <v>46073</v>
          </cell>
          <cell r="F331">
            <v>4.6011300000000004</v>
          </cell>
          <cell r="G331">
            <v>-74.079899999999995</v>
          </cell>
          <cell r="H331" t="str">
            <v>Cundinamarca</v>
          </cell>
          <cell r="I331" t="str">
            <v>WOM-HUAWEI</v>
          </cell>
          <cell r="J331" t="str">
            <v>CENTRO SUR/ NORTE</v>
          </cell>
          <cell r="K331" t="str">
            <v>Jaime Camargo</v>
          </cell>
          <cell r="L331" t="str">
            <v>Terminado</v>
          </cell>
        </row>
        <row r="332">
          <cell r="C332" t="str">
            <v>JCES Costa Rica</v>
          </cell>
          <cell r="D332" t="str">
            <v>JCES_00172</v>
          </cell>
          <cell r="E332">
            <v>46081</v>
          </cell>
          <cell r="F332">
            <v>1039487</v>
          </cell>
          <cell r="G332">
            <v>-7373081</v>
          </cell>
          <cell r="H332" t="str">
            <v>Cesar</v>
          </cell>
          <cell r="I332" t="str">
            <v>WOM-HUAWEI</v>
          </cell>
          <cell r="J332" t="str">
            <v>NOROCCIDENTE</v>
          </cell>
          <cell r="K332" t="str">
            <v>Cesar Osorio</v>
          </cell>
          <cell r="L332" t="str">
            <v>Terminado</v>
          </cell>
        </row>
        <row r="333">
          <cell r="C333" t="str">
            <v>HUI_ANTARES</v>
          </cell>
          <cell r="D333" t="str">
            <v>HUI0033</v>
          </cell>
          <cell r="E333">
            <v>46083</v>
          </cell>
          <cell r="F333" t="str">
            <v>N/A</v>
          </cell>
          <cell r="G333" t="str">
            <v>N/A</v>
          </cell>
          <cell r="H333" t="str">
            <v>Huila</v>
          </cell>
          <cell r="I333" t="str">
            <v>UNIRED</v>
          </cell>
          <cell r="J333" t="str">
            <v>NOROCCIDENTE</v>
          </cell>
          <cell r="K333" t="str">
            <v>Javier Leonardo Vega</v>
          </cell>
          <cell r="L333" t="str">
            <v>Terminado</v>
          </cell>
        </row>
        <row r="334">
          <cell r="C334" t="str">
            <v>SAT_QUEBRADA_CHICAMOCHA</v>
          </cell>
          <cell r="D334" t="str">
            <v>SAT0005</v>
          </cell>
          <cell r="E334">
            <v>46081</v>
          </cell>
          <cell r="F334">
            <v>6.827</v>
          </cell>
          <cell r="G334">
            <v>-73.031000000000006</v>
          </cell>
          <cell r="H334" t="str">
            <v>Norte de Santander</v>
          </cell>
          <cell r="I334" t="str">
            <v>UNIRED</v>
          </cell>
          <cell r="J334" t="str">
            <v>NOROCCIDENTE</v>
          </cell>
          <cell r="K334" t="str">
            <v>Carlos Eduardo Montoya</v>
          </cell>
          <cell r="L334" t="str">
            <v>Terminado</v>
          </cell>
        </row>
        <row r="335">
          <cell r="C335" t="str">
            <v>ALTO DE MARIPI</v>
          </cell>
          <cell r="D335" t="str">
            <v>BOY-250072</v>
          </cell>
          <cell r="E335">
            <v>46084</v>
          </cell>
          <cell r="F335">
            <v>5.5389999999999997</v>
          </cell>
          <cell r="G335">
            <v>-74.019000000000005</v>
          </cell>
          <cell r="H335" t="str">
            <v>Boyaca</v>
          </cell>
          <cell r="I335" t="str">
            <v>UNIRED</v>
          </cell>
          <cell r="J335" t="str">
            <v>NOROCCIDENTE</v>
          </cell>
          <cell r="K335" t="str">
            <v>Carlos Eduardo Montoya</v>
          </cell>
          <cell r="L335" t="str">
            <v>Terminado</v>
          </cell>
        </row>
        <row r="336">
          <cell r="C336" t="str">
            <v>SAT_QUEBRADA_CHICAMOCHA</v>
          </cell>
          <cell r="D336" t="str">
            <v>SAT0005</v>
          </cell>
          <cell r="F336">
            <v>6.827</v>
          </cell>
          <cell r="G336">
            <v>-73.031000000000006</v>
          </cell>
          <cell r="H336" t="str">
            <v>Norte de Santander</v>
          </cell>
          <cell r="I336" t="str">
            <v>UNIRED</v>
          </cell>
          <cell r="J336" t="str">
            <v>NOROCCIDENTE</v>
          </cell>
          <cell r="K336" t="str">
            <v>Carlos Eduardo Montoya</v>
          </cell>
          <cell r="L336" t="str">
            <v>Inicio</v>
          </cell>
        </row>
        <row r="337">
          <cell r="C337" t="str">
            <v>NEI Ciudadela Acropolis</v>
          </cell>
          <cell r="D337" t="str">
            <v>NEI_04419</v>
          </cell>
          <cell r="F337" t="str">
            <v>N/A</v>
          </cell>
          <cell r="G337" t="str">
            <v>N/A</v>
          </cell>
          <cell r="H337" t="str">
            <v>Huila</v>
          </cell>
          <cell r="I337" t="str">
            <v>WOM-HUAWEI</v>
          </cell>
          <cell r="J337" t="str">
            <v>NOROCCIDENTE</v>
          </cell>
          <cell r="K337" t="str">
            <v>Alejandro Sanchez</v>
          </cell>
          <cell r="L337" t="str">
            <v>Terminado</v>
          </cell>
        </row>
        <row r="338">
          <cell r="C338" t="str">
            <v>BTA Estoril B</v>
          </cell>
          <cell r="D338" t="str">
            <v>BTA_00168</v>
          </cell>
          <cell r="E338">
            <v>46084</v>
          </cell>
          <cell r="F338">
            <v>4.6890191400000001</v>
          </cell>
          <cell r="G338">
            <v>-74.058203489999997</v>
          </cell>
          <cell r="H338" t="str">
            <v>Cundinamarca</v>
          </cell>
          <cell r="I338" t="str">
            <v>WOM-HUAWEI</v>
          </cell>
          <cell r="J338" t="str">
            <v>CENTRO SUR/ NORTE</v>
          </cell>
          <cell r="K338" t="str">
            <v>Maria Camila Torres</v>
          </cell>
          <cell r="L338" t="str">
            <v>Terminado</v>
          </cell>
        </row>
        <row r="339">
          <cell r="C339" t="str">
            <v>INTERLAKEN</v>
          </cell>
          <cell r="D339" t="str">
            <v>IBA-440094</v>
          </cell>
          <cell r="E339">
            <v>46084</v>
          </cell>
          <cell r="F339" t="str">
            <v>N/A</v>
          </cell>
          <cell r="G339" t="str">
            <v>N/A</v>
          </cell>
          <cell r="H339" t="str">
            <v>Tolima</v>
          </cell>
          <cell r="I339" t="str">
            <v>WOM-HUAWEI</v>
          </cell>
          <cell r="J339" t="str">
            <v>CENTRO SUR/ NORTE</v>
          </cell>
          <cell r="K339" t="str">
            <v>Javier Leonardo Vega</v>
          </cell>
          <cell r="L339" t="str">
            <v>Terminado</v>
          </cell>
        </row>
        <row r="340">
          <cell r="C340" t="str">
            <v>SABANETA CUNDINAMARCA</v>
          </cell>
          <cell r="D340" t="str">
            <v>CUN-010089</v>
          </cell>
          <cell r="E340">
            <v>46086</v>
          </cell>
          <cell r="F340" t="str">
            <v>N/A</v>
          </cell>
          <cell r="G340" t="str">
            <v>N/A</v>
          </cell>
          <cell r="H340" t="str">
            <v>Cundinamarca</v>
          </cell>
          <cell r="I340" t="str">
            <v>UNIRED</v>
          </cell>
          <cell r="J340" t="str">
            <v>CENTRO SUR/ NORTE</v>
          </cell>
          <cell r="K340" t="str">
            <v>Javier Leonardo Vega</v>
          </cell>
          <cell r="L340" t="str">
            <v>Terminado</v>
          </cell>
        </row>
        <row r="341">
          <cell r="C341" t="str">
            <v>BTA San Fernando Occidental</v>
          </cell>
          <cell r="D341" t="str">
            <v>BTA_00411</v>
          </cell>
          <cell r="E341">
            <v>46085</v>
          </cell>
          <cell r="F341">
            <v>4.6776960000000001</v>
          </cell>
          <cell r="G341">
            <v>-74.083395999999993</v>
          </cell>
          <cell r="H341" t="str">
            <v>Cundinamarca</v>
          </cell>
          <cell r="I341" t="str">
            <v>WOM-HUAWEI</v>
          </cell>
          <cell r="J341" t="str">
            <v>CENTRO SUR/ NORTE</v>
          </cell>
          <cell r="K341" t="str">
            <v>Maria Camila Torres</v>
          </cell>
          <cell r="L341" t="str">
            <v>Terminado</v>
          </cell>
        </row>
        <row r="342">
          <cell r="C342" t="str">
            <v>BTA Llano Grande</v>
          </cell>
          <cell r="D342" t="str">
            <v>BTA_20096</v>
          </cell>
          <cell r="E342">
            <v>46087</v>
          </cell>
          <cell r="F342">
            <v>46324</v>
          </cell>
          <cell r="G342">
            <v>-741628</v>
          </cell>
          <cell r="H342" t="str">
            <v>Cundinamarca</v>
          </cell>
          <cell r="I342" t="str">
            <v>WOM-HUAWEI</v>
          </cell>
          <cell r="J342" t="str">
            <v>CENTRO SUR/ NORTE</v>
          </cell>
          <cell r="K342" t="str">
            <v>Jaime Camargo</v>
          </cell>
          <cell r="L342" t="str">
            <v>Terminado</v>
          </cell>
        </row>
        <row r="343">
          <cell r="C343" t="str">
            <v>TIMANA</v>
          </cell>
          <cell r="D343" t="str">
            <v>UB295</v>
          </cell>
          <cell r="E343">
            <v>46090</v>
          </cell>
          <cell r="F343" t="str">
            <v>N/A</v>
          </cell>
          <cell r="G343" t="str">
            <v>N/A</v>
          </cell>
          <cell r="H343" t="str">
            <v>Huila</v>
          </cell>
          <cell r="I343" t="str">
            <v>UNIRED</v>
          </cell>
          <cell r="J343" t="str">
            <v>NOROCCIDENTE</v>
          </cell>
          <cell r="K343" t="str">
            <v>Javier Leonardo Vega</v>
          </cell>
          <cell r="L343" t="str">
            <v>Terminado</v>
          </cell>
        </row>
        <row r="344">
          <cell r="C344" t="str">
            <v>OPORAPA HUILA</v>
          </cell>
          <cell r="D344" t="str">
            <v>S8920</v>
          </cell>
          <cell r="E344">
            <v>46090</v>
          </cell>
          <cell r="F344" t="str">
            <v>N/A</v>
          </cell>
          <cell r="G344" t="str">
            <v>N/A</v>
          </cell>
          <cell r="H344" t="str">
            <v>Huila</v>
          </cell>
          <cell r="I344" t="str">
            <v>UNIRED</v>
          </cell>
          <cell r="J344" t="str">
            <v>NOROCCIDENTE</v>
          </cell>
          <cell r="K344" t="str">
            <v>Javier Leonardo Vega</v>
          </cell>
          <cell r="L344" t="str">
            <v>Terminado</v>
          </cell>
        </row>
        <row r="345">
          <cell r="C345" t="str">
            <v>PER_GALICIA</v>
          </cell>
          <cell r="D345" t="str">
            <v xml:space="preserve">PER0062 </v>
          </cell>
          <cell r="E345">
            <v>46088</v>
          </cell>
          <cell r="F345" t="str">
            <v>N/A</v>
          </cell>
          <cell r="G345" t="str">
            <v>N/A</v>
          </cell>
          <cell r="H345" t="str">
            <v>Huila</v>
          </cell>
          <cell r="I345" t="str">
            <v>UNIRED</v>
          </cell>
          <cell r="J345" t="str">
            <v>NOROCCIDENTE</v>
          </cell>
          <cell r="K345" t="str">
            <v>Carlos Eduardo Montoya</v>
          </cell>
          <cell r="L345" t="str">
            <v>Terminado</v>
          </cell>
        </row>
        <row r="346">
          <cell r="C346" t="str">
            <v>NAR San Pedro de Cartago</v>
          </cell>
          <cell r="D346" t="str">
            <v>NAR-410083</v>
          </cell>
          <cell r="E346">
            <v>46093</v>
          </cell>
          <cell r="F346" t="str">
            <v>N/A</v>
          </cell>
          <cell r="G346" t="str">
            <v>N/A</v>
          </cell>
          <cell r="H346" t="str">
            <v>Nariño</v>
          </cell>
          <cell r="I346" t="str">
            <v>UNIRED</v>
          </cell>
          <cell r="J346" t="str">
            <v>SUROCCIDENTE</v>
          </cell>
          <cell r="K346" t="str">
            <v>Wilson Alejandro Solarte</v>
          </cell>
          <cell r="L346" t="str">
            <v>Terminado</v>
          </cell>
        </row>
        <row r="347">
          <cell r="C347" t="str">
            <v>BTA Los Laureles</v>
          </cell>
          <cell r="D347" t="str">
            <v>BTA_01121</v>
          </cell>
          <cell r="E347">
            <v>46094</v>
          </cell>
          <cell r="F347">
            <v>470861111</v>
          </cell>
          <cell r="G347">
            <v>-74139</v>
          </cell>
          <cell r="H347" t="str">
            <v>Cundinamarca</v>
          </cell>
          <cell r="I347" t="str">
            <v>WOM-HUAWEI</v>
          </cell>
          <cell r="J347" t="str">
            <v>CENTRO SUR/ NORTE</v>
          </cell>
          <cell r="K347" t="str">
            <v>Jaime Camargo</v>
          </cell>
          <cell r="L347" t="str">
            <v>Terminado</v>
          </cell>
        </row>
        <row r="348">
          <cell r="C348" t="str">
            <v>JCUN Golgota</v>
          </cell>
          <cell r="D348" t="str">
            <v>JCUN_00407</v>
          </cell>
          <cell r="E348">
            <v>46090</v>
          </cell>
          <cell r="F348">
            <v>4.768046</v>
          </cell>
          <cell r="G348">
            <v>-74.576096000000007</v>
          </cell>
          <cell r="H348" t="str">
            <v>Cundinamarca</v>
          </cell>
          <cell r="I348" t="str">
            <v>WOM-HUAWEI</v>
          </cell>
          <cell r="J348" t="str">
            <v>CENTRO SUR/ NORTE</v>
          </cell>
          <cell r="K348" t="str">
            <v>Jaime Camargo</v>
          </cell>
          <cell r="L348" t="str">
            <v>Terminado</v>
          </cell>
        </row>
        <row r="349">
          <cell r="C349" t="str">
            <v>BTA Fontibon Centro</v>
          </cell>
          <cell r="D349" t="str">
            <v>BTA_00076</v>
          </cell>
          <cell r="E349">
            <v>46091</v>
          </cell>
          <cell r="F349">
            <v>4.6716899999999999</v>
          </cell>
          <cell r="G349">
            <v>-74.145660000000007</v>
          </cell>
          <cell r="H349" t="str">
            <v>Cundinamarca</v>
          </cell>
          <cell r="I349" t="str">
            <v>WOM-HUAWEI</v>
          </cell>
          <cell r="J349" t="str">
            <v>CENTRO SUR/ NORTE</v>
          </cell>
          <cell r="K349" t="str">
            <v>Maria Camila Torres</v>
          </cell>
          <cell r="L349" t="str">
            <v>Terminado</v>
          </cell>
        </row>
        <row r="350">
          <cell r="C350" t="str">
            <v>BTA Jose Antonio Galan</v>
          </cell>
          <cell r="D350" t="str">
            <v>BTA_00200</v>
          </cell>
          <cell r="E350">
            <v>46086</v>
          </cell>
          <cell r="F350">
            <v>4.6045499999999997</v>
          </cell>
          <cell r="G350">
            <v>-74.181780000000003</v>
          </cell>
          <cell r="H350" t="str">
            <v>Cundinamarca</v>
          </cell>
          <cell r="I350" t="str">
            <v>WOM-HUAWEI</v>
          </cell>
          <cell r="J350" t="str">
            <v>CENTRO SUR/ NORTE</v>
          </cell>
          <cell r="K350" t="str">
            <v>Maria Camila Torres</v>
          </cell>
          <cell r="L350" t="str">
            <v>Terminado</v>
          </cell>
        </row>
        <row r="351">
          <cell r="C351" t="str">
            <v>CMED Envigado El Dorado</v>
          </cell>
          <cell r="D351" t="str">
            <v>CMED_01413</v>
          </cell>
          <cell r="E351">
            <v>46097</v>
          </cell>
          <cell r="F351">
            <v>6.1661799999999998</v>
          </cell>
          <cell r="G351">
            <v>-75.590860000000006</v>
          </cell>
          <cell r="H351" t="str">
            <v>Antioquia</v>
          </cell>
          <cell r="I351" t="str">
            <v>WOM-HUAWEI</v>
          </cell>
          <cell r="J351" t="str">
            <v>NOROCCIDENTE</v>
          </cell>
          <cell r="K351" t="str">
            <v>Alejandro Sanchez</v>
          </cell>
          <cell r="L351" t="str">
            <v>Terminado</v>
          </cell>
        </row>
        <row r="352">
          <cell r="C352" t="str">
            <v>BTA La Favorita 2</v>
          </cell>
          <cell r="D352" t="str">
            <v>BTA_00227</v>
          </cell>
          <cell r="E352">
            <v>46097</v>
          </cell>
          <cell r="F352">
            <v>4.6083699999999999</v>
          </cell>
          <cell r="G352">
            <v>-74.076868000000005</v>
          </cell>
          <cell r="H352" t="str">
            <v>Cundinamarca</v>
          </cell>
          <cell r="I352" t="str">
            <v>WOM-HUAWEI</v>
          </cell>
          <cell r="J352" t="str">
            <v>CENTRO SUR/ NORTE</v>
          </cell>
          <cell r="K352" t="str">
            <v>Maria Camila Torres</v>
          </cell>
          <cell r="L352" t="str">
            <v>Terminado</v>
          </cell>
        </row>
        <row r="353">
          <cell r="C353" t="str">
            <v>MED Berlin</v>
          </cell>
          <cell r="D353" t="str">
            <v>MED_00606</v>
          </cell>
          <cell r="E353">
            <v>46095</v>
          </cell>
          <cell r="F353">
            <v>6.2841779999999998</v>
          </cell>
          <cell r="G353">
            <v>-75.686000000000007</v>
          </cell>
          <cell r="H353" t="str">
            <v>Antioquia</v>
          </cell>
          <cell r="I353" t="str">
            <v>WOM</v>
          </cell>
          <cell r="J353" t="str">
            <v>NOROCCIDENTE</v>
          </cell>
          <cell r="K353" t="str">
            <v>Dawy Rivera</v>
          </cell>
          <cell r="L353" t="str">
            <v>Terminado</v>
          </cell>
        </row>
        <row r="354">
          <cell r="C354" t="str">
            <v>JCUN Malambo</v>
          </cell>
          <cell r="D354" t="str">
            <v>JCUN_00301</v>
          </cell>
          <cell r="E354">
            <v>46094</v>
          </cell>
          <cell r="F354">
            <v>5.1024760000000002</v>
          </cell>
          <cell r="G354">
            <v>-74.704243000000005</v>
          </cell>
          <cell r="H354" t="str">
            <v>Cundinamarca</v>
          </cell>
          <cell r="I354" t="str">
            <v>WOM-HUAWEI</v>
          </cell>
          <cell r="J354" t="str">
            <v>CENTRO SUR/ NORTE</v>
          </cell>
          <cell r="K354" t="str">
            <v>Maria Camila Torres</v>
          </cell>
          <cell r="L354" t="str">
            <v>Terminado</v>
          </cell>
        </row>
        <row r="355">
          <cell r="C355" t="str">
            <v>JCUN Malambo</v>
          </cell>
          <cell r="D355" t="str">
            <v>JCUN_00301</v>
          </cell>
          <cell r="E355">
            <v>46094</v>
          </cell>
          <cell r="F355">
            <v>5.1024760000000002</v>
          </cell>
          <cell r="G355">
            <v>-74.704243000000005</v>
          </cell>
          <cell r="H355" t="str">
            <v>Cundinamarca</v>
          </cell>
          <cell r="I355" t="str">
            <v>WOM-HUAWEI</v>
          </cell>
          <cell r="J355" t="str">
            <v>CENTRO SUR/ NORTE</v>
          </cell>
          <cell r="K355" t="str">
            <v>Maria Camila Torres</v>
          </cell>
          <cell r="L355" t="str">
            <v>Terminado</v>
          </cell>
        </row>
        <row r="356">
          <cell r="C356" t="str">
            <v>JCOR Barrial Arriba</v>
          </cell>
          <cell r="D356" t="str">
            <v>JCOR_00107</v>
          </cell>
          <cell r="E356">
            <v>46098</v>
          </cell>
          <cell r="F356" t="str">
            <v>N/A</v>
          </cell>
          <cell r="G356" t="str">
            <v>N/A</v>
          </cell>
          <cell r="H356" t="str">
            <v>Cordoba</v>
          </cell>
          <cell r="I356" t="str">
            <v>WOM-HUAWEI</v>
          </cell>
          <cell r="J356" t="str">
            <v>COSTA</v>
          </cell>
          <cell r="K356" t="str">
            <v>Cesar Osorio</v>
          </cell>
          <cell r="L356" t="str">
            <v>Terminado</v>
          </cell>
        </row>
        <row r="357">
          <cell r="C357" t="str">
            <v>RIS_PEAJE_CERRITOS</v>
          </cell>
          <cell r="D357" t="str">
            <v>PER-330056</v>
          </cell>
          <cell r="E357">
            <v>46095</v>
          </cell>
          <cell r="F357">
            <v>4.7789999999999999</v>
          </cell>
          <cell r="G357">
            <v>-75.876999999999995</v>
          </cell>
          <cell r="H357" t="str">
            <v>Risaralda</v>
          </cell>
          <cell r="I357" t="str">
            <v>UNIRED</v>
          </cell>
          <cell r="J357" t="str">
            <v>SUROCCIDENTE</v>
          </cell>
          <cell r="K357" t="str">
            <v>Carlos Eduardo Montoya</v>
          </cell>
          <cell r="L357" t="str">
            <v>Terminado</v>
          </cell>
        </row>
        <row r="358">
          <cell r="C358" t="str">
            <v xml:space="preserve">Tobias Emanuel </v>
          </cell>
          <cell r="D358" t="str">
            <v xml:space="preserve">CAL-350175 </v>
          </cell>
          <cell r="E358">
            <v>46099</v>
          </cell>
          <cell r="F358" t="str">
            <v>N/A</v>
          </cell>
          <cell r="G358" t="str">
            <v>N/A</v>
          </cell>
          <cell r="H358" t="str">
            <v>Valle del Cauca</v>
          </cell>
          <cell r="I358" t="str">
            <v>UNIRED</v>
          </cell>
          <cell r="J358" t="str">
            <v>SUROCCIDENTE</v>
          </cell>
          <cell r="K358" t="str">
            <v>Wilson Alejandro Solarte</v>
          </cell>
          <cell r="L358" t="str">
            <v>Terminado</v>
          </cell>
        </row>
        <row r="359">
          <cell r="C359" t="str">
            <v xml:space="preserve">SANTA LIBRADA </v>
          </cell>
          <cell r="D359" t="str">
            <v>S722</v>
          </cell>
          <cell r="F359" t="str">
            <v>N/A</v>
          </cell>
          <cell r="G359" t="str">
            <v>N/A</v>
          </cell>
          <cell r="H359" t="str">
            <v>Valle del Cauca</v>
          </cell>
          <cell r="I359" t="str">
            <v>UNIRED</v>
          </cell>
          <cell r="J359" t="str">
            <v>SUROCCIDENTE</v>
          </cell>
          <cell r="K359" t="str">
            <v>Wilson Alejandro Solarte</v>
          </cell>
          <cell r="L359" t="str">
            <v>En Ejecución</v>
          </cell>
        </row>
        <row r="360">
          <cell r="C360" t="str">
            <v>BTA Provivienda Oriental</v>
          </cell>
          <cell r="D360" t="str">
            <v>BTA_07179</v>
          </cell>
          <cell r="E360">
            <v>46101</v>
          </cell>
          <cell r="F360">
            <v>4.6172110000000002</v>
          </cell>
          <cell r="G360">
            <v>-74.131911000000002</v>
          </cell>
          <cell r="H360" t="str">
            <v>Cundinamarca</v>
          </cell>
          <cell r="I360" t="str">
            <v>WOM-HUAWEI</v>
          </cell>
          <cell r="J360" t="str">
            <v>CENTRO SUR/ NORTE</v>
          </cell>
          <cell r="K360" t="str">
            <v>Jaime Camargo</v>
          </cell>
          <cell r="L360" t="str">
            <v>Terminado</v>
          </cell>
        </row>
        <row r="361">
          <cell r="C361" t="str">
            <v>CUN Granada</v>
          </cell>
          <cell r="D361" t="str">
            <v>CUN_04509</v>
          </cell>
          <cell r="E361">
            <v>46093</v>
          </cell>
          <cell r="F361">
            <v>4.5201586000000002</v>
          </cell>
          <cell r="G361">
            <v>-74.350549999999998</v>
          </cell>
          <cell r="H361" t="str">
            <v>Cundinamarca</v>
          </cell>
          <cell r="I361" t="str">
            <v>WOM-HUAWEI</v>
          </cell>
          <cell r="J361" t="str">
            <v>CENTRO SUR/ NORTE</v>
          </cell>
          <cell r="K361" t="str">
            <v>Maria Camila Torres</v>
          </cell>
          <cell r="L361" t="str">
            <v>Terminado</v>
          </cell>
        </row>
        <row r="362">
          <cell r="C362" t="str">
            <v>CBTA Tocancipa Centro</v>
          </cell>
          <cell r="D362" t="str">
            <v>CBTA_06195</v>
          </cell>
          <cell r="E362">
            <v>46100</v>
          </cell>
          <cell r="F362">
            <v>4.5201586000000002</v>
          </cell>
          <cell r="G362">
            <v>-74.350549999999998</v>
          </cell>
          <cell r="H362" t="str">
            <v>Cundinamarca</v>
          </cell>
          <cell r="I362" t="str">
            <v>WOM-HUAWEI</v>
          </cell>
          <cell r="J362" t="str">
            <v>CENTRO SUR/ NORTE</v>
          </cell>
          <cell r="K362" t="str">
            <v>Maria Camila Torres</v>
          </cell>
          <cell r="L362" t="str">
            <v>Terminado</v>
          </cell>
        </row>
        <row r="363">
          <cell r="C363" t="str">
            <v>BTA Industrial Centenario</v>
          </cell>
          <cell r="D363" t="str">
            <v>BTA_00189</v>
          </cell>
          <cell r="E363">
            <v>46099</v>
          </cell>
          <cell r="F363">
            <v>4.6228400000000001</v>
          </cell>
          <cell r="G363">
            <v>-74.096080000000001</v>
          </cell>
          <cell r="H363" t="str">
            <v>Cundinamarca</v>
          </cell>
          <cell r="I363" t="str">
            <v>WOM-HUAWEI</v>
          </cell>
          <cell r="J363" t="str">
            <v>CENTRO SUR/ NORTE</v>
          </cell>
          <cell r="K363" t="str">
            <v>Maria Camila Torres</v>
          </cell>
          <cell r="L363" t="str">
            <v>Terminado</v>
          </cell>
        </row>
        <row r="364">
          <cell r="C364" t="str">
            <v>BARRIO FONTIBON</v>
          </cell>
          <cell r="D364" t="str">
            <v>TLF_S17210</v>
          </cell>
          <cell r="E364">
            <v>46099</v>
          </cell>
          <cell r="F364">
            <v>4.6754100000000003</v>
          </cell>
          <cell r="G364">
            <v>-74.145330000000001</v>
          </cell>
          <cell r="H364" t="str">
            <v>Cundinamarca</v>
          </cell>
          <cell r="I364" t="str">
            <v>TELEFONICA</v>
          </cell>
          <cell r="J364" t="str">
            <v>CENTRO SUR/ NORTE</v>
          </cell>
          <cell r="K364" t="str">
            <v>Jason Julian Melo</v>
          </cell>
          <cell r="L364" t="str">
            <v>Terminado</v>
          </cell>
        </row>
        <row r="365">
          <cell r="C365" t="str">
            <v>BTA VENECIA D</v>
          </cell>
          <cell r="D365" t="str">
            <v>BTA_08875</v>
          </cell>
          <cell r="H365" t="str">
            <v>Cundinamarca</v>
          </cell>
          <cell r="I365" t="str">
            <v>WOM</v>
          </cell>
          <cell r="J365" t="str">
            <v>CENTRO SUR/ NORTE</v>
          </cell>
          <cell r="K365" t="str">
            <v>Dawy Rivera</v>
          </cell>
          <cell r="L365" t="str">
            <v>En Ejecución</v>
          </cell>
        </row>
        <row r="366">
          <cell r="C366" t="str">
            <v>ABASTOS NEIVA</v>
          </cell>
          <cell r="D366" t="str">
            <v>NEI_400006</v>
          </cell>
          <cell r="E366">
            <v>46101</v>
          </cell>
          <cell r="F366">
            <v>2.9129999999999998</v>
          </cell>
          <cell r="G366">
            <v>-75.272000000000006</v>
          </cell>
          <cell r="H366" t="str">
            <v>Huila</v>
          </cell>
          <cell r="I366" t="str">
            <v>UNIRED</v>
          </cell>
          <cell r="J366" t="str">
            <v>CENTRO SUR/ NORTE</v>
          </cell>
          <cell r="K366" t="str">
            <v>Javier Leonardo Vega</v>
          </cell>
          <cell r="L366" t="str">
            <v>Terminado</v>
          </cell>
        </row>
        <row r="367">
          <cell r="C367" t="str">
            <v>CBTA Soacha Leon XIII B</v>
          </cell>
          <cell r="D367" t="str">
            <v>CBTA_03943</v>
          </cell>
          <cell r="E367">
            <v>46105</v>
          </cell>
          <cell r="F367">
            <v>4.5930989999999996</v>
          </cell>
          <cell r="G367">
            <v>-74.191917000000004</v>
          </cell>
          <cell r="H367" t="str">
            <v>Cundinamarca</v>
          </cell>
          <cell r="I367" t="str">
            <v>WOM-HUAWEI</v>
          </cell>
          <cell r="J367" t="str">
            <v>CENTRO SUR/ NORTE</v>
          </cell>
          <cell r="K367" t="str">
            <v>Maria Camila Torres</v>
          </cell>
          <cell r="L367" t="str">
            <v>Terminado</v>
          </cell>
        </row>
        <row r="368">
          <cell r="C368" t="str">
            <v>BTA Ciudad Villamayor Antigua</v>
          </cell>
          <cell r="D368" t="str">
            <v>BTA_06226</v>
          </cell>
          <cell r="E368">
            <v>46106</v>
          </cell>
          <cell r="F368">
            <v>4.5913870000000001</v>
          </cell>
          <cell r="G368">
            <v>-74.123322000000002</v>
          </cell>
          <cell r="H368" t="str">
            <v>Cundinamarca</v>
          </cell>
          <cell r="I368" t="str">
            <v>WOM-HUAWEI</v>
          </cell>
          <cell r="J368" t="str">
            <v>CENTRO SUR/ NORTE</v>
          </cell>
          <cell r="K368" t="str">
            <v>Maria Camila Torres</v>
          </cell>
          <cell r="L368" t="str">
            <v>Terminado</v>
          </cell>
        </row>
        <row r="369">
          <cell r="C369" t="str">
            <v>LA_JAGUA_DE_IBIRICO</v>
          </cell>
          <cell r="D369" t="str">
            <v xml:space="preserve">CES-060094 </v>
          </cell>
          <cell r="F369" t="str">
            <v>N/A</v>
          </cell>
          <cell r="G369" t="str">
            <v>N/A</v>
          </cell>
          <cell r="H369" t="str">
            <v>Cesar</v>
          </cell>
          <cell r="I369" t="str">
            <v>UNIRED</v>
          </cell>
          <cell r="J369" t="str">
            <v>SUROCCIDENTE</v>
          </cell>
          <cell r="K369" t="str">
            <v>Alfredo de la Cruz</v>
          </cell>
          <cell r="L369" t="str">
            <v>Terminado</v>
          </cell>
        </row>
        <row r="370">
          <cell r="C370" t="str">
            <v>HUI_GUACIRCO</v>
          </cell>
          <cell r="D370" t="str">
            <v>NEI-400079</v>
          </cell>
          <cell r="E370">
            <v>46106</v>
          </cell>
          <cell r="F370" t="str">
            <v>N/A</v>
          </cell>
          <cell r="G370" t="str">
            <v>N/A</v>
          </cell>
          <cell r="H370" t="str">
            <v>Huila</v>
          </cell>
          <cell r="I370" t="str">
            <v>UNIRED</v>
          </cell>
          <cell r="J370" t="str">
            <v>CENTRO SUR/ NORTE</v>
          </cell>
          <cell r="K370" t="str">
            <v>Javier Leonardo Vega</v>
          </cell>
          <cell r="L370" t="str">
            <v>Terminado</v>
          </cell>
        </row>
        <row r="371">
          <cell r="C371" t="str">
            <v>LOS_DESEOS</v>
          </cell>
          <cell r="D371" t="str">
            <v>RIO-110025</v>
          </cell>
          <cell r="F371" t="str">
            <v>N/A</v>
          </cell>
          <cell r="G371" t="str">
            <v>N/A</v>
          </cell>
          <cell r="H371" t="str">
            <v>La Guajira</v>
          </cell>
          <cell r="I371" t="str">
            <v>UNIRED</v>
          </cell>
          <cell r="J371" t="str">
            <v>COSTA</v>
          </cell>
          <cell r="K371" t="str">
            <v>Alfredo de la Cruz</v>
          </cell>
          <cell r="L371" t="str">
            <v>En Ejecución</v>
          </cell>
        </row>
        <row r="372">
          <cell r="C372" t="str">
            <v>Galán</v>
          </cell>
          <cell r="D372" t="str">
            <v xml:space="preserve">VIL0019 </v>
          </cell>
          <cell r="E372">
            <v>46107</v>
          </cell>
          <cell r="F372" t="str">
            <v>N/A</v>
          </cell>
          <cell r="G372" t="str">
            <v>N/A</v>
          </cell>
          <cell r="H372" t="str">
            <v>Meta</v>
          </cell>
          <cell r="I372" t="str">
            <v>UNIRED</v>
          </cell>
          <cell r="J372" t="str">
            <v>CENTRO SUR/ NORTE</v>
          </cell>
          <cell r="K372" t="str">
            <v>Javier Leonardo Vega</v>
          </cell>
          <cell r="L372" t="str">
            <v>En Ejecución</v>
          </cell>
        </row>
        <row r="373">
          <cell r="C373" t="str">
            <v>Hato Nuevo</v>
          </cell>
          <cell r="D373" t="str">
            <v xml:space="preserve">HUI0054 </v>
          </cell>
          <cell r="E373">
            <v>46107</v>
          </cell>
          <cell r="F373" t="str">
            <v>N/A</v>
          </cell>
          <cell r="G373" t="str">
            <v>N/A</v>
          </cell>
          <cell r="H373" t="str">
            <v>Huila</v>
          </cell>
          <cell r="I373" t="str">
            <v>UNIRED</v>
          </cell>
          <cell r="J373" t="str">
            <v>CENTRO SUR/ NORTE</v>
          </cell>
          <cell r="K373" t="str">
            <v>Javier Leonardo Vega</v>
          </cell>
          <cell r="L373" t="str">
            <v>En Ejecución</v>
          </cell>
        </row>
        <row r="374">
          <cell r="C374" t="str">
            <v>GRANADA NORTE II</v>
          </cell>
          <cell r="D374" t="str">
            <v>S25031</v>
          </cell>
          <cell r="E374">
            <v>46106</v>
          </cell>
          <cell r="F374" t="str">
            <v>N/A</v>
          </cell>
          <cell r="G374" t="str">
            <v>N/A</v>
          </cell>
          <cell r="H374" t="str">
            <v>Meta</v>
          </cell>
          <cell r="I374" t="str">
            <v>UNIRED</v>
          </cell>
          <cell r="J374" t="str">
            <v>CENTRO SUR/ NORTE</v>
          </cell>
          <cell r="K374" t="str">
            <v>Javier Leonardo Vega</v>
          </cell>
          <cell r="L374" t="str">
            <v>Terminado</v>
          </cell>
        </row>
        <row r="375">
          <cell r="C375" t="str">
            <v>BTA Las Ferias D</v>
          </cell>
          <cell r="D375" t="str">
            <v>BTA_03759</v>
          </cell>
          <cell r="E375">
            <v>46106</v>
          </cell>
          <cell r="F375">
            <v>4.6832409999999998</v>
          </cell>
          <cell r="G375">
            <v>-74.087397999999993</v>
          </cell>
          <cell r="H375" t="str">
            <v>Cundinamarca</v>
          </cell>
          <cell r="I375" t="str">
            <v>WOM-HUAWEI</v>
          </cell>
          <cell r="J375" t="str">
            <v>CENTRO SUR/ NORTE</v>
          </cell>
          <cell r="K375" t="str">
            <v>Maria Camila Torres</v>
          </cell>
          <cell r="L375" t="str">
            <v>Terminado</v>
          </cell>
        </row>
        <row r="376">
          <cell r="C376" t="str">
            <v xml:space="preserve">kiosko gran manzana </v>
          </cell>
          <cell r="E376">
            <v>46070</v>
          </cell>
          <cell r="F376" t="str">
            <v>N/A</v>
          </cell>
          <cell r="G376" t="str">
            <v>N/A</v>
          </cell>
          <cell r="H376" t="str">
            <v>Bolivar</v>
          </cell>
          <cell r="I376" t="str">
            <v>WOM</v>
          </cell>
          <cell r="J376" t="str">
            <v>COSTA</v>
          </cell>
          <cell r="K376" t="str">
            <v>Luciano Rubio</v>
          </cell>
          <cell r="L376" t="str">
            <v>Terminado</v>
          </cell>
        </row>
        <row r="377">
          <cell r="C377" t="str">
            <v>JGUA Villa Martin</v>
          </cell>
          <cell r="D377" t="str">
            <v>JGUA_00004</v>
          </cell>
          <cell r="E377">
            <v>46080</v>
          </cell>
          <cell r="F377">
            <v>11.126569999999999</v>
          </cell>
          <cell r="G377">
            <v>-72.712680000000006</v>
          </cell>
          <cell r="H377" t="str">
            <v>La Guajira</v>
          </cell>
          <cell r="I377" t="str">
            <v>WOM-HUAWEI</v>
          </cell>
          <cell r="J377" t="str">
            <v>COSTA</v>
          </cell>
          <cell r="K377" t="str">
            <v>Cesar Osorio</v>
          </cell>
          <cell r="L377" t="str">
            <v>Terminado</v>
          </cell>
        </row>
        <row r="378">
          <cell r="C378" t="str">
            <v>TOL Melgar Resacas Condominio</v>
          </cell>
          <cell r="D378" t="str">
            <v>TOL_04196</v>
          </cell>
          <cell r="E378">
            <v>46090</v>
          </cell>
          <cell r="F378">
            <v>4.1958900000000003</v>
          </cell>
          <cell r="G378">
            <v>-74.653649999999999</v>
          </cell>
          <cell r="H378" t="str">
            <v>Tolima</v>
          </cell>
          <cell r="I378" t="str">
            <v>WOM-HUAWEI</v>
          </cell>
          <cell r="J378" t="str">
            <v>COSTA</v>
          </cell>
          <cell r="K378" t="str">
            <v>Cesar Osorio</v>
          </cell>
          <cell r="L378" t="str">
            <v>Terminado</v>
          </cell>
        </row>
        <row r="379">
          <cell r="C379" t="str">
            <v>COR Lorica</v>
          </cell>
          <cell r="D379" t="str">
            <v>COR_02030</v>
          </cell>
          <cell r="E379">
            <v>46090</v>
          </cell>
          <cell r="F379">
            <v>9.2398089999999993</v>
          </cell>
          <cell r="G379">
            <v>-75.819567000000006</v>
          </cell>
          <cell r="H379" t="str">
            <v>Cordoba</v>
          </cell>
          <cell r="I379" t="str">
            <v>WOM-HUAWEI</v>
          </cell>
          <cell r="J379" t="str">
            <v>COSTA</v>
          </cell>
          <cell r="K379" t="str">
            <v>Cesar Osorio</v>
          </cell>
          <cell r="L379" t="str">
            <v>Terminado</v>
          </cell>
        </row>
        <row r="380">
          <cell r="C380" t="str">
            <v>JCOR Santa Cruz</v>
          </cell>
          <cell r="D380" t="str">
            <v>JCOR_00330</v>
          </cell>
          <cell r="E380">
            <v>46094</v>
          </cell>
          <cell r="F380">
            <v>9.3342200000000002</v>
          </cell>
          <cell r="G380">
            <v>-75.782857000000007</v>
          </cell>
          <cell r="H380" t="str">
            <v>Cordoba</v>
          </cell>
          <cell r="I380" t="str">
            <v>WOM-HUAWEI</v>
          </cell>
          <cell r="J380" t="str">
            <v>COSTA</v>
          </cell>
          <cell r="K380" t="str">
            <v>Cesar Osorio</v>
          </cell>
          <cell r="L380" t="str">
            <v>Terminado</v>
          </cell>
        </row>
        <row r="381">
          <cell r="C381" t="str">
            <v>COR Ayapel B</v>
          </cell>
          <cell r="D381" t="str">
            <v>COR_06375</v>
          </cell>
          <cell r="E381">
            <v>46094</v>
          </cell>
          <cell r="F381">
            <v>8.3265370000000001</v>
          </cell>
          <cell r="G381">
            <v>-75.150721000000004</v>
          </cell>
          <cell r="H381" t="str">
            <v>Cordoba</v>
          </cell>
          <cell r="I381" t="str">
            <v>WOM-HUAWEI</v>
          </cell>
          <cell r="J381" t="str">
            <v>COSTA</v>
          </cell>
          <cell r="K381" t="str">
            <v>Cesar Osorio</v>
          </cell>
          <cell r="L381" t="str">
            <v>Terminado</v>
          </cell>
        </row>
        <row r="382">
          <cell r="C382" t="str">
            <v>VIC La Primavera</v>
          </cell>
          <cell r="D382" t="str">
            <v>VIC_04648</v>
          </cell>
          <cell r="E382">
            <v>46094</v>
          </cell>
          <cell r="F382">
            <v>5.4904400000000004</v>
          </cell>
          <cell r="G382">
            <v>-70.410700000000006</v>
          </cell>
          <cell r="H382" t="str">
            <v>Vichada</v>
          </cell>
          <cell r="I382" t="str">
            <v>WOM-HUAWEI</v>
          </cell>
          <cell r="J382" t="str">
            <v>SUROCCIDENTE</v>
          </cell>
          <cell r="K382" t="str">
            <v>Jaime Camargo</v>
          </cell>
          <cell r="L382" t="str">
            <v>Terminado</v>
          </cell>
        </row>
        <row r="383">
          <cell r="C383" t="str">
            <v>HUI Pitalito D</v>
          </cell>
          <cell r="D383" t="str">
            <v>HUI_06198</v>
          </cell>
          <cell r="E383">
            <v>46097</v>
          </cell>
          <cell r="F383">
            <v>1.8610899999999999</v>
          </cell>
          <cell r="G383">
            <v>-76.057100000000005</v>
          </cell>
          <cell r="H383" t="str">
            <v>Huila</v>
          </cell>
          <cell r="I383" t="str">
            <v>WOM-HUAWEI</v>
          </cell>
          <cell r="J383" t="str">
            <v>NOROCCIDENTE</v>
          </cell>
          <cell r="K383" t="str">
            <v>Alejandro Sanchez</v>
          </cell>
          <cell r="L383" t="str">
            <v>Terminado</v>
          </cell>
        </row>
        <row r="384">
          <cell r="C384" t="str">
            <v>JGVR La Oriental</v>
          </cell>
          <cell r="D384" t="str">
            <v>JGVR_00106</v>
          </cell>
          <cell r="E384">
            <v>46098</v>
          </cell>
          <cell r="F384">
            <v>2.4549599999999998</v>
          </cell>
          <cell r="G384">
            <v>-72.554070999999993</v>
          </cell>
          <cell r="H384" t="str">
            <v>Guaviare</v>
          </cell>
          <cell r="I384" t="str">
            <v>WOM-HUAWEI</v>
          </cell>
          <cell r="J384" t="str">
            <v>COSTA</v>
          </cell>
          <cell r="K384" t="str">
            <v>Cesar Osorio</v>
          </cell>
          <cell r="L384" t="str">
            <v>Terminado</v>
          </cell>
        </row>
        <row r="385">
          <cell r="C385" t="str">
            <v>SMT San Pablo</v>
          </cell>
          <cell r="D385" t="str">
            <v>SMT_02144</v>
          </cell>
          <cell r="E385">
            <v>46097</v>
          </cell>
          <cell r="F385">
            <v>11.227378</v>
          </cell>
          <cell r="G385">
            <v>-74.212085999999999</v>
          </cell>
          <cell r="H385" t="str">
            <v>Magdalena</v>
          </cell>
          <cell r="I385" t="str">
            <v>WOM-HUAWEI</v>
          </cell>
          <cell r="J385" t="str">
            <v>COSTA</v>
          </cell>
          <cell r="K385" t="str">
            <v>Cesar Osorio</v>
          </cell>
          <cell r="L385" t="str">
            <v>Terminado</v>
          </cell>
        </row>
        <row r="386">
          <cell r="C386" t="str">
            <v>JBOL Porvenir</v>
          </cell>
          <cell r="D386" t="str">
            <v>JBOL_00272</v>
          </cell>
          <cell r="E386">
            <v>46099</v>
          </cell>
          <cell r="F386">
            <v>8.0743100000000005</v>
          </cell>
          <cell r="G386">
            <v>-73.9101</v>
          </cell>
          <cell r="H386" t="str">
            <v>Bolivar</v>
          </cell>
          <cell r="I386" t="str">
            <v>WOM-HUAWEI</v>
          </cell>
          <cell r="J386" t="str">
            <v>COSTA</v>
          </cell>
          <cell r="K386" t="str">
            <v>Cesar Osorio</v>
          </cell>
          <cell r="L386" t="str">
            <v>Terminado</v>
          </cell>
        </row>
        <row r="387">
          <cell r="C387" t="str">
            <v>CAS Santa Maria del Loro</v>
          </cell>
          <cell r="D387" t="str">
            <v>CAS_06389</v>
          </cell>
          <cell r="E387">
            <v>46099</v>
          </cell>
          <cell r="F387">
            <v>5.149222</v>
          </cell>
          <cell r="G387">
            <v>-70.863416999999998</v>
          </cell>
          <cell r="H387" t="str">
            <v>Casanare</v>
          </cell>
          <cell r="I387" t="str">
            <v>WOM-HUAWEI</v>
          </cell>
          <cell r="J387" t="str">
            <v>COSTA</v>
          </cell>
          <cell r="K387" t="str">
            <v>Cesar Osorio</v>
          </cell>
          <cell r="L387" t="str">
            <v>Terminado</v>
          </cell>
        </row>
        <row r="388">
          <cell r="C388" t="str">
            <v>FLO Guama</v>
          </cell>
          <cell r="D388" t="str">
            <v>FLO_04784</v>
          </cell>
          <cell r="E388">
            <v>46100</v>
          </cell>
          <cell r="H388" t="str">
            <v>Caqueta</v>
          </cell>
          <cell r="I388" t="str">
            <v>WOM-HUAWEI</v>
          </cell>
          <cell r="J388" t="str">
            <v>COSTA</v>
          </cell>
          <cell r="K388" t="str">
            <v>Cesar Osorio</v>
          </cell>
          <cell r="L388" t="str">
            <v>Terminado</v>
          </cell>
        </row>
        <row r="389">
          <cell r="C389" t="str">
            <v xml:space="preserve"> BTA San Fernando Occidental</v>
          </cell>
          <cell r="D389" t="str">
            <v>BTA_00411</v>
          </cell>
          <cell r="E389">
            <v>46101</v>
          </cell>
          <cell r="F389">
            <v>4.6776960000000001</v>
          </cell>
          <cell r="G389">
            <v>-74.083395999999993</v>
          </cell>
          <cell r="H389" t="str">
            <v>Cundinamarca</v>
          </cell>
          <cell r="I389" t="str">
            <v>WOM-HUAWEI</v>
          </cell>
          <cell r="J389" t="str">
            <v>COSTA</v>
          </cell>
          <cell r="K389" t="str">
            <v>Cesar Osorio</v>
          </cell>
          <cell r="L389" t="str">
            <v>Terminado</v>
          </cell>
        </row>
        <row r="390">
          <cell r="C390" t="str">
            <v>JGVR Simon Bolivar C</v>
          </cell>
          <cell r="D390" t="str">
            <v>JGVR_00495</v>
          </cell>
          <cell r="E390">
            <v>46107</v>
          </cell>
          <cell r="F390">
            <v>2.3986999999999998</v>
          </cell>
          <cell r="G390">
            <v>-72.527933000000004</v>
          </cell>
          <cell r="H390" t="str">
            <v>Guaviare</v>
          </cell>
          <cell r="I390" t="str">
            <v>WOM-HUAWEI</v>
          </cell>
          <cell r="K390" t="str">
            <v>Maria Camila Torres</v>
          </cell>
          <cell r="L390" t="str">
            <v>Terminado</v>
          </cell>
        </row>
        <row r="391">
          <cell r="C391" t="str">
            <v>JSUC Esperanza B</v>
          </cell>
          <cell r="D391" t="str">
            <v>JSUC_00418</v>
          </cell>
          <cell r="E391">
            <v>46108</v>
          </cell>
          <cell r="F391">
            <v>8.7902100000000001</v>
          </cell>
          <cell r="G391">
            <v>-75.347300000000004</v>
          </cell>
          <cell r="H391" t="str">
            <v>Sucre</v>
          </cell>
          <cell r="I391" t="str">
            <v>WOM-HUAWEI</v>
          </cell>
          <cell r="J391" t="str">
            <v>COSTA</v>
          </cell>
          <cell r="K391" t="str">
            <v>Cesar Osorio</v>
          </cell>
          <cell r="L391" t="str">
            <v>Terminado</v>
          </cell>
        </row>
        <row r="392">
          <cell r="C392" t="str">
            <v>JHUI Santa Helena B</v>
          </cell>
          <cell r="D392" t="str">
            <v>JHUI_00521</v>
          </cell>
          <cell r="E392">
            <v>46108</v>
          </cell>
          <cell r="F392" t="str">
            <v>N/A</v>
          </cell>
          <cell r="G392" t="str">
            <v>N/A</v>
          </cell>
          <cell r="H392" t="str">
            <v>Huila</v>
          </cell>
          <cell r="I392" t="str">
            <v>WOM-HUAWEI</v>
          </cell>
          <cell r="J392" t="str">
            <v>CENTRO SUR/ NORTE</v>
          </cell>
          <cell r="K392" t="str">
            <v>Alejandro Sanchez</v>
          </cell>
          <cell r="L392" t="str">
            <v>Terminado</v>
          </cell>
        </row>
        <row r="393">
          <cell r="C393" t="str">
            <v>Rio Ceibas</v>
          </cell>
          <cell r="D393" t="str">
            <v>HUI-390031</v>
          </cell>
          <cell r="E393">
            <v>46108</v>
          </cell>
          <cell r="F393" t="str">
            <v>N/A</v>
          </cell>
          <cell r="G393" t="str">
            <v>N/A</v>
          </cell>
          <cell r="H393" t="str">
            <v>Huila</v>
          </cell>
          <cell r="I393" t="str">
            <v>UNIRED</v>
          </cell>
          <cell r="J393" t="str">
            <v>NOROCCIDENTE</v>
          </cell>
          <cell r="K393" t="str">
            <v>Rafael Torres</v>
          </cell>
          <cell r="L393" t="str">
            <v>Terminado</v>
          </cell>
        </row>
        <row r="394">
          <cell r="C394" t="str">
            <v>ANT Pantanillo</v>
          </cell>
          <cell r="D394" t="str">
            <v xml:space="preserve">ANT_03621 </v>
          </cell>
          <cell r="E394">
            <v>46107</v>
          </cell>
          <cell r="F394" t="str">
            <v>N/A</v>
          </cell>
          <cell r="G394" t="str">
            <v>N/A</v>
          </cell>
          <cell r="H394" t="str">
            <v>Antioquia</v>
          </cell>
          <cell r="I394" t="str">
            <v>WOM-HUAWEI</v>
          </cell>
          <cell r="J394" t="str">
            <v>NOROCCIDENTE</v>
          </cell>
          <cell r="K394" t="str">
            <v>Alejandro Sanchez</v>
          </cell>
          <cell r="L394" t="str">
            <v>Terminado</v>
          </cell>
        </row>
        <row r="395">
          <cell r="C395" t="str">
            <v>JCUN Golgota</v>
          </cell>
          <cell r="D395" t="str">
            <v>JCUN_00407</v>
          </cell>
          <cell r="E395">
            <v>46111</v>
          </cell>
          <cell r="F395">
            <v>4.768046</v>
          </cell>
          <cell r="G395">
            <v>-74.576096000000007</v>
          </cell>
          <cell r="H395" t="str">
            <v>Cundinamarca</v>
          </cell>
          <cell r="I395" t="str">
            <v>WOM-HUAWEI</v>
          </cell>
          <cell r="J395" t="str">
            <v>CENTRO SUR/ NORTE</v>
          </cell>
          <cell r="K395" t="str">
            <v>Maria Camila Torres</v>
          </cell>
          <cell r="L395" t="str">
            <v>Terminado</v>
          </cell>
        </row>
        <row r="396">
          <cell r="C396" t="str">
            <v xml:space="preserve">Sorrento </v>
          </cell>
          <cell r="D396" t="str">
            <v>CAL-350737</v>
          </cell>
          <cell r="E396">
            <v>46109</v>
          </cell>
          <cell r="F396" t="str">
            <v>N/A</v>
          </cell>
          <cell r="G396" t="str">
            <v>N/A</v>
          </cell>
          <cell r="H396" t="str">
            <v>Valle del Cauca</v>
          </cell>
          <cell r="I396" t="str">
            <v>UNIRED</v>
          </cell>
          <cell r="J396" t="str">
            <v>CENTRO SUR/ NORTE</v>
          </cell>
          <cell r="K396" t="str">
            <v>Wilson Alejandro Solarte</v>
          </cell>
          <cell r="L396" t="str">
            <v>Terminado</v>
          </cell>
        </row>
        <row r="397">
          <cell r="C397" t="str">
            <v>BTA Los Cedritos D</v>
          </cell>
          <cell r="D397" t="str">
            <v>BTA_00535</v>
          </cell>
          <cell r="E397">
            <v>46108</v>
          </cell>
          <cell r="F397">
            <v>4.7280259999999998</v>
          </cell>
          <cell r="G397">
            <v>-74.045580999999999</v>
          </cell>
          <cell r="H397" t="str">
            <v>Cundinamarca</v>
          </cell>
          <cell r="I397" t="str">
            <v>WOM-HUAWEI</v>
          </cell>
          <cell r="J397" t="str">
            <v>CENTRO SUR/ NORTE</v>
          </cell>
          <cell r="K397" t="str">
            <v>Maria Camila Torres</v>
          </cell>
          <cell r="L397" t="str">
            <v>Terminado</v>
          </cell>
        </row>
        <row r="398">
          <cell r="C398" t="str">
            <v>BTA Santa Barbara Occidental E</v>
          </cell>
          <cell r="D398" t="str">
            <v>BTA_00533</v>
          </cell>
          <cell r="E398">
            <v>46108</v>
          </cell>
          <cell r="F398">
            <v>4.7012466000000002</v>
          </cell>
          <cell r="G398">
            <v>-74.046189999999996</v>
          </cell>
          <cell r="H398" t="str">
            <v>Cundinamarca</v>
          </cell>
          <cell r="I398" t="str">
            <v>WOM-HUAWEI</v>
          </cell>
          <cell r="J398" t="str">
            <v>CENTRO SUR/ NORTE</v>
          </cell>
          <cell r="K398" t="str">
            <v>Maria Camila Torres</v>
          </cell>
          <cell r="L398" t="str">
            <v>Terminado</v>
          </cell>
        </row>
        <row r="399">
          <cell r="C399" t="str">
            <v>BTA Normandia Occidental</v>
          </cell>
          <cell r="D399" t="str">
            <v>BTA_00326</v>
          </cell>
          <cell r="E399">
            <v>46112</v>
          </cell>
          <cell r="F399">
            <v>4.6684619999999999</v>
          </cell>
          <cell r="G399">
            <v>-74.112161</v>
          </cell>
          <cell r="H399" t="str">
            <v>Cundinamarca</v>
          </cell>
          <cell r="I399" t="str">
            <v>WOM-HUAWEI</v>
          </cell>
          <cell r="J399" t="str">
            <v>CENTRO SUR/ NORTE</v>
          </cell>
          <cell r="K399" t="str">
            <v>Maria Camila Torres</v>
          </cell>
          <cell r="L399" t="str">
            <v>Terminado</v>
          </cell>
        </row>
        <row r="400">
          <cell r="C400" t="str">
            <v>JHUI Hotel</v>
          </cell>
          <cell r="D400" t="str">
            <v>JHUI_00485</v>
          </cell>
          <cell r="E400">
            <v>46113</v>
          </cell>
          <cell r="F400">
            <v>3.1201469999999998</v>
          </cell>
          <cell r="G400">
            <v>-74.966324</v>
          </cell>
          <cell r="H400" t="str">
            <v>Huila</v>
          </cell>
          <cell r="I400" t="str">
            <v>WOM-HUAWEI</v>
          </cell>
          <cell r="J400" t="str">
            <v>NOROCCIDENTE</v>
          </cell>
          <cell r="K400" t="str">
            <v>Alejandro Sanchez</v>
          </cell>
          <cell r="L400" t="str">
            <v>Terminado</v>
          </cell>
        </row>
        <row r="401">
          <cell r="C401" t="str">
            <v>BTA Porvenir</v>
          </cell>
          <cell r="D401" t="str">
            <v>BTA_07776</v>
          </cell>
          <cell r="E401">
            <v>46130</v>
          </cell>
          <cell r="F401">
            <v>45264233</v>
          </cell>
          <cell r="G401">
            <v>-7411377</v>
          </cell>
          <cell r="H401" t="str">
            <v>Cundinamarca</v>
          </cell>
          <cell r="I401" t="str">
            <v>WOM-HUAWEI</v>
          </cell>
          <cell r="J401" t="str">
            <v>CENTRO SUR/ NORTE</v>
          </cell>
          <cell r="K401" t="str">
            <v>Maria Camila Torres</v>
          </cell>
          <cell r="L401" t="str">
            <v>Terminado</v>
          </cell>
        </row>
        <row r="402">
          <cell r="C402" t="str">
            <v xml:space="preserve">Plaza Colon </v>
          </cell>
          <cell r="D402" t="str">
            <v xml:space="preserve">CAL-350385 </v>
          </cell>
          <cell r="E402">
            <v>46120</v>
          </cell>
          <cell r="F402" t="str">
            <v>N/A</v>
          </cell>
          <cell r="G402" t="str">
            <v>N/A</v>
          </cell>
          <cell r="H402" t="str">
            <v>Valle del Cauca</v>
          </cell>
          <cell r="I402" t="str">
            <v>UNIRED</v>
          </cell>
          <cell r="J402" t="str">
            <v>SUROCCIDENTE</v>
          </cell>
          <cell r="K402" t="str">
            <v>Wilson Alejandro Solarte</v>
          </cell>
          <cell r="L402" t="str">
            <v>Terminado</v>
          </cell>
        </row>
        <row r="403">
          <cell r="C403" t="str">
            <v xml:space="preserve">Fatima </v>
          </cell>
          <cell r="D403" t="str">
            <v>VAC0013</v>
          </cell>
          <cell r="E403">
            <v>46121</v>
          </cell>
          <cell r="F403" t="str">
            <v>N/A</v>
          </cell>
          <cell r="G403" t="str">
            <v>N/A</v>
          </cell>
          <cell r="H403" t="str">
            <v>Valle del Cauca</v>
          </cell>
          <cell r="I403" t="str">
            <v>UNIRED</v>
          </cell>
          <cell r="J403" t="str">
            <v>SUROCCIDENTE</v>
          </cell>
          <cell r="K403" t="str">
            <v>Wilson Alejandro Solarte</v>
          </cell>
          <cell r="L403" t="str">
            <v>Terminado</v>
          </cell>
        </row>
        <row r="404">
          <cell r="C404" t="str">
            <v>Benjamin Cali</v>
          </cell>
          <cell r="D404" t="str">
            <v>CAL-350258</v>
          </cell>
          <cell r="F404" t="str">
            <v>N/A</v>
          </cell>
          <cell r="G404" t="str">
            <v>N/A</v>
          </cell>
          <cell r="H404" t="str">
            <v>Valle del Cauca</v>
          </cell>
          <cell r="I404" t="str">
            <v>UNIRED</v>
          </cell>
          <cell r="J404" t="str">
            <v>SUROCCIDENTE</v>
          </cell>
          <cell r="K404" t="str">
            <v>Wilson Alejandro Solarte</v>
          </cell>
          <cell r="L404" t="str">
            <v>En Ejecución</v>
          </cell>
        </row>
        <row r="405">
          <cell r="C405" t="str">
            <v>CLI Menga</v>
          </cell>
          <cell r="D405" t="str">
            <v>CLI_02301</v>
          </cell>
          <cell r="E405">
            <v>46163</v>
          </cell>
          <cell r="F405">
            <v>3.49411</v>
          </cell>
          <cell r="G405">
            <v>-76.523700000000005</v>
          </cell>
          <cell r="H405" t="str">
            <v>Valle del Cauca</v>
          </cell>
          <cell r="I405" t="str">
            <v>WOM-HUAWEI</v>
          </cell>
          <cell r="J405" t="str">
            <v>SUROCCIDENTE</v>
          </cell>
          <cell r="K405" t="str">
            <v>Leonardo Sierra</v>
          </cell>
          <cell r="L405" t="str">
            <v>Terminado</v>
          </cell>
        </row>
        <row r="406">
          <cell r="C406" t="str">
            <v>EL BURRO</v>
          </cell>
          <cell r="D406" t="str">
            <v xml:space="preserve">CES-060044 </v>
          </cell>
          <cell r="F406" t="str">
            <v>N/A</v>
          </cell>
          <cell r="G406" t="str">
            <v>N/A</v>
          </cell>
          <cell r="H406" t="str">
            <v>Valle del Cauca</v>
          </cell>
          <cell r="I406" t="str">
            <v>UNIRED</v>
          </cell>
          <cell r="J406" t="str">
            <v>SUROCCIDENTE</v>
          </cell>
          <cell r="K406" t="str">
            <v>Carlos Eduardo Montoya</v>
          </cell>
          <cell r="L406" t="str">
            <v>Terminado</v>
          </cell>
        </row>
        <row r="407">
          <cell r="C407" t="str">
            <v>BTA Las Flores</v>
          </cell>
          <cell r="D407" t="str">
            <v>BTA_00271</v>
          </cell>
          <cell r="E407">
            <v>46118</v>
          </cell>
          <cell r="F407">
            <v>4.7410690000000004</v>
          </cell>
          <cell r="G407">
            <v>-74.090855000000005</v>
          </cell>
          <cell r="H407" t="str">
            <v>Cundinamarca</v>
          </cell>
          <cell r="I407" t="str">
            <v>WOM-HUAWEI</v>
          </cell>
          <cell r="J407" t="str">
            <v>CENTRO SUR/ NORTE</v>
          </cell>
          <cell r="K407" t="str">
            <v>Maria Camila Torres</v>
          </cell>
          <cell r="L407" t="str">
            <v>Terminado</v>
          </cell>
        </row>
        <row r="408">
          <cell r="C408" t="str">
            <v>El Retiro Cali</v>
          </cell>
          <cell r="D408" t="str">
            <v>CAL-350390</v>
          </cell>
          <cell r="F408" t="str">
            <v>N/A</v>
          </cell>
          <cell r="G408" t="str">
            <v>N/A</v>
          </cell>
          <cell r="H408" t="str">
            <v>Valle del Cauca</v>
          </cell>
          <cell r="I408" t="str">
            <v>UNIRED</v>
          </cell>
          <cell r="J408" t="str">
            <v>SUROCCIDENTE</v>
          </cell>
          <cell r="K408" t="str">
            <v>Wilson Alejandro Solarte</v>
          </cell>
          <cell r="L408" t="str">
            <v>Terminado</v>
          </cell>
        </row>
        <row r="409">
          <cell r="C409" t="str">
            <v>CLI San Nicolas B</v>
          </cell>
          <cell r="D409" t="str">
            <v>CLI_01019</v>
          </cell>
          <cell r="E409">
            <v>46122</v>
          </cell>
          <cell r="F409">
            <v>3.4547720000000002</v>
          </cell>
          <cell r="G409">
            <v>-76.523982000000004</v>
          </cell>
          <cell r="H409" t="str">
            <v>Valle del Cauca</v>
          </cell>
          <cell r="I409" t="str">
            <v>WOM-HUAWEI</v>
          </cell>
          <cell r="J409" t="str">
            <v>SUROCCIDENTE</v>
          </cell>
          <cell r="K409" t="str">
            <v>Leonardo Sierra</v>
          </cell>
          <cell r="L409" t="str">
            <v>Terminado</v>
          </cell>
        </row>
        <row r="410">
          <cell r="C410" t="str">
            <v>CUN RMW Nemocon</v>
          </cell>
          <cell r="D410" t="str">
            <v>CUN_20040</v>
          </cell>
          <cell r="E410">
            <v>46114</v>
          </cell>
          <cell r="F410">
            <v>5.0354700000000001</v>
          </cell>
          <cell r="G410">
            <v>-73.903899999999993</v>
          </cell>
          <cell r="H410" t="str">
            <v>Cundinamarca</v>
          </cell>
          <cell r="I410" t="str">
            <v>WOM-HUAWEI</v>
          </cell>
          <cell r="J410" t="str">
            <v>CENTRO SUR/ NORTE</v>
          </cell>
          <cell r="K410" t="str">
            <v>Maria Camila Torres</v>
          </cell>
          <cell r="L410" t="str">
            <v>Terminado</v>
          </cell>
        </row>
        <row r="411">
          <cell r="C411" t="str">
            <v>IBA_INTERLAKEN</v>
          </cell>
          <cell r="D411" t="str">
            <v>IBA-440094</v>
          </cell>
          <cell r="E411">
            <v>46121</v>
          </cell>
          <cell r="F411" t="str">
            <v>N/A</v>
          </cell>
          <cell r="G411" t="str">
            <v>N/A</v>
          </cell>
          <cell r="H411" t="str">
            <v>Tolima</v>
          </cell>
          <cell r="I411" t="str">
            <v>UNIRED</v>
          </cell>
          <cell r="J411" t="str">
            <v>CENTRO SUR/ NORTE</v>
          </cell>
          <cell r="K411" t="str">
            <v>Javier Leonardo Vega</v>
          </cell>
          <cell r="L411" t="str">
            <v>Terminado</v>
          </cell>
        </row>
        <row r="412">
          <cell r="C412" t="str">
            <v>EL SALADO</v>
          </cell>
          <cell r="D412" t="str">
            <v>IBA-440066</v>
          </cell>
          <cell r="E412">
            <v>46121</v>
          </cell>
          <cell r="F412" t="str">
            <v>N/A</v>
          </cell>
          <cell r="G412" t="str">
            <v>N/A</v>
          </cell>
          <cell r="H412" t="str">
            <v>Tolima</v>
          </cell>
          <cell r="I412" t="str">
            <v>UNIRED</v>
          </cell>
          <cell r="J412" t="str">
            <v>CENTRO SUR/ NORTE</v>
          </cell>
          <cell r="K412" t="str">
            <v>Javier Leonardo Vega</v>
          </cell>
          <cell r="L412" t="str">
            <v>Terminado</v>
          </cell>
        </row>
        <row r="413">
          <cell r="C413" t="str">
            <v>CLI El Vergel</v>
          </cell>
          <cell r="D413" t="str">
            <v>CLI_02798</v>
          </cell>
          <cell r="E413">
            <v>46124</v>
          </cell>
          <cell r="F413">
            <v>3.4191699999999998</v>
          </cell>
          <cell r="G413">
            <v>-76.501410000000007</v>
          </cell>
          <cell r="H413" t="str">
            <v>Valle del Cauca</v>
          </cell>
          <cell r="I413" t="str">
            <v>WOM-HUAWEI</v>
          </cell>
          <cell r="J413" t="str">
            <v>SUROCCIDENTE</v>
          </cell>
          <cell r="K413" t="str">
            <v>Leonardo Sierra</v>
          </cell>
          <cell r="L413" t="str">
            <v>Terminado</v>
          </cell>
        </row>
        <row r="414">
          <cell r="C414" t="str">
            <v>BTA Bavaria Techo III 2</v>
          </cell>
          <cell r="D414" t="str">
            <v>BTA_03729</v>
          </cell>
          <cell r="E414">
            <v>46130</v>
          </cell>
          <cell r="F414">
            <v>463793</v>
          </cell>
          <cell r="G414">
            <v>-741404</v>
          </cell>
          <cell r="H414" t="str">
            <v>Cundinamarca</v>
          </cell>
          <cell r="I414" t="str">
            <v>WOM-HUAWEI</v>
          </cell>
          <cell r="J414" t="str">
            <v>CENTRO SUR/ NORTE</v>
          </cell>
          <cell r="K414" t="str">
            <v>Maria Camila Torres</v>
          </cell>
          <cell r="L414" t="str">
            <v>Terminado</v>
          </cell>
        </row>
        <row r="415">
          <cell r="C415" t="str">
            <v xml:space="preserve">CHO_ITSMINA </v>
          </cell>
          <cell r="D415" t="str">
            <v>CHO-190205</v>
          </cell>
          <cell r="E415">
            <v>46113</v>
          </cell>
          <cell r="F415">
            <v>5158</v>
          </cell>
          <cell r="G415">
            <v>-76692</v>
          </cell>
          <cell r="H415" t="str">
            <v>Chocó</v>
          </cell>
          <cell r="I415" t="str">
            <v>WOM-HUAWEI</v>
          </cell>
          <cell r="J415" t="str">
            <v>COSTA</v>
          </cell>
          <cell r="K415" t="str">
            <v>Carlos Eduardo Montoya</v>
          </cell>
          <cell r="L415" t="str">
            <v>Terminado</v>
          </cell>
        </row>
        <row r="416">
          <cell r="C416" t="str">
            <v>HUI Buenos Aires B</v>
          </cell>
          <cell r="D416" t="str">
            <v xml:space="preserve">HUI_05843 </v>
          </cell>
          <cell r="E416">
            <v>46087</v>
          </cell>
          <cell r="F416">
            <v>2.8856899999999999</v>
          </cell>
          <cell r="G416">
            <v>-75.440299999999993</v>
          </cell>
          <cell r="H416" t="str">
            <v>Huila</v>
          </cell>
          <cell r="I416" t="str">
            <v>WOM-HUAWEI</v>
          </cell>
          <cell r="J416" t="str">
            <v>NOROCCIDENTE</v>
          </cell>
          <cell r="K416" t="str">
            <v>Alejandro Sanchez</v>
          </cell>
          <cell r="L416" t="str">
            <v>Terminado</v>
          </cell>
        </row>
        <row r="417">
          <cell r="C417" t="str">
            <v>JCOR San Bernardo del Viento</v>
          </cell>
          <cell r="D417" t="str">
            <v>JCOR_00357</v>
          </cell>
          <cell r="E417">
            <v>46093</v>
          </cell>
          <cell r="F417" t="str">
            <v>N/A</v>
          </cell>
          <cell r="G417" t="str">
            <v>N/A</v>
          </cell>
          <cell r="H417" t="str">
            <v>Cordoba</v>
          </cell>
          <cell r="I417" t="str">
            <v>WOM-HUAWEI</v>
          </cell>
          <cell r="J417" t="str">
            <v>COSTA</v>
          </cell>
          <cell r="K417" t="str">
            <v>Cesar Osorio</v>
          </cell>
          <cell r="L417" t="str">
            <v>Terminado</v>
          </cell>
        </row>
        <row r="418">
          <cell r="C418" t="str">
            <v>CES Becerrill</v>
          </cell>
          <cell r="D418" t="str">
            <v>CES_06106</v>
          </cell>
          <cell r="E418">
            <v>46122</v>
          </cell>
          <cell r="F418">
            <v>9.7031899999999993</v>
          </cell>
          <cell r="G418">
            <v>-73.278599999999997</v>
          </cell>
          <cell r="H418" t="str">
            <v>Cesar</v>
          </cell>
          <cell r="I418" t="str">
            <v>WOM-HUAWEI</v>
          </cell>
          <cell r="J418" t="str">
            <v>COSTA</v>
          </cell>
          <cell r="K418" t="str">
            <v>Cesar Osorio</v>
          </cell>
          <cell r="L418" t="str">
            <v>Terminado</v>
          </cell>
        </row>
        <row r="419">
          <cell r="C419" t="str">
            <v xml:space="preserve">La Alborada </v>
          </cell>
          <cell r="D419" t="str">
            <v>CAL-350020</v>
          </cell>
          <cell r="E419">
            <v>46127</v>
          </cell>
          <cell r="F419" t="str">
            <v>N/A</v>
          </cell>
          <cell r="G419" t="str">
            <v>N/A</v>
          </cell>
          <cell r="H419" t="str">
            <v>Valle del Cauca</v>
          </cell>
          <cell r="I419" t="str">
            <v>UNIRED</v>
          </cell>
          <cell r="J419" t="str">
            <v>SUROCCIDENTE</v>
          </cell>
          <cell r="K419" t="str">
            <v>Wilson Alejandro Solarte</v>
          </cell>
          <cell r="L419" t="str">
            <v>Terminado</v>
          </cell>
        </row>
        <row r="420">
          <cell r="C420" t="str">
            <v>JSUC Esperanza B</v>
          </cell>
          <cell r="D420" t="str">
            <v>JSUC_00418</v>
          </cell>
          <cell r="E420">
            <v>46124</v>
          </cell>
          <cell r="F420">
            <v>8.7902100000000001</v>
          </cell>
          <cell r="G420">
            <v>-75.347300000000004</v>
          </cell>
          <cell r="H420" t="str">
            <v>Sucre</v>
          </cell>
          <cell r="I420" t="str">
            <v>WOM-HUAWEI</v>
          </cell>
          <cell r="J420" t="str">
            <v>COSTA</v>
          </cell>
          <cell r="K420" t="str">
            <v>Cesar Osorio</v>
          </cell>
          <cell r="L420" t="str">
            <v>Terminado</v>
          </cell>
        </row>
        <row r="421">
          <cell r="C421" t="str">
            <v>GRANADA META</v>
          </cell>
          <cell r="D421" t="str">
            <v>MET-450051</v>
          </cell>
          <cell r="E421">
            <v>46127</v>
          </cell>
          <cell r="F421" t="str">
            <v>N/A</v>
          </cell>
          <cell r="G421" t="str">
            <v>N/A</v>
          </cell>
          <cell r="H421" t="str">
            <v>Meta</v>
          </cell>
          <cell r="I421" t="str">
            <v>UNIRED</v>
          </cell>
          <cell r="J421" t="str">
            <v>CENTRO SUR/ NORTE</v>
          </cell>
          <cell r="K421" t="str">
            <v>Rafael Torres</v>
          </cell>
          <cell r="L421" t="str">
            <v>Terminado</v>
          </cell>
        </row>
        <row r="422">
          <cell r="C422" t="str">
            <v>HUI_CLUB_CAMPESTRE</v>
          </cell>
          <cell r="D422" t="str">
            <v>HUI-390091</v>
          </cell>
          <cell r="E422">
            <v>46128</v>
          </cell>
          <cell r="F422" t="str">
            <v>N/A</v>
          </cell>
          <cell r="G422" t="str">
            <v>N/A</v>
          </cell>
          <cell r="H422" t="str">
            <v>Huila</v>
          </cell>
          <cell r="I422" t="str">
            <v>UNIRED</v>
          </cell>
          <cell r="J422" t="str">
            <v>NOROCCIDENTE</v>
          </cell>
          <cell r="K422" t="str">
            <v>Rafael Torres</v>
          </cell>
          <cell r="L422" t="str">
            <v>Terminado</v>
          </cell>
        </row>
        <row r="423">
          <cell r="C423" t="str">
            <v>VIL_CERRO_CAMPESTRE</v>
          </cell>
          <cell r="D423" t="str">
            <v>VIL0065</v>
          </cell>
          <cell r="E423">
            <v>46127</v>
          </cell>
          <cell r="F423" t="str">
            <v>N/A</v>
          </cell>
          <cell r="G423" t="str">
            <v>N/A</v>
          </cell>
          <cell r="H423" t="str">
            <v>Meta</v>
          </cell>
          <cell r="I423" t="str">
            <v>UNIRED</v>
          </cell>
          <cell r="J423" t="str">
            <v>CENTRO SUR/ NORTE</v>
          </cell>
          <cell r="K423" t="str">
            <v>Javier Leonardo Vega</v>
          </cell>
          <cell r="L423" t="str">
            <v>Terminado</v>
          </cell>
        </row>
        <row r="424">
          <cell r="C424" t="str">
            <v>NEI Ciudadela Acropolis 2</v>
          </cell>
          <cell r="D424" t="str">
            <v>NEI_04419</v>
          </cell>
          <cell r="E424">
            <v>46132</v>
          </cell>
          <cell r="F424">
            <v>2.9522499999999998</v>
          </cell>
          <cell r="G424">
            <v>-75.301060000000007</v>
          </cell>
          <cell r="H424" t="str">
            <v>Huila</v>
          </cell>
          <cell r="I424" t="str">
            <v>WOM-HUAWEI</v>
          </cell>
          <cell r="J424" t="str">
            <v>NOROCCIDENTE</v>
          </cell>
          <cell r="K424" t="str">
            <v>Alejandro Sanchez</v>
          </cell>
          <cell r="L424" t="str">
            <v>Terminado</v>
          </cell>
        </row>
        <row r="425">
          <cell r="C425" t="str">
            <v>NEI Trapichito</v>
          </cell>
          <cell r="D425" t="str">
            <v>NEI_04302</v>
          </cell>
          <cell r="E425">
            <v>46132</v>
          </cell>
          <cell r="F425">
            <v>2.8951199999999999</v>
          </cell>
          <cell r="G425">
            <v>-75.275810000000007</v>
          </cell>
          <cell r="H425" t="str">
            <v>Huila</v>
          </cell>
          <cell r="I425" t="str">
            <v>WOM-HUAWEI</v>
          </cell>
          <cell r="J425" t="str">
            <v>NOROCCIDENTE</v>
          </cell>
          <cell r="K425" t="str">
            <v>Alejandro Sanchez</v>
          </cell>
          <cell r="L425" t="str">
            <v>Terminado</v>
          </cell>
        </row>
        <row r="426">
          <cell r="C426" t="str">
            <v>JSUC Esperanza B</v>
          </cell>
          <cell r="D426" t="str">
            <v>JSUC_00418</v>
          </cell>
          <cell r="E426">
            <v>46124</v>
          </cell>
          <cell r="F426">
            <v>8.7902100000000001</v>
          </cell>
          <cell r="G426">
            <v>-75.347300000000004</v>
          </cell>
          <cell r="H426" t="str">
            <v>Sucre</v>
          </cell>
          <cell r="I426" t="str">
            <v>WOM-HUAWEI</v>
          </cell>
          <cell r="J426" t="str">
            <v>COSTA</v>
          </cell>
          <cell r="K426" t="str">
            <v>Cesar Osorio</v>
          </cell>
          <cell r="L426" t="str">
            <v>Terminado</v>
          </cell>
        </row>
        <row r="427">
          <cell r="C427" t="str">
            <v>BTA Polo Club</v>
          </cell>
          <cell r="D427" t="str">
            <v>BTA_00549</v>
          </cell>
          <cell r="E427">
            <v>46113</v>
          </cell>
          <cell r="F427">
            <v>4.668463</v>
          </cell>
          <cell r="G427">
            <v>-74.060699</v>
          </cell>
          <cell r="H427" t="str">
            <v>Cundinamarca</v>
          </cell>
          <cell r="I427" t="str">
            <v>WOM-HUAWEI</v>
          </cell>
          <cell r="J427" t="str">
            <v>CENTRO SUR/ NORTE</v>
          </cell>
          <cell r="K427" t="str">
            <v>Maria Camila Torres</v>
          </cell>
          <cell r="L427" t="str">
            <v>Terminado</v>
          </cell>
        </row>
        <row r="428">
          <cell r="C428" t="str">
            <v>BTA Los Cedros B</v>
          </cell>
          <cell r="D428" t="str">
            <v>BTA_00536</v>
          </cell>
          <cell r="E428">
            <v>46126</v>
          </cell>
          <cell r="F428">
            <v>4.7180679999999997</v>
          </cell>
          <cell r="G428">
            <v>-74.047066999999998</v>
          </cell>
          <cell r="H428" t="str">
            <v>Cundinamarca</v>
          </cell>
          <cell r="I428" t="str">
            <v>WOM-HUAWEI</v>
          </cell>
          <cell r="J428" t="str">
            <v>CENTRO SUR/ NORTE</v>
          </cell>
          <cell r="K428" t="str">
            <v>Maria Camila Torres</v>
          </cell>
          <cell r="L428" t="str">
            <v>Terminado</v>
          </cell>
        </row>
        <row r="429">
          <cell r="C429" t="str">
            <v>CUN Bobace</v>
          </cell>
          <cell r="D429" t="str">
            <v>CUN_03950</v>
          </cell>
          <cell r="E429">
            <v>46122</v>
          </cell>
          <cell r="F429">
            <v>4.7443400000000002</v>
          </cell>
          <cell r="G429">
            <v>-74.353800000000007</v>
          </cell>
          <cell r="H429" t="str">
            <v>Cundinamarca</v>
          </cell>
          <cell r="I429" t="str">
            <v>WOM-HUAWEI</v>
          </cell>
          <cell r="J429" t="str">
            <v>CENTRO SUR/ NORTE</v>
          </cell>
          <cell r="K429" t="str">
            <v>Maria Camila Torres</v>
          </cell>
          <cell r="L429" t="str">
            <v>Terminado</v>
          </cell>
        </row>
        <row r="430">
          <cell r="C430" t="str">
            <v>VIL_ALBORADA</v>
          </cell>
          <cell r="D430" t="str">
            <v>VIL0002</v>
          </cell>
          <cell r="E430">
            <v>46254</v>
          </cell>
          <cell r="F430" t="str">
            <v>N/A</v>
          </cell>
          <cell r="G430" t="str">
            <v>N/A</v>
          </cell>
          <cell r="H430" t="str">
            <v>Meta</v>
          </cell>
          <cell r="I430" t="str">
            <v>UNIRED</v>
          </cell>
          <cell r="J430" t="str">
            <v>CENTRO SUR/ NORTE</v>
          </cell>
          <cell r="K430" t="str">
            <v>Javier Leonardo Vega</v>
          </cell>
          <cell r="L430" t="str">
            <v>Terminado</v>
          </cell>
        </row>
        <row r="431">
          <cell r="C431" t="str">
            <v>CBTA Soacha La Despensa</v>
          </cell>
          <cell r="D431" t="str">
            <v>CBTA_02088</v>
          </cell>
          <cell r="E431">
            <v>46126</v>
          </cell>
          <cell r="F431">
            <v>4.594157</v>
          </cell>
          <cell r="G431">
            <v>-74.189792999999995</v>
          </cell>
          <cell r="H431" t="str">
            <v>Cundinamarca</v>
          </cell>
          <cell r="I431" t="str">
            <v>WOM-HUAWEI</v>
          </cell>
          <cell r="J431" t="str">
            <v>CENTRO SUR/ NORTE</v>
          </cell>
          <cell r="K431" t="str">
            <v>Maria Camila Torres</v>
          </cell>
          <cell r="L431" t="str">
            <v>Terminado</v>
          </cell>
        </row>
        <row r="432">
          <cell r="C432" t="str">
            <v>CBTA Soacha Leon XIII C</v>
          </cell>
          <cell r="D432" t="str">
            <v>CBTA_07576</v>
          </cell>
          <cell r="E432">
            <v>46127</v>
          </cell>
          <cell r="F432">
            <v>4.5976949999999999</v>
          </cell>
          <cell r="G432">
            <v>-74.191478000000004</v>
          </cell>
          <cell r="H432" t="str">
            <v>Cundinamarca</v>
          </cell>
          <cell r="I432" t="str">
            <v>WOM-HUAWEI</v>
          </cell>
          <cell r="J432" t="str">
            <v>CENTRO SUR/ NORTE</v>
          </cell>
          <cell r="K432" t="str">
            <v>Maria Camila Torres</v>
          </cell>
          <cell r="L432" t="str">
            <v>Terminado</v>
          </cell>
        </row>
        <row r="433">
          <cell r="C433" t="str">
            <v>CBTA Soacha El Mirador de Corinto</v>
          </cell>
          <cell r="D433" t="str">
            <v>CBTA_03890</v>
          </cell>
          <cell r="E433">
            <v>46127</v>
          </cell>
          <cell r="F433">
            <v>4.5756969999999999</v>
          </cell>
          <cell r="G433">
            <v>-74.179439000000002</v>
          </cell>
          <cell r="H433" t="str">
            <v>Cundinamarca</v>
          </cell>
          <cell r="I433" t="str">
            <v>WOM-HUAWEI</v>
          </cell>
          <cell r="J433" t="str">
            <v>CENTRO SUR/ NORTE</v>
          </cell>
          <cell r="K433" t="str">
            <v>Maria Camila Torres</v>
          </cell>
          <cell r="L433" t="str">
            <v>Terminado</v>
          </cell>
        </row>
        <row r="434">
          <cell r="C434" t="str">
            <v xml:space="preserve">CBTA Soacha San Rafael 1 A </v>
          </cell>
          <cell r="D434" t="str">
            <v>CBTA_03896</v>
          </cell>
          <cell r="E434">
            <v>46128</v>
          </cell>
          <cell r="F434">
            <v>4.5668819999999997</v>
          </cell>
          <cell r="G434">
            <v>-74.187747000000002</v>
          </cell>
          <cell r="H434" t="str">
            <v>Cundinamarca</v>
          </cell>
          <cell r="I434" t="str">
            <v>WOM-HUAWEI</v>
          </cell>
          <cell r="J434" t="str">
            <v>CENTRO SUR/ NORTE</v>
          </cell>
          <cell r="K434" t="str">
            <v>Maria Camila Torres</v>
          </cell>
          <cell r="L434" t="str">
            <v>Terminado</v>
          </cell>
        </row>
        <row r="435">
          <cell r="C435" t="str">
            <v>MAN Camilo Torres</v>
          </cell>
          <cell r="D435" t="str">
            <v>MAN_05480</v>
          </cell>
          <cell r="F435">
            <v>5.052778</v>
          </cell>
          <cell r="G435">
            <v>-75.503332999999998</v>
          </cell>
          <cell r="H435" t="str">
            <v>Caldas</v>
          </cell>
          <cell r="I435" t="str">
            <v>WOM-HUAWEI</v>
          </cell>
          <cell r="J435" t="str">
            <v>SUROCCIDENTE</v>
          </cell>
          <cell r="K435" t="str">
            <v>Alejandro Sanchez</v>
          </cell>
          <cell r="L435" t="str">
            <v>En Ejecución</v>
          </cell>
        </row>
        <row r="436">
          <cell r="C436" t="str">
            <v>MESETA</v>
          </cell>
          <cell r="D436" t="str">
            <v>MET-450035</v>
          </cell>
          <cell r="E436">
            <v>46133</v>
          </cell>
          <cell r="F436" t="str">
            <v>N/A</v>
          </cell>
          <cell r="G436" t="str">
            <v>N/A</v>
          </cell>
          <cell r="H436" t="str">
            <v>Meta</v>
          </cell>
          <cell r="I436" t="str">
            <v>UNIRED</v>
          </cell>
          <cell r="J436" t="str">
            <v>CENTRO SUR/ NORTE</v>
          </cell>
          <cell r="K436" t="str">
            <v>Javier Leonardo Vega</v>
          </cell>
          <cell r="L436" t="str">
            <v>Terminado</v>
          </cell>
        </row>
        <row r="437">
          <cell r="C437" t="str">
            <v>CIUDAD BOSQUE NEIVA</v>
          </cell>
          <cell r="D437" t="str">
            <v>NEI-400044</v>
          </cell>
          <cell r="E437">
            <v>46133</v>
          </cell>
          <cell r="F437" t="str">
            <v>N/A</v>
          </cell>
          <cell r="G437" t="str">
            <v>N/A</v>
          </cell>
          <cell r="H437" t="str">
            <v>Huila</v>
          </cell>
          <cell r="I437" t="str">
            <v>UNIRED</v>
          </cell>
          <cell r="J437" t="str">
            <v>CENTRO SUR/ NORTE</v>
          </cell>
          <cell r="K437" t="str">
            <v>Javier Leonardo Vega</v>
          </cell>
          <cell r="L437" t="str">
            <v>Terminado</v>
          </cell>
        </row>
        <row r="438">
          <cell r="C438" t="str">
            <v>PICALEÑA IBAGUE</v>
          </cell>
          <cell r="D438" t="str">
            <v>IBA-440085</v>
          </cell>
          <cell r="E438">
            <v>46133</v>
          </cell>
          <cell r="F438" t="str">
            <v>N/A</v>
          </cell>
          <cell r="G438" t="str">
            <v>N/A</v>
          </cell>
          <cell r="H438" t="str">
            <v>Tolima</v>
          </cell>
          <cell r="I438" t="str">
            <v>UNIRED</v>
          </cell>
          <cell r="J438" t="str">
            <v>CENTRO SUR/ NORTE</v>
          </cell>
          <cell r="K438" t="str">
            <v>Javier Leonardo Vega</v>
          </cell>
          <cell r="L438" t="str">
            <v>Terminado</v>
          </cell>
        </row>
        <row r="439">
          <cell r="C439" t="str">
            <v>CLI El Jordan</v>
          </cell>
          <cell r="D439" t="str">
            <v>CLI_00882</v>
          </cell>
          <cell r="E439">
            <v>46135</v>
          </cell>
          <cell r="F439">
            <v>3.3723399999999999</v>
          </cell>
          <cell r="G439">
            <v>-76.549189999999996</v>
          </cell>
          <cell r="H439" t="str">
            <v>Valle del Cauca</v>
          </cell>
          <cell r="I439" t="str">
            <v>WOM-HUAWEI</v>
          </cell>
          <cell r="J439" t="str">
            <v>CENTRO SUR/ NORTE</v>
          </cell>
          <cell r="K439" t="str">
            <v>Maria Camila Torres</v>
          </cell>
          <cell r="L439" t="str">
            <v>Terminado</v>
          </cell>
        </row>
        <row r="440">
          <cell r="C440" t="str">
            <v>JPUT El Libano B 2</v>
          </cell>
          <cell r="D440" t="str">
            <v>JPUT_00432</v>
          </cell>
          <cell r="E440">
            <v>46127</v>
          </cell>
          <cell r="F440">
            <v>0.63834999999999997</v>
          </cell>
          <cell r="G440">
            <v>-77.040930000000003</v>
          </cell>
          <cell r="H440" t="str">
            <v>Putumayo</v>
          </cell>
          <cell r="I440" t="str">
            <v>WOM-HUAWEI</v>
          </cell>
          <cell r="J440" t="str">
            <v>SUROCCIDENTE</v>
          </cell>
          <cell r="K440" t="str">
            <v>Maria Camila Torres</v>
          </cell>
          <cell r="L440" t="str">
            <v>Terminado</v>
          </cell>
        </row>
        <row r="441">
          <cell r="C441" t="str">
            <v>JPUT El Libano B 3</v>
          </cell>
          <cell r="D441" t="str">
            <v>JPUT_00432</v>
          </cell>
          <cell r="E441">
            <v>46127</v>
          </cell>
          <cell r="F441">
            <v>0.63834999999999997</v>
          </cell>
          <cell r="G441">
            <v>-77.040930000000003</v>
          </cell>
          <cell r="H441" t="str">
            <v>Putumayo</v>
          </cell>
          <cell r="I441" t="str">
            <v>WOM-HUAWEI</v>
          </cell>
          <cell r="J441" t="str">
            <v>SUROCCIDENTE</v>
          </cell>
          <cell r="K441" t="str">
            <v>Maria Camila Torres</v>
          </cell>
          <cell r="L441" t="str">
            <v>Terminado</v>
          </cell>
        </row>
        <row r="442">
          <cell r="C442" t="str">
            <v xml:space="preserve">TOL Ortega Centro </v>
          </cell>
          <cell r="D442" t="str">
            <v>TOL_04366</v>
          </cell>
          <cell r="E442">
            <v>46139</v>
          </cell>
          <cell r="F442">
            <v>3.9300799999999998</v>
          </cell>
          <cell r="G442">
            <v>-75.219030000000004</v>
          </cell>
          <cell r="H442" t="str">
            <v>Tolima</v>
          </cell>
          <cell r="I442" t="str">
            <v>WOM-HUAWEI</v>
          </cell>
          <cell r="J442" t="str">
            <v>CENTRO SUR/ NORTE</v>
          </cell>
          <cell r="K442" t="str">
            <v>Alejandro Sanchez</v>
          </cell>
          <cell r="L442" t="str">
            <v>Terminado</v>
          </cell>
        </row>
        <row r="443">
          <cell r="C443" t="str">
            <v xml:space="preserve">ANT Guarne La Clara </v>
          </cell>
          <cell r="D443" t="str">
            <v>ANT_03620</v>
          </cell>
          <cell r="E443">
            <v>46139</v>
          </cell>
          <cell r="F443">
            <v>6.2604499999999996</v>
          </cell>
          <cell r="G443">
            <v>-75.408500000000004</v>
          </cell>
          <cell r="H443" t="str">
            <v>Antioquia</v>
          </cell>
          <cell r="I443" t="str">
            <v>WOM-HUAWEI</v>
          </cell>
          <cell r="J443" t="str">
            <v>NOROCCIDENTE</v>
          </cell>
          <cell r="K443" t="str">
            <v>Alejandro Sanchez</v>
          </cell>
          <cell r="L443" t="str">
            <v>Terminado</v>
          </cell>
        </row>
        <row r="444">
          <cell r="C444" t="str">
            <v xml:space="preserve">CMED Envigado Pontevedra </v>
          </cell>
          <cell r="D444" t="str">
            <v>CMED_00574</v>
          </cell>
          <cell r="E444">
            <v>46139</v>
          </cell>
          <cell r="F444">
            <v>6.1763060000000003</v>
          </cell>
          <cell r="G444">
            <v>-75.583166000000006</v>
          </cell>
          <cell r="H444" t="str">
            <v>Antioquia</v>
          </cell>
          <cell r="I444" t="str">
            <v>WOM-HUAWEI</v>
          </cell>
          <cell r="J444" t="str">
            <v>NOROCCIDENTE</v>
          </cell>
          <cell r="K444" t="str">
            <v>Alejandro Sanchez</v>
          </cell>
          <cell r="L444" t="str">
            <v>Terminado</v>
          </cell>
        </row>
        <row r="445">
          <cell r="C445" t="str">
            <v xml:space="preserve">MED Los Alpes B </v>
          </cell>
          <cell r="D445" t="str">
            <v>MED_00924</v>
          </cell>
          <cell r="E445">
            <v>46139</v>
          </cell>
          <cell r="F445">
            <v>6.2323300000000001</v>
          </cell>
          <cell r="G445">
            <v>-75.609399999999994</v>
          </cell>
          <cell r="H445" t="str">
            <v>Antioquia</v>
          </cell>
          <cell r="I445" t="str">
            <v>WOM-HUAWEI</v>
          </cell>
          <cell r="J445" t="str">
            <v>NOROCCIDENTE</v>
          </cell>
          <cell r="K445" t="str">
            <v>Alejandro Sanchez</v>
          </cell>
          <cell r="L445" t="str">
            <v>Terminado</v>
          </cell>
        </row>
        <row r="446">
          <cell r="C446" t="str">
            <v>MED San Antonio de Prado D</v>
          </cell>
          <cell r="D446" t="str">
            <v>MED_0739</v>
          </cell>
          <cell r="E446">
            <v>46139</v>
          </cell>
          <cell r="F446">
            <v>6.1789399999999999</v>
          </cell>
          <cell r="G446">
            <v>-75.654229999999998</v>
          </cell>
          <cell r="H446" t="str">
            <v>Antioquia</v>
          </cell>
          <cell r="I446" t="str">
            <v>WOM-HUAWEI</v>
          </cell>
          <cell r="J446" t="str">
            <v>NOROCCIDENTE</v>
          </cell>
          <cell r="K446" t="str">
            <v>Alejandro Sanchez</v>
          </cell>
          <cell r="L446" t="str">
            <v>Terminado</v>
          </cell>
        </row>
        <row r="447">
          <cell r="C447" t="str">
            <v xml:space="preserve">MED El Diamante B </v>
          </cell>
          <cell r="D447" t="str">
            <v>MED_00839</v>
          </cell>
          <cell r="E447">
            <v>46139</v>
          </cell>
          <cell r="F447">
            <v>6.28606</v>
          </cell>
          <cell r="G447">
            <v>-75.59008</v>
          </cell>
          <cell r="H447" t="str">
            <v>Antioquia</v>
          </cell>
          <cell r="I447" t="str">
            <v>WOM-HUAWEI</v>
          </cell>
          <cell r="J447" t="str">
            <v>NOROCCIDENTE</v>
          </cell>
          <cell r="K447" t="str">
            <v>Alejandro Sanchez</v>
          </cell>
          <cell r="L447" t="str">
            <v>Terminado</v>
          </cell>
        </row>
        <row r="448">
          <cell r="C448" t="str">
            <v>CLI Santa Monica Popular</v>
          </cell>
          <cell r="D448" t="str">
            <v>CLI_01030</v>
          </cell>
          <cell r="E448">
            <v>46136</v>
          </cell>
          <cell r="F448">
            <v>3.438078</v>
          </cell>
          <cell r="G448">
            <v>-76.508769999999998</v>
          </cell>
          <cell r="H448" t="str">
            <v>Valle del Cauca</v>
          </cell>
          <cell r="I448" t="str">
            <v>WOM-HUAWEI</v>
          </cell>
          <cell r="J448" t="str">
            <v>SUROCCIDENTE</v>
          </cell>
          <cell r="K448" t="str">
            <v>Maria Camila Torres</v>
          </cell>
          <cell r="L448" t="str">
            <v>Terminado</v>
          </cell>
        </row>
        <row r="449">
          <cell r="C449" t="str">
            <v>CCLI Palmira Ignacio Torres</v>
          </cell>
          <cell r="D449" t="str">
            <v>CCLI_02348</v>
          </cell>
          <cell r="E449">
            <v>46140</v>
          </cell>
          <cell r="F449">
            <v>3.5457999999999998</v>
          </cell>
          <cell r="G449">
            <v>-76.309899999999999</v>
          </cell>
          <cell r="H449" t="str">
            <v>Valle del Cauca</v>
          </cell>
          <cell r="I449" t="str">
            <v>WOM-HUAWEI</v>
          </cell>
          <cell r="J449" t="str">
            <v>SUROCCIDENTE</v>
          </cell>
          <cell r="K449" t="str">
            <v>Leonardo Sierra</v>
          </cell>
          <cell r="L449" t="str">
            <v>Terminado</v>
          </cell>
        </row>
        <row r="450">
          <cell r="C450" t="str">
            <v>CLI San Nicolas B2</v>
          </cell>
          <cell r="D450" t="str">
            <v>CLI_01019</v>
          </cell>
          <cell r="E450">
            <v>46139</v>
          </cell>
          <cell r="F450">
            <v>3.4547720000000002</v>
          </cell>
          <cell r="G450">
            <v>-76.523982000000004</v>
          </cell>
          <cell r="H450" t="str">
            <v>Valle del Cauca</v>
          </cell>
          <cell r="I450" t="str">
            <v>WOM-HUAWEI</v>
          </cell>
          <cell r="J450" t="str">
            <v>SUROCCIDENTE</v>
          </cell>
          <cell r="K450" t="str">
            <v>Leonardo Sierra</v>
          </cell>
          <cell r="L450" t="str">
            <v>Terminado</v>
          </cell>
        </row>
        <row r="451">
          <cell r="C451" t="str">
            <v>CLI Vipasa</v>
          </cell>
          <cell r="D451" t="str">
            <v>CLI_00784</v>
          </cell>
          <cell r="F451">
            <v>3.47872</v>
          </cell>
          <cell r="G451">
            <v>-76.522220000000004</v>
          </cell>
          <cell r="H451" t="str">
            <v>Valle del Cauca</v>
          </cell>
          <cell r="I451" t="str">
            <v>WOM-HUAWEI</v>
          </cell>
          <cell r="J451" t="str">
            <v>SUROCCIDENTE</v>
          </cell>
          <cell r="K451" t="str">
            <v>Maria Camila Torres</v>
          </cell>
          <cell r="L451" t="str">
            <v>En Ejecución</v>
          </cell>
        </row>
        <row r="452">
          <cell r="C452" t="str">
            <v>BTA El Refugio</v>
          </cell>
          <cell r="D452" t="str">
            <v>BTA_00152</v>
          </cell>
          <cell r="E452">
            <v>46141</v>
          </cell>
          <cell r="F452">
            <v>4.6925299999999996</v>
          </cell>
          <cell r="G452">
            <v>-74.151439999999994</v>
          </cell>
          <cell r="H452" t="str">
            <v>Cundinamarca</v>
          </cell>
          <cell r="I452" t="str">
            <v>WOM-HUAWEI</v>
          </cell>
          <cell r="J452" t="str">
            <v>CENTRO SUR/ NORTE</v>
          </cell>
          <cell r="K452" t="str">
            <v>Maria Camila Torres</v>
          </cell>
          <cell r="L452" t="str">
            <v>Terminado</v>
          </cell>
        </row>
        <row r="453">
          <cell r="C453" t="str">
            <v>MET_GRANADA_NORTE_II</v>
          </cell>
          <cell r="D453" t="str">
            <v>MET-450039</v>
          </cell>
          <cell r="E453">
            <v>46148</v>
          </cell>
          <cell r="F453" t="str">
            <v>N/A</v>
          </cell>
          <cell r="G453" t="str">
            <v>N/A</v>
          </cell>
          <cell r="H453" t="str">
            <v>Meta</v>
          </cell>
          <cell r="I453" t="str">
            <v>UNIRED</v>
          </cell>
          <cell r="J453" t="str">
            <v>CENTRO SUR/ NORTE</v>
          </cell>
          <cell r="K453" t="str">
            <v>Rafael Torres</v>
          </cell>
          <cell r="L453" t="str">
            <v>Terminado</v>
          </cell>
        </row>
        <row r="454">
          <cell r="C454" t="str">
            <v>CMED Salada Parte Alta</v>
          </cell>
          <cell r="D454" t="str">
            <v>CMED_20177</v>
          </cell>
          <cell r="E454">
            <v>46128</v>
          </cell>
          <cell r="F454">
            <v>5.9863600000000003</v>
          </cell>
          <cell r="G454">
            <v>-75.607960000000006</v>
          </cell>
          <cell r="H454" t="str">
            <v>Antioquia</v>
          </cell>
          <cell r="I454" t="str">
            <v>WOM-HUAWEI</v>
          </cell>
          <cell r="J454" t="str">
            <v>NOROCCIDENTE</v>
          </cell>
          <cell r="K454" t="str">
            <v>Alejandro Sanchez</v>
          </cell>
          <cell r="L454" t="str">
            <v>Terminado</v>
          </cell>
        </row>
        <row r="455">
          <cell r="C455" t="str">
            <v>JCOR Loma Verde 2</v>
          </cell>
          <cell r="D455" t="str">
            <v>JCOR_00314</v>
          </cell>
          <cell r="E455">
            <v>46072</v>
          </cell>
          <cell r="F455">
            <v>8.4992970000000003</v>
          </cell>
          <cell r="G455">
            <v>-76.175257999999999</v>
          </cell>
          <cell r="H455" t="str">
            <v>Cordoba</v>
          </cell>
          <cell r="I455" t="str">
            <v>WOM-HUAWEI</v>
          </cell>
          <cell r="J455" t="str">
            <v>COSTA</v>
          </cell>
          <cell r="K455" t="str">
            <v>Cesar Osorio</v>
          </cell>
          <cell r="L455" t="str">
            <v>Terminado</v>
          </cell>
        </row>
        <row r="456">
          <cell r="C456" t="str">
            <v>JCOR El Silencio 2</v>
          </cell>
          <cell r="D456" t="str">
            <v>JCOR_00067</v>
          </cell>
          <cell r="E456">
            <v>46076</v>
          </cell>
          <cell r="F456">
            <v>7.8692000000000002</v>
          </cell>
          <cell r="G456">
            <v>-75.893609999999995</v>
          </cell>
          <cell r="H456" t="str">
            <v>Cordoba</v>
          </cell>
          <cell r="I456" t="str">
            <v>WOM-HUAWEI</v>
          </cell>
          <cell r="J456" t="str">
            <v>COSTA</v>
          </cell>
          <cell r="K456" t="str">
            <v>Cesar Osorio</v>
          </cell>
          <cell r="L456" t="str">
            <v>Terminado</v>
          </cell>
        </row>
        <row r="457">
          <cell r="C457" t="str">
            <v>MAG Nueva Granada B 2</v>
          </cell>
          <cell r="D457" t="str">
            <v>MAG_06221</v>
          </cell>
          <cell r="E457">
            <v>46078</v>
          </cell>
          <cell r="F457">
            <v>9.8008410000000001</v>
          </cell>
          <cell r="G457">
            <v>-74.394175000000004</v>
          </cell>
          <cell r="H457" t="str">
            <v>Magdalena</v>
          </cell>
          <cell r="I457" t="str">
            <v>WOM-HUAWEI</v>
          </cell>
          <cell r="J457" t="str">
            <v>COSTA</v>
          </cell>
          <cell r="K457" t="str">
            <v>Cesar Osorio</v>
          </cell>
          <cell r="L457" t="str">
            <v>Terminado</v>
          </cell>
        </row>
        <row r="458">
          <cell r="C458" t="str">
            <v>EL_CHACO</v>
          </cell>
          <cell r="D458" t="str">
            <v>TOL-043082</v>
          </cell>
          <cell r="F458" t="str">
            <v>N/A</v>
          </cell>
          <cell r="G458" t="str">
            <v>N/A</v>
          </cell>
          <cell r="H458" t="str">
            <v>Tolima</v>
          </cell>
          <cell r="I458" t="str">
            <v>UNIRED</v>
          </cell>
          <cell r="J458" t="str">
            <v>CENTRO SUR/ NORTE</v>
          </cell>
          <cell r="K458" t="str">
            <v>Rafael Torres</v>
          </cell>
          <cell r="L458" t="str">
            <v>En Ejecución</v>
          </cell>
        </row>
        <row r="459">
          <cell r="C459" t="str">
            <v>VILLARICA II</v>
          </cell>
          <cell r="D459" t="str">
            <v>TOL-430086</v>
          </cell>
          <cell r="E459">
            <v>46144</v>
          </cell>
          <cell r="F459">
            <v>3.9670000000000001</v>
          </cell>
          <cell r="G459">
            <v>-74.646000000000001</v>
          </cell>
          <cell r="H459" t="str">
            <v>Tolima</v>
          </cell>
          <cell r="I459" t="str">
            <v>UNIRED</v>
          </cell>
          <cell r="J459" t="str">
            <v>CENTRO SUR/ NORTE</v>
          </cell>
          <cell r="K459" t="str">
            <v>Rafael Torres</v>
          </cell>
          <cell r="L459" t="str">
            <v>Terminado</v>
          </cell>
        </row>
        <row r="460">
          <cell r="C460" t="str">
            <v xml:space="preserve">CPER Dosquebradas Jorge Gaitan </v>
          </cell>
          <cell r="D460" t="str">
            <v>CPER_03666</v>
          </cell>
          <cell r="E460">
            <v>46147</v>
          </cell>
          <cell r="F460">
            <v>4.8477199999999998</v>
          </cell>
          <cell r="G460">
            <v>-75.653300000000002</v>
          </cell>
          <cell r="H460" t="str">
            <v>Antioquia</v>
          </cell>
          <cell r="I460" t="str">
            <v>WOM-HUAWEI</v>
          </cell>
          <cell r="J460" t="str">
            <v>NOROCCIDENTE</v>
          </cell>
          <cell r="K460" t="str">
            <v>Alejandro Sanchez</v>
          </cell>
          <cell r="L460" t="str">
            <v>Terminado</v>
          </cell>
        </row>
        <row r="461">
          <cell r="C461" t="str">
            <v>SWITCH DOSQUEBRADAS</v>
          </cell>
          <cell r="D461" t="str">
            <v>TLF_S743</v>
          </cell>
          <cell r="E461">
            <v>46147</v>
          </cell>
          <cell r="F461" t="str">
            <v>N/A</v>
          </cell>
          <cell r="G461" t="str">
            <v>N/A</v>
          </cell>
          <cell r="H461" t="str">
            <v>Risaralda</v>
          </cell>
          <cell r="I461" t="str">
            <v>TELEFONICA</v>
          </cell>
          <cell r="J461" t="str">
            <v>SUROCCIDENTE</v>
          </cell>
          <cell r="K461" t="str">
            <v>Cesar Osorio</v>
          </cell>
          <cell r="L461" t="str">
            <v>Terminado</v>
          </cell>
        </row>
        <row r="462">
          <cell r="C462" t="str">
            <v>SAT_SAN_SILVESTRE</v>
          </cell>
          <cell r="D462" t="str">
            <v>BJA-220042</v>
          </cell>
          <cell r="E462">
            <v>46147</v>
          </cell>
          <cell r="F462">
            <v>7.0789999999999997</v>
          </cell>
          <cell r="G462">
            <v>-73.84</v>
          </cell>
          <cell r="H462" t="str">
            <v>Santander</v>
          </cell>
          <cell r="I462" t="str">
            <v>UNIRED</v>
          </cell>
          <cell r="J462" t="str">
            <v>ORIENTE</v>
          </cell>
          <cell r="K462" t="str">
            <v>Carlos Eduardo Montoya</v>
          </cell>
          <cell r="L462" t="str">
            <v>Terminado</v>
          </cell>
        </row>
        <row r="463">
          <cell r="C463" t="str">
            <v>LA_ALBORADA 1</v>
          </cell>
          <cell r="D463" t="str">
            <v xml:space="preserve">CAL-350020 </v>
          </cell>
          <cell r="E463">
            <v>46148</v>
          </cell>
          <cell r="F463" t="str">
            <v>N/A</v>
          </cell>
          <cell r="G463" t="str">
            <v>N/A</v>
          </cell>
          <cell r="H463" t="str">
            <v>Valle del Cauca</v>
          </cell>
          <cell r="I463" t="str">
            <v>UNIRED</v>
          </cell>
          <cell r="J463" t="str">
            <v>SUROCCIDENTE</v>
          </cell>
          <cell r="K463" t="str">
            <v>Wilson Alejandro Solarte</v>
          </cell>
          <cell r="L463" t="str">
            <v>Terminado</v>
          </cell>
        </row>
        <row r="464">
          <cell r="C464" t="str">
            <v>CUN Bobace</v>
          </cell>
          <cell r="D464" t="str">
            <v>CUN_03950</v>
          </cell>
          <cell r="E464">
            <v>46134</v>
          </cell>
          <cell r="F464" t="str">
            <v>N/A</v>
          </cell>
          <cell r="G464" t="str">
            <v>N/A</v>
          </cell>
          <cell r="H464" t="str">
            <v>Cundinamarca</v>
          </cell>
          <cell r="I464" t="str">
            <v>WOM-HUAWEI</v>
          </cell>
          <cell r="J464" t="str">
            <v>CENTRO SUR/ NORTE</v>
          </cell>
          <cell r="K464" t="str">
            <v>Maria Camila Torres</v>
          </cell>
          <cell r="L464" t="str">
            <v>Terminado</v>
          </cell>
        </row>
        <row r="465">
          <cell r="C465" t="str">
            <v>JCOR El Guayabo C</v>
          </cell>
          <cell r="D465" t="str">
            <v>JCOR_00465</v>
          </cell>
          <cell r="F465">
            <v>8.3053319999999999</v>
          </cell>
          <cell r="G465">
            <v>-75.657692999999995</v>
          </cell>
          <cell r="H465" t="str">
            <v>Cordoba</v>
          </cell>
          <cell r="I465" t="str">
            <v>WOM-HUAWEI</v>
          </cell>
          <cell r="J465" t="str">
            <v>COSTA</v>
          </cell>
          <cell r="K465" t="str">
            <v>Cesar Osorio</v>
          </cell>
          <cell r="L465" t="str">
            <v>En Ejecución</v>
          </cell>
        </row>
        <row r="466">
          <cell r="C466" t="str">
            <v>CLI Canaveralejo Norte</v>
          </cell>
          <cell r="D466" t="str">
            <v>CLI_07234</v>
          </cell>
          <cell r="E466">
            <v>46135</v>
          </cell>
          <cell r="F466">
            <v>3.4145189999999999</v>
          </cell>
          <cell r="G466">
            <v>-76.563339999999997</v>
          </cell>
          <cell r="H466" t="str">
            <v>Valle del Cauca</v>
          </cell>
          <cell r="I466" t="str">
            <v>WOM-HUAWEI</v>
          </cell>
          <cell r="J466" t="str">
            <v>SUROCCIDENTE</v>
          </cell>
          <cell r="K466" t="str">
            <v>Leonardo Sierra</v>
          </cell>
          <cell r="L466" t="str">
            <v>Terminado</v>
          </cell>
        </row>
        <row r="467">
          <cell r="C467" t="str">
            <v>NEI Trapichito 2</v>
          </cell>
          <cell r="D467" t="str">
            <v>NEI_04302</v>
          </cell>
          <cell r="E467">
            <v>46149</v>
          </cell>
          <cell r="F467">
            <v>2.8951199999999999</v>
          </cell>
          <cell r="G467">
            <v>-75.275810000000007</v>
          </cell>
          <cell r="H467" t="str">
            <v>Huila</v>
          </cell>
          <cell r="I467" t="str">
            <v>WOM-HUAWEI</v>
          </cell>
          <cell r="J467" t="str">
            <v>NOROCCIDENTE</v>
          </cell>
          <cell r="K467" t="str">
            <v>Alejandro Sanchez</v>
          </cell>
          <cell r="L467" t="str">
            <v>Terminado</v>
          </cell>
        </row>
        <row r="468">
          <cell r="C468" t="str">
            <v>IBG San Simon</v>
          </cell>
          <cell r="D468" t="str">
            <v>IBG_04022</v>
          </cell>
          <cell r="E468">
            <v>46149</v>
          </cell>
          <cell r="F468">
            <v>4.4183300000000001</v>
          </cell>
          <cell r="G468">
            <v>-75.282139999999998</v>
          </cell>
          <cell r="H468" t="str">
            <v>Tolima</v>
          </cell>
          <cell r="I468" t="str">
            <v>WOM-HUAWEI</v>
          </cell>
          <cell r="J468" t="str">
            <v>NOROCCIDENTE</v>
          </cell>
          <cell r="K468" t="str">
            <v>Alejandro Sanchez</v>
          </cell>
          <cell r="L468" t="str">
            <v>Terminado</v>
          </cell>
        </row>
        <row r="469">
          <cell r="C469" t="str">
            <v>HUI Aipe</v>
          </cell>
          <cell r="D469" t="str">
            <v>HUI_02112</v>
          </cell>
          <cell r="E469">
            <v>46149</v>
          </cell>
          <cell r="F469">
            <v>3.228583</v>
          </cell>
          <cell r="G469">
            <v>-75.242900000000006</v>
          </cell>
          <cell r="H469" t="str">
            <v>Huila</v>
          </cell>
          <cell r="I469" t="str">
            <v>WOM-HUAWEI</v>
          </cell>
          <cell r="J469" t="str">
            <v>NOROCCIDENTE</v>
          </cell>
          <cell r="K469" t="str">
            <v>Alejandro Sanchez</v>
          </cell>
          <cell r="L469" t="str">
            <v>Terminado</v>
          </cell>
        </row>
        <row r="470">
          <cell r="C470" t="str">
            <v>TOL_SAN_LUIS</v>
          </cell>
          <cell r="D470" t="str">
            <v>TOL-430235</v>
          </cell>
          <cell r="E470">
            <v>46150</v>
          </cell>
          <cell r="F470" t="str">
            <v>N/A</v>
          </cell>
          <cell r="G470" t="str">
            <v>N/A</v>
          </cell>
          <cell r="H470" t="str">
            <v>Tolima</v>
          </cell>
          <cell r="I470" t="str">
            <v>UNIRED</v>
          </cell>
          <cell r="J470" t="str">
            <v>CENTRO SUR/ NORTE</v>
          </cell>
          <cell r="K470" t="str">
            <v>Rafael Torres</v>
          </cell>
          <cell r="L470" t="str">
            <v>En Ejecución</v>
          </cell>
        </row>
        <row r="471">
          <cell r="C471" t="str">
            <v>ZONA INDUSTRIAL IBAGUE</v>
          </cell>
          <cell r="D471" t="str">
            <v xml:space="preserve">IBA-440048 </v>
          </cell>
          <cell r="E471">
            <v>46150</v>
          </cell>
          <cell r="F471" t="str">
            <v>N/A</v>
          </cell>
          <cell r="G471" t="str">
            <v>N/A</v>
          </cell>
          <cell r="H471" t="str">
            <v>Tolima</v>
          </cell>
          <cell r="I471" t="str">
            <v>UNIRED</v>
          </cell>
          <cell r="J471" t="str">
            <v>CENTRO SUR/ NORTE</v>
          </cell>
          <cell r="K471" t="str">
            <v>Rafael Torres</v>
          </cell>
          <cell r="L471" t="str">
            <v>En Ejecución</v>
          </cell>
        </row>
        <row r="472">
          <cell r="C472" t="str">
            <v>BTA La Esmeralda</v>
          </cell>
          <cell r="D472" t="str">
            <v>BTA_00221</v>
          </cell>
          <cell r="E472">
            <v>46149</v>
          </cell>
          <cell r="F472">
            <v>4.6436250000000001</v>
          </cell>
          <cell r="G472">
            <v>-74.090926999999994</v>
          </cell>
          <cell r="H472" t="str">
            <v>Cundinamarca</v>
          </cell>
          <cell r="I472" t="str">
            <v>WOM-HUAWEI</v>
          </cell>
          <cell r="J472" t="str">
            <v>CENTRO SUR/ NORTE</v>
          </cell>
          <cell r="K472" t="str">
            <v>Maria Camila Torres</v>
          </cell>
          <cell r="L472" t="str">
            <v>Terminado</v>
          </cell>
        </row>
        <row r="473">
          <cell r="C473" t="str">
            <v>TOL_COCORA</v>
          </cell>
          <cell r="D473" t="str">
            <v>IBA-440018</v>
          </cell>
          <cell r="E473">
            <v>46150</v>
          </cell>
          <cell r="F473" t="str">
            <v>N/A</v>
          </cell>
          <cell r="G473" t="str">
            <v>N/A</v>
          </cell>
          <cell r="H473" t="str">
            <v>Tolima</v>
          </cell>
          <cell r="I473" t="str">
            <v>UNIRED</v>
          </cell>
          <cell r="J473" t="str">
            <v>CENTRO SUR/ NORTE</v>
          </cell>
          <cell r="K473" t="str">
            <v>Rafael Torres</v>
          </cell>
          <cell r="L473" t="str">
            <v>En Ejecución</v>
          </cell>
        </row>
        <row r="474">
          <cell r="C474" t="str">
            <v>PAS Carolina 2</v>
          </cell>
          <cell r="D474" t="str">
            <v>PAS_06349</v>
          </cell>
          <cell r="E474">
            <v>46153</v>
          </cell>
          <cell r="F474">
            <v>1.2108099999999999</v>
          </cell>
          <cell r="G474">
            <v>-77.261600000000001</v>
          </cell>
          <cell r="H474" t="str">
            <v>Nariño</v>
          </cell>
          <cell r="I474" t="str">
            <v>WOM-HUAWEI</v>
          </cell>
          <cell r="J474" t="str">
            <v>SUROCCIDENTE</v>
          </cell>
          <cell r="K474" t="str">
            <v>Maria Camila Torres</v>
          </cell>
          <cell r="L474" t="str">
            <v>Terminado</v>
          </cell>
        </row>
        <row r="475">
          <cell r="C475" t="str">
            <v>CCLI Palmira Estonia</v>
          </cell>
          <cell r="D475" t="str">
            <v>CCLI_02848</v>
          </cell>
          <cell r="E475">
            <v>46151</v>
          </cell>
          <cell r="F475">
            <v>3.5401899999999999</v>
          </cell>
          <cell r="G475">
            <v>-76.301699999999997</v>
          </cell>
          <cell r="H475" t="str">
            <v>Valle del Cauca</v>
          </cell>
          <cell r="I475" t="str">
            <v>WOM-HUAWEI</v>
          </cell>
          <cell r="J475" t="str">
            <v>SUROCCIDENTE</v>
          </cell>
          <cell r="K475" t="str">
            <v>Leonardo Sierra</v>
          </cell>
          <cell r="L475" t="str">
            <v>Terminado</v>
          </cell>
        </row>
        <row r="476">
          <cell r="C476" t="str">
            <v>TOL Contreras</v>
          </cell>
          <cell r="D476" t="str">
            <v>TOL_03986</v>
          </cell>
          <cell r="E476">
            <v>46153</v>
          </cell>
          <cell r="F476">
            <v>4.1397700000000004</v>
          </cell>
          <cell r="G476">
            <v>-75.098699999999994</v>
          </cell>
          <cell r="H476" t="str">
            <v>Tolima</v>
          </cell>
          <cell r="I476" t="str">
            <v>WOM-HUAWEI</v>
          </cell>
          <cell r="J476" t="str">
            <v>NOROCCIDENTE</v>
          </cell>
          <cell r="K476" t="str">
            <v>Alejandro Sanchez</v>
          </cell>
          <cell r="L476" t="str">
            <v>Terminado</v>
          </cell>
        </row>
        <row r="477">
          <cell r="C477" t="str">
            <v xml:space="preserve">CUN_LA_PRADERA </v>
          </cell>
          <cell r="D477" t="str">
            <v>CUN-010377</v>
          </cell>
          <cell r="E477">
            <v>46155</v>
          </cell>
          <cell r="F477" t="str">
            <v>N/A</v>
          </cell>
          <cell r="G477" t="str">
            <v>N/A</v>
          </cell>
          <cell r="H477" t="str">
            <v>Cundinamarca</v>
          </cell>
          <cell r="I477" t="str">
            <v>UNIRED</v>
          </cell>
          <cell r="J477" t="str">
            <v>CENTRO SUR/ NORTE</v>
          </cell>
          <cell r="K477" t="str">
            <v>Leidy Cabrera</v>
          </cell>
          <cell r="L477" t="str">
            <v>En Ejecución</v>
          </cell>
        </row>
        <row r="478">
          <cell r="C478" t="str">
            <v>ANT Amaga</v>
          </cell>
          <cell r="D478" t="str">
            <v>ANT_03642</v>
          </cell>
          <cell r="E478">
            <v>46155</v>
          </cell>
          <cell r="F478">
            <v>6.0384000000000002</v>
          </cell>
          <cell r="G478">
            <v>-75.701800000000006</v>
          </cell>
          <cell r="H478" t="str">
            <v>Antioquia</v>
          </cell>
          <cell r="I478" t="str">
            <v>WOM-HUAWEI</v>
          </cell>
          <cell r="J478" t="str">
            <v>CENTRO SUR/ NORTE</v>
          </cell>
          <cell r="K478" t="str">
            <v>Alejandro Sanchez</v>
          </cell>
          <cell r="L478" t="str">
            <v>Terminado</v>
          </cell>
        </row>
        <row r="479">
          <cell r="C479" t="str">
            <v>VIL_BUQUE_BARZAL_MIG /ALTAGRACIA VILLAVICENCIO / AMARILO VILLAVICENCIO</v>
          </cell>
          <cell r="D479" t="str">
            <v>VIL-460048/ VIL-460059 /  460060</v>
          </cell>
          <cell r="F479" t="str">
            <v>N/A</v>
          </cell>
          <cell r="G479" t="str">
            <v>N/A</v>
          </cell>
          <cell r="H479" t="str">
            <v>Meta</v>
          </cell>
          <cell r="I479" t="str">
            <v>UNIRED</v>
          </cell>
          <cell r="J479" t="str">
            <v>CENTRO SUR/ NORTE</v>
          </cell>
          <cell r="K479" t="str">
            <v>Leidy Cabrera</v>
          </cell>
          <cell r="L479" t="str">
            <v>Terminado</v>
          </cell>
        </row>
        <row r="480">
          <cell r="C480" t="str">
            <v>EL ROSAL</v>
          </cell>
          <cell r="D480" t="str">
            <v>CUN-010020</v>
          </cell>
          <cell r="E480">
            <v>46163</v>
          </cell>
          <cell r="F480" t="str">
            <v>N/A</v>
          </cell>
          <cell r="G480" t="str">
            <v>N/A</v>
          </cell>
          <cell r="H480" t="str">
            <v>Cundinamarca</v>
          </cell>
          <cell r="I480" t="str">
            <v>UNIRED</v>
          </cell>
          <cell r="J480" t="str">
            <v>CENTRO SUR/ NORTE</v>
          </cell>
          <cell r="K480" t="str">
            <v>Leidy Cabrera</v>
          </cell>
          <cell r="L480" t="str">
            <v>Terminado</v>
          </cell>
        </row>
        <row r="481">
          <cell r="C481" t="str">
            <v>BTA La Riviera</v>
          </cell>
          <cell r="D481" t="str">
            <v>BTA_01879</v>
          </cell>
          <cell r="F481">
            <v>4.6458899999999996</v>
          </cell>
          <cell r="G481">
            <v>-74.177300000000002</v>
          </cell>
          <cell r="H481" t="str">
            <v>Cundinamarca</v>
          </cell>
          <cell r="I481" t="str">
            <v>WOM-HUAWEI</v>
          </cell>
          <cell r="J481" t="str">
            <v>CENTRO SUR/ NORTE</v>
          </cell>
          <cell r="K481" t="str">
            <v>Maria Camila Torres</v>
          </cell>
          <cell r="L481" t="str">
            <v>Terminado</v>
          </cell>
        </row>
        <row r="482">
          <cell r="C482" t="str">
            <v>KISS ME</v>
          </cell>
          <cell r="D482" t="str">
            <v>CAL-350444</v>
          </cell>
          <cell r="E482">
            <v>46162</v>
          </cell>
          <cell r="F482" t="str">
            <v>N/A</v>
          </cell>
          <cell r="G482" t="str">
            <v>N/A</v>
          </cell>
          <cell r="H482" t="str">
            <v>Valle del Cauca</v>
          </cell>
          <cell r="I482" t="str">
            <v>UNIRED</v>
          </cell>
          <cell r="J482" t="str">
            <v>SUROCCIDENTE</v>
          </cell>
          <cell r="K482" t="str">
            <v>Wilson Alejandro Solarte</v>
          </cell>
          <cell r="L482" t="str">
            <v>En Ejecución</v>
          </cell>
        </row>
        <row r="483">
          <cell r="C483" t="str">
            <v>CBTA Soacha Urbanizacion Terreros</v>
          </cell>
          <cell r="D483" t="str">
            <v>CBTA_03838</v>
          </cell>
          <cell r="E483">
            <v>46157</v>
          </cell>
          <cell r="F483">
            <v>4.582878</v>
          </cell>
          <cell r="G483">
            <v>-74.197276000000002</v>
          </cell>
          <cell r="H483" t="str">
            <v>Cundinamarca</v>
          </cell>
          <cell r="I483" t="str">
            <v>WOM-HUAWEI</v>
          </cell>
          <cell r="J483" t="str">
            <v>CENTRO SUR/ NORTE</v>
          </cell>
          <cell r="K483" t="str">
            <v>Maria Camila Torres</v>
          </cell>
          <cell r="L483" t="str">
            <v>Terminado</v>
          </cell>
        </row>
        <row r="484">
          <cell r="C484" t="str">
            <v>CBTA El Oasis I</v>
          </cell>
          <cell r="D484" t="str">
            <v>CBTA_03732</v>
          </cell>
          <cell r="E484">
            <v>46157</v>
          </cell>
          <cell r="F484">
            <v>4.5787040000000001</v>
          </cell>
          <cell r="G484">
            <v>-74.198262</v>
          </cell>
          <cell r="H484" t="str">
            <v>Cundinamarca</v>
          </cell>
          <cell r="I484" t="str">
            <v>WOM-HUAWEI</v>
          </cell>
          <cell r="J484" t="str">
            <v>CENTRO SUR/ NORTE</v>
          </cell>
          <cell r="K484" t="str">
            <v>Maria Camila Torres</v>
          </cell>
          <cell r="L484" t="str">
            <v>Terminado</v>
          </cell>
        </row>
        <row r="485">
          <cell r="C485" t="str">
            <v>HUI_VELU</v>
          </cell>
          <cell r="D485" t="str">
            <v>TOL-430168</v>
          </cell>
          <cell r="E485">
            <v>46163</v>
          </cell>
          <cell r="F485" t="str">
            <v>N/A</v>
          </cell>
          <cell r="G485" t="str">
            <v>N/A</v>
          </cell>
          <cell r="H485" t="str">
            <v>Huila</v>
          </cell>
          <cell r="I485" t="str">
            <v>UNIRED</v>
          </cell>
          <cell r="J485" t="str">
            <v>NOROCCIDENTE</v>
          </cell>
          <cell r="K485" t="str">
            <v>Leidy Cabrera</v>
          </cell>
          <cell r="L485" t="str">
            <v>Terminado</v>
          </cell>
        </row>
        <row r="486">
          <cell r="C486" t="str">
            <v>FUENTE DE ORO</v>
          </cell>
          <cell r="D486" t="str">
            <v>MET-450027</v>
          </cell>
          <cell r="E486">
            <v>46163</v>
          </cell>
          <cell r="F486" t="str">
            <v>N/A</v>
          </cell>
          <cell r="G486" t="str">
            <v>N/A</v>
          </cell>
          <cell r="H486" t="str">
            <v>Meta</v>
          </cell>
          <cell r="I486" t="str">
            <v>UNIRED</v>
          </cell>
          <cell r="J486" t="str">
            <v>CENTRO SUR/ NORTE</v>
          </cell>
          <cell r="K486" t="str">
            <v>Leidy Cabrera</v>
          </cell>
          <cell r="L486" t="str">
            <v>Terminado</v>
          </cell>
        </row>
        <row r="487">
          <cell r="C487" t="str">
            <v>VILLAVICENCIO III</v>
          </cell>
          <cell r="D487" t="str">
            <v>VIL-460084</v>
          </cell>
          <cell r="E487">
            <v>46163</v>
          </cell>
          <cell r="F487" t="str">
            <v>N/A</v>
          </cell>
          <cell r="G487" t="str">
            <v>N/A</v>
          </cell>
          <cell r="H487" t="str">
            <v>Meta</v>
          </cell>
          <cell r="I487" t="str">
            <v>UNIRED</v>
          </cell>
          <cell r="J487" t="str">
            <v>CENTRO SUR/ NORTE</v>
          </cell>
          <cell r="K487" t="str">
            <v>Leidy Cabrera</v>
          </cell>
          <cell r="L487" t="str">
            <v>Terminado</v>
          </cell>
        </row>
        <row r="488">
          <cell r="C488" t="str">
            <v>CBTA Soacha Eduardo Puyana</v>
          </cell>
          <cell r="D488" t="str">
            <v>CBTA_03829</v>
          </cell>
          <cell r="E488">
            <v>46158</v>
          </cell>
          <cell r="F488">
            <v>4.5916370000000004</v>
          </cell>
          <cell r="G488">
            <v>-74.227705</v>
          </cell>
          <cell r="H488" t="str">
            <v>Cundinamarca</v>
          </cell>
          <cell r="I488" t="str">
            <v>WOM-HUAWEI</v>
          </cell>
          <cell r="J488" t="str">
            <v>CENTRO SUR/ NORTE</v>
          </cell>
          <cell r="K488" t="str">
            <v>Maria Camila Torres</v>
          </cell>
          <cell r="L488" t="str">
            <v>Terminado</v>
          </cell>
        </row>
        <row r="489">
          <cell r="C489" t="str">
            <v>CBTA Conjunto Residencial Sauce</v>
          </cell>
          <cell r="D489" t="str">
            <v>CBTA_07557</v>
          </cell>
          <cell r="E489">
            <v>46158</v>
          </cell>
          <cell r="F489">
            <v>4.6139200000000002</v>
          </cell>
          <cell r="G489">
            <v>-74.221100000000007</v>
          </cell>
          <cell r="H489" t="str">
            <v>Cundinamarca</v>
          </cell>
          <cell r="I489" t="str">
            <v>WOM-HUAWEI</v>
          </cell>
          <cell r="J489" t="str">
            <v>CENTRO SUR/ NORTE</v>
          </cell>
          <cell r="K489" t="str">
            <v>Maria Camila Torres</v>
          </cell>
          <cell r="L489" t="str">
            <v>Terminado</v>
          </cell>
        </row>
        <row r="490">
          <cell r="C490" t="str">
            <v>CBTA Soacha Parque Campestre</v>
          </cell>
          <cell r="D490" t="str">
            <v>CBTA_03830</v>
          </cell>
          <cell r="E490">
            <v>46158</v>
          </cell>
          <cell r="F490">
            <v>4.5788399999999996</v>
          </cell>
          <cell r="G490">
            <v>-74.233999999999995</v>
          </cell>
          <cell r="H490" t="str">
            <v>Cundinamarca</v>
          </cell>
          <cell r="I490" t="str">
            <v>WOM-HUAWEI</v>
          </cell>
          <cell r="J490" t="str">
            <v>CENTRO SUR/ NORTE</v>
          </cell>
          <cell r="K490" t="str">
            <v>Maria Camila Torres</v>
          </cell>
          <cell r="L490" t="str">
            <v>Terminado</v>
          </cell>
        </row>
        <row r="491">
          <cell r="C491" t="str">
            <v>MAG0102/MAG0102</v>
          </cell>
          <cell r="D491">
            <v>163806</v>
          </cell>
          <cell r="E491">
            <v>46163</v>
          </cell>
          <cell r="F491" t="str">
            <v>N/A</v>
          </cell>
          <cell r="G491" t="str">
            <v>N/A</v>
          </cell>
          <cell r="H491" t="str">
            <v>Magdalena</v>
          </cell>
          <cell r="I491" t="str">
            <v>UNIRED</v>
          </cell>
          <cell r="J491" t="str">
            <v>CENTRO SUR/ NORTE</v>
          </cell>
          <cell r="K491" t="str">
            <v>Alfredo de la Cruz</v>
          </cell>
          <cell r="L491" t="str">
            <v>Terminado</v>
          </cell>
        </row>
        <row r="492">
          <cell r="C492" t="str">
            <v>BTA Monterrey</v>
          </cell>
          <cell r="D492" t="str">
            <v>BTA_00810</v>
          </cell>
          <cell r="E492">
            <v>46164</v>
          </cell>
          <cell r="F492">
            <v>4.6436700000000002</v>
          </cell>
          <cell r="G492">
            <v>-74.148529999999994</v>
          </cell>
          <cell r="H492" t="str">
            <v>Cundinamarca</v>
          </cell>
          <cell r="I492" t="str">
            <v>WOM-HUAWEI</v>
          </cell>
          <cell r="J492" t="str">
            <v>CENTRO SUR/ NORTE</v>
          </cell>
          <cell r="K492" t="str">
            <v>Maria Camila Torres</v>
          </cell>
          <cell r="L492" t="str">
            <v>Terminado</v>
          </cell>
        </row>
        <row r="493">
          <cell r="C493" t="str">
            <v xml:space="preserve">BTA Bavaria </v>
          </cell>
          <cell r="D493" t="str">
            <v>BTA_00031</v>
          </cell>
          <cell r="E493">
            <v>46164</v>
          </cell>
          <cell r="F493">
            <v>4.6403800000000004</v>
          </cell>
          <cell r="G493">
            <v>-74.135469999999998</v>
          </cell>
          <cell r="H493" t="str">
            <v>Cundinamarca</v>
          </cell>
          <cell r="I493" t="str">
            <v>WOM-HUAWEI</v>
          </cell>
          <cell r="J493" t="str">
            <v>CENTRO SUR/ NORTE</v>
          </cell>
          <cell r="K493" t="str">
            <v>Maria Camila Torres</v>
          </cell>
          <cell r="L493" t="str">
            <v>Terminado</v>
          </cell>
        </row>
        <row r="494">
          <cell r="C494" t="str">
            <v>BTA Las Brisas</v>
          </cell>
          <cell r="D494" t="str">
            <v>BTA_00266</v>
          </cell>
          <cell r="E494">
            <v>46164</v>
          </cell>
          <cell r="F494">
            <v>4.64236</v>
          </cell>
          <cell r="G494">
            <v>-74.174459999999996</v>
          </cell>
          <cell r="H494" t="str">
            <v>Cundinamarca</v>
          </cell>
          <cell r="I494" t="str">
            <v>WOM-HUAWEI</v>
          </cell>
          <cell r="J494" t="str">
            <v>CENTRO SUR/ NORTE</v>
          </cell>
          <cell r="K494" t="str">
            <v>Maria Camila Torres</v>
          </cell>
          <cell r="L494" t="str">
            <v>Terminado</v>
          </cell>
        </row>
        <row r="495">
          <cell r="C495" t="str">
            <v>NST_MIRADOR_DE_BOCHALEMA</v>
          </cell>
          <cell r="D495" t="str">
            <v>NST-230023</v>
          </cell>
          <cell r="E495">
            <v>46165</v>
          </cell>
          <cell r="F495">
            <v>7.6130000000000004</v>
          </cell>
          <cell r="G495">
            <v>-72.650999999999996</v>
          </cell>
          <cell r="H495" t="str">
            <v>Norte de Santander</v>
          </cell>
          <cell r="I495" t="str">
            <v>UNIRED</v>
          </cell>
          <cell r="J495" t="str">
            <v>ORIENTE</v>
          </cell>
          <cell r="K495" t="str">
            <v>Carlos Eduardo Montoya</v>
          </cell>
          <cell r="L495" t="str">
            <v>Inicio</v>
          </cell>
        </row>
        <row r="496">
          <cell r="C496" t="str">
            <v>IBG La Maria</v>
          </cell>
          <cell r="D496" t="str">
            <v>IBG_02249</v>
          </cell>
          <cell r="E496">
            <v>46164</v>
          </cell>
          <cell r="F496">
            <v>4.4527000000000001</v>
          </cell>
          <cell r="G496">
            <v>-75.149600000000007</v>
          </cell>
          <cell r="H496" t="str">
            <v>Tolima</v>
          </cell>
          <cell r="I496" t="str">
            <v>WOM-HUAWEI</v>
          </cell>
          <cell r="J496" t="str">
            <v>NOROCCIDENTE</v>
          </cell>
          <cell r="K496" t="str">
            <v>Alejandro Sanchez</v>
          </cell>
          <cell r="L496" t="str">
            <v>Terminado</v>
          </cell>
        </row>
        <row r="497">
          <cell r="C497" t="str">
            <v>CAQ Cartagena del Chaira</v>
          </cell>
          <cell r="D497" t="str">
            <v>CAQ_04214</v>
          </cell>
          <cell r="E497">
            <v>46142</v>
          </cell>
          <cell r="F497">
            <v>1.3326</v>
          </cell>
          <cell r="G497">
            <v>-74.843999999999994</v>
          </cell>
          <cell r="H497" t="str">
            <v>Caqueta</v>
          </cell>
          <cell r="I497" t="str">
            <v>WOM-HUAWEI</v>
          </cell>
          <cell r="J497" t="str">
            <v>CENTRO SUR/ NORTE</v>
          </cell>
          <cell r="K497" t="str">
            <v>Maria Camila Torres</v>
          </cell>
          <cell r="L497" t="str">
            <v>Terminado</v>
          </cell>
        </row>
        <row r="498">
          <cell r="C498" t="str">
            <v xml:space="preserve">  JCUN Cardonal</v>
          </cell>
          <cell r="D498" t="str">
            <v>JCUN_00076</v>
          </cell>
          <cell r="E498">
            <v>46142</v>
          </cell>
          <cell r="F498">
            <v>5.4375999999999998</v>
          </cell>
          <cell r="G498">
            <v>-74.2791</v>
          </cell>
          <cell r="H498" t="str">
            <v>Cundinamarca</v>
          </cell>
          <cell r="I498" t="str">
            <v>WOM-HUAWEI</v>
          </cell>
          <cell r="J498" t="str">
            <v>CENTRO SUR/ NORTE</v>
          </cell>
          <cell r="K498" t="str">
            <v>Maria Camila Torres</v>
          </cell>
          <cell r="L498" t="str">
            <v>Terminado</v>
          </cell>
        </row>
        <row r="499">
          <cell r="C499" t="str">
            <v xml:space="preserve"> JCUN Tancuena</v>
          </cell>
          <cell r="D499" t="str">
            <v>JCUN_00492</v>
          </cell>
          <cell r="E499">
            <v>46142</v>
          </cell>
          <cell r="F499">
            <v>5.4198189000000001</v>
          </cell>
          <cell r="G499">
            <v>-74.27037</v>
          </cell>
          <cell r="H499" t="str">
            <v>Cundinamarca</v>
          </cell>
          <cell r="I499" t="str">
            <v>WOM-HUAWEI</v>
          </cell>
          <cell r="J499" t="str">
            <v>CENTRO SUR/ NORTE</v>
          </cell>
          <cell r="K499" t="str">
            <v>Maria Camila Torres</v>
          </cell>
          <cell r="L499" t="str">
            <v>Terminado</v>
          </cell>
        </row>
        <row r="500">
          <cell r="C500" t="str">
            <v>JPUT El Cedro</v>
          </cell>
          <cell r="D500" t="str">
            <v>JPUT_00433</v>
          </cell>
          <cell r="E500">
            <v>46142</v>
          </cell>
          <cell r="F500">
            <v>0.97270000000000001</v>
          </cell>
          <cell r="G500">
            <v>-76.219110000000001</v>
          </cell>
          <cell r="H500" t="str">
            <v>Putumayo</v>
          </cell>
          <cell r="I500" t="str">
            <v>WOM-HUAWEI</v>
          </cell>
          <cell r="J500" t="str">
            <v>CENTRO SUR/ NORTE</v>
          </cell>
          <cell r="K500" t="str">
            <v>Maria Camila Torres</v>
          </cell>
          <cell r="L500" t="str">
            <v>Terminado</v>
          </cell>
        </row>
        <row r="501">
          <cell r="C501" t="str">
            <v>FLO La Astilla</v>
          </cell>
          <cell r="D501" t="str">
            <v>FLO_05678</v>
          </cell>
          <cell r="E501">
            <v>46142</v>
          </cell>
          <cell r="F501">
            <v>1.5934999999999999</v>
          </cell>
          <cell r="G501">
            <v>-75.556299999999993</v>
          </cell>
          <cell r="H501" t="str">
            <v>Caqueta</v>
          </cell>
          <cell r="I501" t="str">
            <v>WOM-HUAWEI</v>
          </cell>
          <cell r="J501" t="str">
            <v>CENTRO SUR/ NORTE</v>
          </cell>
          <cell r="K501" t="str">
            <v>Maria Camila Torres</v>
          </cell>
          <cell r="L501" t="str">
            <v>Terminado</v>
          </cell>
        </row>
        <row r="502">
          <cell r="C502" t="str">
            <v>SUC San Juan de Betulia</v>
          </cell>
          <cell r="D502" t="str">
            <v>SUC_06466</v>
          </cell>
          <cell r="E502">
            <v>46142</v>
          </cell>
          <cell r="F502">
            <v>9.2746600000000008</v>
          </cell>
          <cell r="G502">
            <v>-75.244500000000002</v>
          </cell>
          <cell r="H502" t="str">
            <v>Sucre</v>
          </cell>
          <cell r="I502" t="str">
            <v>WOM-HUAWEI</v>
          </cell>
          <cell r="J502" t="str">
            <v>COSTA</v>
          </cell>
          <cell r="K502" t="str">
            <v>Cesar Osorio</v>
          </cell>
          <cell r="L502" t="str">
            <v>Terminado</v>
          </cell>
        </row>
        <row r="503">
          <cell r="C503" t="str">
            <v>SIN Villa Angel</v>
          </cell>
          <cell r="D503" t="str">
            <v>SIN_03432</v>
          </cell>
          <cell r="E503">
            <v>46142</v>
          </cell>
          <cell r="F503">
            <v>9.3273899999999994</v>
          </cell>
          <cell r="G503">
            <v>-75.389600000000002</v>
          </cell>
          <cell r="H503" t="str">
            <v>Sucre</v>
          </cell>
          <cell r="I503" t="str">
            <v>WOM-HUAWEI</v>
          </cell>
          <cell r="J503" t="str">
            <v>COSTA</v>
          </cell>
          <cell r="K503" t="str">
            <v>Cesar Osorio</v>
          </cell>
          <cell r="L503" t="str">
            <v>Terminado</v>
          </cell>
        </row>
        <row r="504">
          <cell r="C504" t="str">
            <v xml:space="preserve"> JBOL Nueva Florida</v>
          </cell>
          <cell r="D504" t="str">
            <v>JBOL_00216</v>
          </cell>
          <cell r="E504">
            <v>46150</v>
          </cell>
          <cell r="F504">
            <v>9.9343470000000007</v>
          </cell>
          <cell r="G504">
            <v>-75.354913999999994</v>
          </cell>
          <cell r="H504" t="str">
            <v>Bolivar</v>
          </cell>
          <cell r="I504" t="str">
            <v>WOM-HUAWEI</v>
          </cell>
          <cell r="J504" t="str">
            <v>COSTA</v>
          </cell>
          <cell r="K504" t="str">
            <v>Cesar Osorio</v>
          </cell>
          <cell r="L504" t="str">
            <v>Terminado</v>
          </cell>
        </row>
        <row r="505">
          <cell r="C505" t="str">
            <v xml:space="preserve"> JSUC Totumal</v>
          </cell>
          <cell r="D505" t="str">
            <v>JSUC_00193</v>
          </cell>
          <cell r="E505">
            <v>46150</v>
          </cell>
          <cell r="F505">
            <v>8.7415249999999993</v>
          </cell>
          <cell r="G505">
            <v>-74.742694999999998</v>
          </cell>
          <cell r="H505" t="str">
            <v>Sucre</v>
          </cell>
          <cell r="I505" t="str">
            <v>WOM-HUAWEI</v>
          </cell>
          <cell r="J505" t="str">
            <v>COSTA</v>
          </cell>
          <cell r="K505" t="str">
            <v>Cesar Osorio</v>
          </cell>
          <cell r="L505" t="str">
            <v>Terminado</v>
          </cell>
        </row>
        <row r="506">
          <cell r="C506" t="str">
            <v>CBQL Soledad La Cruz de Mayo</v>
          </cell>
          <cell r="D506" t="str">
            <v>CBQL_01856</v>
          </cell>
          <cell r="E506">
            <v>46150</v>
          </cell>
          <cell r="F506">
            <v>10.923769999999999</v>
          </cell>
          <cell r="G506">
            <v>-74.763549999999995</v>
          </cell>
          <cell r="H506" t="str">
            <v>Atlantico</v>
          </cell>
          <cell r="I506" t="str">
            <v>WOM-HUAWEI</v>
          </cell>
          <cell r="J506" t="str">
            <v>COSTA</v>
          </cell>
          <cell r="K506" t="str">
            <v>Cesar Osorio</v>
          </cell>
          <cell r="L506" t="str">
            <v>Terminado</v>
          </cell>
        </row>
        <row r="507">
          <cell r="C507" t="str">
            <v>SMT Ciudadela 20 de Julio</v>
          </cell>
          <cell r="D507" t="str">
            <v>SMT_02125</v>
          </cell>
          <cell r="E507">
            <v>46150</v>
          </cell>
          <cell r="F507">
            <v>11.22345</v>
          </cell>
          <cell r="G507">
            <v>-74.200710000000001</v>
          </cell>
          <cell r="H507" t="str">
            <v>Magdalena</v>
          </cell>
          <cell r="I507" t="str">
            <v>WOM-HUAWEI</v>
          </cell>
          <cell r="J507" t="str">
            <v>COSTA</v>
          </cell>
          <cell r="K507" t="str">
            <v>Cesar Osorio</v>
          </cell>
          <cell r="L507" t="str">
            <v>Terminado</v>
          </cell>
        </row>
        <row r="508">
          <cell r="C508" t="str">
            <v xml:space="preserve">   JCUN Cardonal</v>
          </cell>
          <cell r="D508" t="str">
            <v>JCUN_00076</v>
          </cell>
          <cell r="E508">
            <v>46155</v>
          </cell>
          <cell r="F508">
            <v>5.4375999999999998</v>
          </cell>
          <cell r="G508">
            <v>-74.2791</v>
          </cell>
          <cell r="H508" t="str">
            <v>Cundinamarca</v>
          </cell>
          <cell r="I508" t="str">
            <v>WOM-HUAWEI</v>
          </cell>
          <cell r="J508" t="str">
            <v>CENTRO SUR/ NORTE</v>
          </cell>
          <cell r="K508" t="str">
            <v>Maria Camila Torres</v>
          </cell>
          <cell r="L508" t="str">
            <v>Terminado</v>
          </cell>
        </row>
        <row r="509">
          <cell r="C509" t="str">
            <v>VDP Alfonso Lopez</v>
          </cell>
          <cell r="D509" t="str">
            <v>VDP_02021</v>
          </cell>
          <cell r="E509">
            <v>46156</v>
          </cell>
          <cell r="F509">
            <v>10.475301999999999</v>
          </cell>
          <cell r="G509">
            <v>-73.253624000000002</v>
          </cell>
          <cell r="H509" t="str">
            <v>Cesar</v>
          </cell>
          <cell r="I509" t="str">
            <v>WOM-HUAWEI</v>
          </cell>
          <cell r="J509" t="str">
            <v>COSTA</v>
          </cell>
          <cell r="K509" t="str">
            <v>Cesar Osorio</v>
          </cell>
          <cell r="L509" t="str">
            <v>Terminado</v>
          </cell>
        </row>
        <row r="510">
          <cell r="C510" t="str">
            <v>VIL Canos Negros B</v>
          </cell>
          <cell r="D510" t="str">
            <v>VIL_04762</v>
          </cell>
          <cell r="E510">
            <v>46157</v>
          </cell>
          <cell r="F510">
            <v>4.133</v>
          </cell>
          <cell r="G510">
            <v>-73.563000000000002</v>
          </cell>
          <cell r="H510" t="str">
            <v>Meta</v>
          </cell>
          <cell r="I510" t="str">
            <v>WOM-HUAWEI</v>
          </cell>
          <cell r="J510" t="str">
            <v>CENTRO SUR/ NORTE</v>
          </cell>
          <cell r="K510" t="str">
            <v>Maria Camila Torres</v>
          </cell>
          <cell r="L510" t="str">
            <v>Terminado</v>
          </cell>
        </row>
        <row r="511">
          <cell r="C511" t="str">
            <v>BTA Gran Yomasa C</v>
          </cell>
          <cell r="D511" t="str">
            <v>BTA_07761</v>
          </cell>
          <cell r="E511">
            <v>46165</v>
          </cell>
          <cell r="F511">
            <v>4.5075570000000003</v>
          </cell>
          <cell r="G511">
            <v>-74.108073000000005</v>
          </cell>
          <cell r="H511" t="str">
            <v>Cundinamarca</v>
          </cell>
          <cell r="I511" t="str">
            <v>WOM-HUAWEI</v>
          </cell>
          <cell r="J511" t="str">
            <v>CENTRO SUR/ NORTE</v>
          </cell>
          <cell r="K511" t="str">
            <v>Maria Camila Torres</v>
          </cell>
          <cell r="L511" t="str">
            <v>Terminado</v>
          </cell>
        </row>
        <row r="512">
          <cell r="C512" t="str">
            <v>CLI Jorge Eliecer Gaitan B</v>
          </cell>
          <cell r="D512" t="str">
            <v>CLI_05299</v>
          </cell>
          <cell r="F512">
            <v>3.4765199999999998</v>
          </cell>
          <cell r="G512">
            <v>-76.483099999999993</v>
          </cell>
          <cell r="H512" t="str">
            <v>Valle del Cauca</v>
          </cell>
          <cell r="I512" t="str">
            <v>WOM-HUAWEI</v>
          </cell>
          <cell r="J512" t="str">
            <v>SUROCCIDENTE</v>
          </cell>
          <cell r="K512" t="str">
            <v>Leonardo Sierra</v>
          </cell>
          <cell r="L512" t="str">
            <v>En Ejecución</v>
          </cell>
        </row>
        <row r="513">
          <cell r="C513" t="str">
            <v>CLI MIO Plaza Caicedo</v>
          </cell>
          <cell r="D513" t="str">
            <v>CLI_05298</v>
          </cell>
          <cell r="E513">
            <v>46172</v>
          </cell>
          <cell r="F513">
            <v>3.4524900000000001</v>
          </cell>
          <cell r="G513">
            <v>-76.531300000000002</v>
          </cell>
          <cell r="H513" t="str">
            <v>Valle del Cauca</v>
          </cell>
          <cell r="I513" t="str">
            <v>WOM-HUAWEI</v>
          </cell>
          <cell r="J513" t="str">
            <v>SUROCCIDENTE</v>
          </cell>
          <cell r="K513" t="str">
            <v>Cesar Osorio</v>
          </cell>
          <cell r="L513" t="str">
            <v>Terminado</v>
          </cell>
        </row>
        <row r="514">
          <cell r="C514" t="str">
            <v>JANT San Nicolas</v>
          </cell>
          <cell r="D514" t="str">
            <v>JANT_00227</v>
          </cell>
          <cell r="E514">
            <v>46172</v>
          </cell>
          <cell r="F514">
            <v>8.7185000000000006</v>
          </cell>
          <cell r="G514">
            <v>-76.595399999999998</v>
          </cell>
          <cell r="H514" t="str">
            <v>Antioquia</v>
          </cell>
          <cell r="I514" t="str">
            <v>WOM-HUAWEI</v>
          </cell>
          <cell r="J514" t="str">
            <v>NOROCCIDENTE</v>
          </cell>
          <cell r="K514" t="str">
            <v>Alejandro Sanchez</v>
          </cell>
          <cell r="L514" t="str">
            <v>Terminado</v>
          </cell>
        </row>
        <row r="515">
          <cell r="C515" t="str">
            <v>BTA El Rincon</v>
          </cell>
          <cell r="D515" t="str">
            <v>BTA_02105</v>
          </cell>
          <cell r="E515">
            <v>46174</v>
          </cell>
          <cell r="F515">
            <v>4.7239444400000004</v>
          </cell>
          <cell r="G515">
            <v>-74.089833330000005</v>
          </cell>
          <cell r="H515" t="str">
            <v>Cundinamarca</v>
          </cell>
          <cell r="I515" t="str">
            <v>WOM-HUAWEI</v>
          </cell>
          <cell r="J515" t="str">
            <v>CENTRO SUR/ NORTE</v>
          </cell>
          <cell r="K515" t="str">
            <v>Maria Camila Torres</v>
          </cell>
          <cell r="L515" t="str">
            <v>Terminado</v>
          </cell>
        </row>
        <row r="516">
          <cell r="C516" t="str">
            <v>BTA Alameda C</v>
          </cell>
          <cell r="D516" t="str">
            <v>BTA_01104</v>
          </cell>
          <cell r="E516">
            <v>46172</v>
          </cell>
          <cell r="F516">
            <v>4.55002</v>
          </cell>
          <cell r="G516">
            <v>-74.137100000000004</v>
          </cell>
          <cell r="H516" t="str">
            <v>Cundinamarca</v>
          </cell>
          <cell r="I516" t="str">
            <v>WOM-HUAWEI</v>
          </cell>
          <cell r="J516" t="str">
            <v>CENTRO SUR/ NORTE</v>
          </cell>
          <cell r="K516" t="str">
            <v>Maria Camila Torres</v>
          </cell>
          <cell r="L516" t="str">
            <v>Terminado</v>
          </cell>
        </row>
        <row r="517">
          <cell r="C517" t="str">
            <v>JCUN Malambo</v>
          </cell>
          <cell r="D517" t="str">
            <v>JCUN_00301</v>
          </cell>
          <cell r="E517">
            <v>46172</v>
          </cell>
          <cell r="F517">
            <v>5.1024760000000002</v>
          </cell>
          <cell r="G517">
            <v>-74.704243000000005</v>
          </cell>
          <cell r="H517" t="str">
            <v>Cundinamarca</v>
          </cell>
          <cell r="I517" t="str">
            <v>WOM-HUAWEI</v>
          </cell>
          <cell r="J517" t="str">
            <v>CENTRO SUR/ NORTE</v>
          </cell>
          <cell r="K517" t="str">
            <v>Maria Camila Torres</v>
          </cell>
          <cell r="L517" t="str">
            <v>Terminado</v>
          </cell>
        </row>
        <row r="518">
          <cell r="C518" t="str">
            <v>BTA La Paz</v>
          </cell>
          <cell r="D518" t="str">
            <v>BTA_07155</v>
          </cell>
          <cell r="E518">
            <v>46175</v>
          </cell>
          <cell r="H518" t="str">
            <v>Cundinamarca</v>
          </cell>
          <cell r="I518" t="str">
            <v>WOM-HUAWEI</v>
          </cell>
          <cell r="J518" t="str">
            <v>CENTRO SUR/ NORTE</v>
          </cell>
          <cell r="K518" t="str">
            <v>Maria Camila Torres</v>
          </cell>
          <cell r="L518" t="str">
            <v>Terminado</v>
          </cell>
        </row>
        <row r="519">
          <cell r="C519" t="str">
            <v xml:space="preserve">CANEY </v>
          </cell>
          <cell r="D519" t="str">
            <v>CAL-350112</v>
          </cell>
          <cell r="E519">
            <v>46176</v>
          </cell>
          <cell r="F519" t="str">
            <v>N/A</v>
          </cell>
          <cell r="G519" t="str">
            <v>N/A</v>
          </cell>
          <cell r="H519" t="str">
            <v>Valle del Cauca</v>
          </cell>
          <cell r="I519" t="str">
            <v>UNIRED</v>
          </cell>
          <cell r="J519" t="str">
            <v>CENTRO SUR/ NORTE</v>
          </cell>
          <cell r="K519" t="str">
            <v>Wilson Alejandro Solarte</v>
          </cell>
          <cell r="L519" t="str">
            <v>Terminado</v>
          </cell>
        </row>
        <row r="520">
          <cell r="C520" t="str">
            <v>PICALEÑA IBAGUE 2</v>
          </cell>
          <cell r="D520" t="str">
            <v>IBA-440085</v>
          </cell>
          <cell r="E520">
            <v>46176</v>
          </cell>
          <cell r="F520" t="str">
            <v>N/A</v>
          </cell>
          <cell r="G520" t="str">
            <v>N/A</v>
          </cell>
          <cell r="H520" t="str">
            <v>Tolima</v>
          </cell>
          <cell r="I520" t="str">
            <v>UNIRED</v>
          </cell>
          <cell r="J520" t="str">
            <v>NOROCCIDENTE</v>
          </cell>
          <cell r="K520" t="str">
            <v>Leidy Cabrera</v>
          </cell>
          <cell r="L520" t="str">
            <v>Terminado</v>
          </cell>
        </row>
        <row r="521">
          <cell r="C521" t="str">
            <v>LA DOLORES II</v>
          </cell>
          <cell r="D521" t="str">
            <v>CAL-350465</v>
          </cell>
          <cell r="E521">
            <v>46176</v>
          </cell>
          <cell r="F521" t="str">
            <v>N/A</v>
          </cell>
          <cell r="G521" t="str">
            <v>N/A</v>
          </cell>
          <cell r="H521" t="str">
            <v>Valle del Cauca</v>
          </cell>
          <cell r="I521" t="str">
            <v>UNIRED</v>
          </cell>
          <cell r="J521" t="str">
            <v>CENTRO SUR/ NORTE</v>
          </cell>
          <cell r="K521" t="str">
            <v>Wilson Alejandro Solarte</v>
          </cell>
          <cell r="L521" t="str">
            <v>Terminado</v>
          </cell>
        </row>
        <row r="522">
          <cell r="C522" t="str">
            <v>TRAPICHITO NEIVA</v>
          </cell>
          <cell r="D522" t="str">
            <v>NEI-400018</v>
          </cell>
          <cell r="E522">
            <v>46148</v>
          </cell>
          <cell r="F522" t="str">
            <v>N/A</v>
          </cell>
          <cell r="G522" t="str">
            <v>N/A</v>
          </cell>
          <cell r="H522" t="str">
            <v>Huila</v>
          </cell>
          <cell r="I522" t="str">
            <v>UNIRED</v>
          </cell>
          <cell r="J522" t="str">
            <v>CENTRO SUR/ NORTE</v>
          </cell>
          <cell r="K522" t="str">
            <v>Rafael Torres</v>
          </cell>
          <cell r="L522" t="str">
            <v>Terminado</v>
          </cell>
        </row>
        <row r="523">
          <cell r="C523" t="str">
            <v xml:space="preserve">EL CHACHO </v>
          </cell>
          <cell r="D523" t="str">
            <v>TOL-430082</v>
          </cell>
          <cell r="E523">
            <v>46178</v>
          </cell>
          <cell r="F523" t="str">
            <v>N/A</v>
          </cell>
          <cell r="G523" t="str">
            <v>N/A</v>
          </cell>
          <cell r="H523" t="str">
            <v>Tolima</v>
          </cell>
          <cell r="I523" t="str">
            <v>UNIRED</v>
          </cell>
          <cell r="J523" t="str">
            <v>NOROCCIDENTE</v>
          </cell>
          <cell r="K523" t="str">
            <v>Leidy Cabrera</v>
          </cell>
          <cell r="L523" t="str">
            <v>Terminado</v>
          </cell>
        </row>
        <row r="524">
          <cell r="C524" t="str">
            <v xml:space="preserve">PER Pinares de San Martin B </v>
          </cell>
          <cell r="D524" t="str">
            <v xml:space="preserve"> PER_02485</v>
          </cell>
          <cell r="E524">
            <v>46154</v>
          </cell>
          <cell r="F524" t="str">
            <v>N/A</v>
          </cell>
          <cell r="G524" t="str">
            <v>N/A</v>
          </cell>
          <cell r="H524" t="str">
            <v>Caldas</v>
          </cell>
          <cell r="I524" t="str">
            <v>WOM-HUAWEI</v>
          </cell>
          <cell r="J524" t="str">
            <v>NOROCCIDENTE</v>
          </cell>
          <cell r="K524" t="str">
            <v>Alejandro Sanchez</v>
          </cell>
          <cell r="L524" t="str">
            <v>Terminado</v>
          </cell>
        </row>
        <row r="525">
          <cell r="C525" t="str">
            <v>JNOR Sector Occidental</v>
          </cell>
          <cell r="D525" t="str">
            <v>JNOR_00217</v>
          </cell>
          <cell r="E525">
            <v>46078</v>
          </cell>
          <cell r="F525">
            <v>8.0589899999999997</v>
          </cell>
          <cell r="G525">
            <v>-72.469120000000004</v>
          </cell>
          <cell r="H525" t="str">
            <v>Norte de Santander</v>
          </cell>
          <cell r="I525" t="str">
            <v>WOM-HUAWEI</v>
          </cell>
          <cell r="J525" t="str">
            <v>ORIENTE</v>
          </cell>
          <cell r="K525" t="str">
            <v>Diego Cepeda</v>
          </cell>
          <cell r="L525" t="str">
            <v>Terminado</v>
          </cell>
        </row>
        <row r="526">
          <cell r="C526" t="str">
            <v>BTA Ciudad Kennedy</v>
          </cell>
          <cell r="D526" t="str">
            <v>BTA_07826</v>
          </cell>
          <cell r="E526">
            <v>46178</v>
          </cell>
          <cell r="F526">
            <v>4.6230609999999999</v>
          </cell>
          <cell r="G526">
            <v>-741438</v>
          </cell>
          <cell r="H526" t="str">
            <v>Cundinamarca</v>
          </cell>
          <cell r="I526" t="str">
            <v>WOM-HUAWEI</v>
          </cell>
          <cell r="J526" t="str">
            <v>CENTRO SUR/ NORTE</v>
          </cell>
          <cell r="K526" t="str">
            <v>Maria Camila Torres</v>
          </cell>
          <cell r="L526" t="str">
            <v>Terminado</v>
          </cell>
        </row>
        <row r="527">
          <cell r="C527" t="str">
            <v>VIL Ciudadela Divino Nino</v>
          </cell>
          <cell r="D527" t="str">
            <v>VIL_02171</v>
          </cell>
          <cell r="E527">
            <v>46180</v>
          </cell>
          <cell r="F527">
            <v>4.1271899999999997</v>
          </cell>
          <cell r="G527">
            <v>-73.611130000000003</v>
          </cell>
          <cell r="H527" t="str">
            <v>Meta</v>
          </cell>
          <cell r="I527" t="str">
            <v>WOM-HUAWEI</v>
          </cell>
          <cell r="J527" t="str">
            <v>CENTRO SUR/ NORTE</v>
          </cell>
          <cell r="K527" t="str">
            <v>Maria Camila Torres</v>
          </cell>
          <cell r="L527" t="str">
            <v>Terminado</v>
          </cell>
        </row>
        <row r="528">
          <cell r="C528" t="str">
            <v>MED_TUNEL_MED_BOG</v>
          </cell>
          <cell r="D528" t="str">
            <v>MED1066</v>
          </cell>
          <cell r="E528">
            <v>46183</v>
          </cell>
          <cell r="F528" t="str">
            <v>N/A</v>
          </cell>
          <cell r="G528" t="str">
            <v>N/A</v>
          </cell>
          <cell r="H528" t="str">
            <v>Antioquia</v>
          </cell>
          <cell r="I528" t="str">
            <v>UNIRED</v>
          </cell>
          <cell r="J528" t="str">
            <v>NOROCCIDENTE</v>
          </cell>
          <cell r="K528" t="str">
            <v>Rafael Torres</v>
          </cell>
          <cell r="L528" t="str">
            <v>Terminado</v>
          </cell>
        </row>
        <row r="529">
          <cell r="C529" t="str">
            <v>OPORAPA HUILA 2</v>
          </cell>
          <cell r="D529" t="str">
            <v>HUI-390097</v>
          </cell>
          <cell r="E529">
            <v>46183</v>
          </cell>
          <cell r="F529" t="str">
            <v>N/A</v>
          </cell>
          <cell r="G529" t="str">
            <v>N/A</v>
          </cell>
          <cell r="H529" t="str">
            <v>Huila</v>
          </cell>
          <cell r="I529" t="str">
            <v>UNIRED</v>
          </cell>
          <cell r="J529" t="str">
            <v>NOROCCIDENTE</v>
          </cell>
          <cell r="K529" t="str">
            <v>Leidy Cabrera</v>
          </cell>
          <cell r="L529" t="str">
            <v>En Ejecución</v>
          </cell>
        </row>
        <row r="530">
          <cell r="C530" t="str">
            <v>CUN_EMBALSE_DEL_MUNA</v>
          </cell>
          <cell r="D530" t="str">
            <v>BOG-000201</v>
          </cell>
          <cell r="E530">
            <v>46183</v>
          </cell>
          <cell r="F530" t="str">
            <v>N/A</v>
          </cell>
          <cell r="G530" t="str">
            <v>N/A</v>
          </cell>
          <cell r="H530" t="str">
            <v>Cundinamarca</v>
          </cell>
          <cell r="I530" t="str">
            <v>UNIRED</v>
          </cell>
          <cell r="J530" t="str">
            <v>CENTRO SUR/ NORTE</v>
          </cell>
          <cell r="K530" t="str">
            <v>Leidy Cabrera</v>
          </cell>
          <cell r="L530" t="str">
            <v>En Ejecución</v>
          </cell>
        </row>
        <row r="531">
          <cell r="C531" t="str">
            <v>BTA Quiroga Sur</v>
          </cell>
          <cell r="D531" t="str">
            <v>BTA_01143</v>
          </cell>
          <cell r="E531">
            <v>46184</v>
          </cell>
          <cell r="F531">
            <v>4.5770530000000003</v>
          </cell>
          <cell r="G531">
            <v>-74.122298999999998</v>
          </cell>
          <cell r="H531" t="str">
            <v>Cundinamarca</v>
          </cell>
          <cell r="I531" t="str">
            <v>WOM-HUAWEI</v>
          </cell>
          <cell r="J531" t="str">
            <v>CENTRO SUR/ NORTE</v>
          </cell>
          <cell r="K531" t="str">
            <v>Maria Camila Torres</v>
          </cell>
          <cell r="L531" t="str">
            <v>En Ejecución</v>
          </cell>
        </row>
      </sheetData>
      <sheetData sheetId="3">
        <row r="2">
          <cell r="A2">
            <v>8828119377</v>
          </cell>
          <cell r="B2">
            <v>1</v>
          </cell>
          <cell r="C2" t="str">
            <v>Traslado de Sondas. Incluye Transporte entre Estaciones Base ZONA 1</v>
          </cell>
          <cell r="D2" t="str">
            <v>ACCESO</v>
          </cell>
          <cell r="E2" t="str">
            <v>U</v>
          </cell>
          <cell r="F2">
            <v>127500</v>
          </cell>
          <cell r="G2" t="str">
            <v>LPU FLM</v>
          </cell>
        </row>
        <row r="3">
          <cell r="A3">
            <v>8828119384</v>
          </cell>
          <cell r="B3">
            <v>2</v>
          </cell>
          <cell r="C3" t="str">
            <v>Traslado de Sondas. Incluye Transporte entre Estaciones Base ZONA 2</v>
          </cell>
          <cell r="D3" t="str">
            <v>ACCESO</v>
          </cell>
          <cell r="E3" t="str">
            <v>U</v>
          </cell>
          <cell r="F3">
            <v>170000</v>
          </cell>
          <cell r="G3" t="str">
            <v>LPU FLM</v>
          </cell>
        </row>
        <row r="4">
          <cell r="A4">
            <v>8828119392</v>
          </cell>
          <cell r="B4">
            <v>3</v>
          </cell>
          <cell r="C4" t="str">
            <v>Traslado de Sondas. Incluye Transporte entre Estaciones Base ZONA SATELITAL</v>
          </cell>
          <cell r="D4" t="str">
            <v>ACCESO</v>
          </cell>
          <cell r="E4" t="str">
            <v>U</v>
          </cell>
          <cell r="F4">
            <v>212500</v>
          </cell>
          <cell r="G4" t="str">
            <v>LPU FLM</v>
          </cell>
        </row>
        <row r="5">
          <cell r="A5">
            <v>8828119402</v>
          </cell>
          <cell r="B5">
            <v>4</v>
          </cell>
          <cell r="C5" t="str">
            <v>Apertura y Cierre de Reja de Seguridad para Revisión de Baterías</v>
          </cell>
          <cell r="D5" t="str">
            <v>ACCESO</v>
          </cell>
          <cell r="E5" t="str">
            <v>U</v>
          </cell>
          <cell r="F5">
            <v>96900</v>
          </cell>
          <cell r="G5" t="str">
            <v>LPU FLM</v>
          </cell>
        </row>
        <row r="6">
          <cell r="A6">
            <v>8828119411</v>
          </cell>
          <cell r="B6">
            <v>5</v>
          </cell>
          <cell r="C6" t="str">
            <v>Instalación de nuevo sector, incluye hasta 3 RRUs, antena, fibras, jumpers, cableado en general y demás accesorios.</v>
          </cell>
          <cell r="D6" t="str">
            <v>ACCESO</v>
          </cell>
          <cell r="E6" t="str">
            <v>Por sector</v>
          </cell>
          <cell r="F6">
            <v>406997</v>
          </cell>
          <cell r="G6" t="str">
            <v>LPU FLM</v>
          </cell>
        </row>
        <row r="7">
          <cell r="A7">
            <v>8828119421</v>
          </cell>
          <cell r="B7">
            <v>6</v>
          </cell>
          <cell r="C7" t="str">
            <v>Desmonte de antena por sector RF (Antena, cableado y accesorios) Exclusivamente a solicitud de PTC</v>
          </cell>
          <cell r="D7" t="str">
            <v>ACCESO</v>
          </cell>
          <cell r="E7" t="str">
            <v>U</v>
          </cell>
          <cell r="F7">
            <v>406997</v>
          </cell>
          <cell r="G7" t="str">
            <v>LPU FLM</v>
          </cell>
        </row>
        <row r="8">
          <cell r="A8">
            <v>8828119432</v>
          </cell>
          <cell r="B8">
            <v>7</v>
          </cell>
          <cell r="C8" t="str">
            <v>Desmonte de cable o fibra outdoor Exclusivamente a solicitud de PTC</v>
          </cell>
          <cell r="D8" t="str">
            <v>ACCESO</v>
          </cell>
          <cell r="E8" t="str">
            <v>ML</v>
          </cell>
          <cell r="F8">
            <v>40270</v>
          </cell>
          <cell r="G8" t="str">
            <v>LPU FLM</v>
          </cell>
        </row>
        <row r="9">
          <cell r="A9">
            <v>8828119441</v>
          </cell>
          <cell r="B9">
            <v>8</v>
          </cell>
          <cell r="C9" t="str">
            <v>Suministro e Instalacion de Fibras tipo intemperie LC/LC - 5m</v>
          </cell>
          <cell r="D9" t="str">
            <v>ACCESO</v>
          </cell>
          <cell r="E9" t="str">
            <v>U</v>
          </cell>
          <cell r="F9">
            <v>31824</v>
          </cell>
          <cell r="G9" t="str">
            <v>LPU FLM</v>
          </cell>
        </row>
        <row r="10">
          <cell r="A10">
            <v>8828119453</v>
          </cell>
          <cell r="B10">
            <v>9</v>
          </cell>
          <cell r="C10" t="str">
            <v>Suministro e Instalacion de Fibras tipo intemperie LC/LC - 10m</v>
          </cell>
          <cell r="D10" t="str">
            <v>ACCESO</v>
          </cell>
          <cell r="E10" t="str">
            <v>U</v>
          </cell>
          <cell r="F10">
            <v>53924</v>
          </cell>
          <cell r="G10" t="str">
            <v>LPU FLM</v>
          </cell>
        </row>
        <row r="11">
          <cell r="A11">
            <v>8828119461</v>
          </cell>
          <cell r="B11">
            <v>10</v>
          </cell>
          <cell r="C11" t="str">
            <v>Suministro e Instalacion de Fibras tipo intemperie LC/LC - 20m</v>
          </cell>
          <cell r="D11" t="str">
            <v>ACCESO</v>
          </cell>
          <cell r="E11" t="str">
            <v>U</v>
          </cell>
          <cell r="F11">
            <v>88400</v>
          </cell>
          <cell r="G11" t="str">
            <v>LPU FLM</v>
          </cell>
        </row>
        <row r="12">
          <cell r="A12">
            <v>8828119471</v>
          </cell>
          <cell r="B12">
            <v>11</v>
          </cell>
          <cell r="C12" t="str">
            <v>Suministro e Instalacion de Fibras tipo intemperie LC/LC - 30m</v>
          </cell>
          <cell r="D12" t="str">
            <v>ACCESO</v>
          </cell>
          <cell r="E12" t="str">
            <v>U</v>
          </cell>
          <cell r="F12">
            <v>120844</v>
          </cell>
          <cell r="G12" t="str">
            <v>LPU FLM</v>
          </cell>
        </row>
        <row r="13">
          <cell r="A13">
            <v>8828119483</v>
          </cell>
          <cell r="B13">
            <v>12</v>
          </cell>
          <cell r="C13" t="str">
            <v>Suministro e Instalacion de Fibras tipo intemperie LC/LC - 50m</v>
          </cell>
          <cell r="D13" t="str">
            <v>ACCESO</v>
          </cell>
          <cell r="E13" t="str">
            <v>U</v>
          </cell>
          <cell r="F13">
            <v>161351</v>
          </cell>
          <cell r="G13" t="str">
            <v>LPU FLM</v>
          </cell>
        </row>
        <row r="14">
          <cell r="A14">
            <v>8828119845</v>
          </cell>
          <cell r="B14">
            <v>13</v>
          </cell>
          <cell r="C14" t="str">
            <v>Suministro e Instalacion de Fibras tipo intemperie LC/LC - 70m</v>
          </cell>
          <cell r="D14" t="str">
            <v>ACCESO</v>
          </cell>
          <cell r="E14" t="str">
            <v>U</v>
          </cell>
          <cell r="F14">
            <v>187000</v>
          </cell>
          <cell r="G14" t="str">
            <v>LPU FLM</v>
          </cell>
        </row>
        <row r="15">
          <cell r="A15">
            <v>8828119853</v>
          </cell>
          <cell r="B15">
            <v>14</v>
          </cell>
          <cell r="C15" t="str">
            <v>Suministro e Instalacion de Fibras tipo intemperie LC/LC - 100m</v>
          </cell>
          <cell r="D15" t="str">
            <v>ACCESO</v>
          </cell>
          <cell r="E15" t="str">
            <v>U</v>
          </cell>
          <cell r="F15">
            <v>229500</v>
          </cell>
          <cell r="G15" t="str">
            <v>LPU FLM</v>
          </cell>
        </row>
        <row r="16">
          <cell r="A16">
            <v>8828119862</v>
          </cell>
          <cell r="B16">
            <v>15</v>
          </cell>
          <cell r="C16" t="str">
            <v>Reemplazo de gabinete de fuerza o rectificador. Incluye transporte de elementos a Sito y retorno a Bodega de elemento desmontado.</v>
          </cell>
          <cell r="D16" t="str">
            <v>ACCESO</v>
          </cell>
          <cell r="E16" t="str">
            <v>Gl</v>
          </cell>
          <cell r="F16">
            <v>247657</v>
          </cell>
          <cell r="G16" t="str">
            <v>LPU FLM</v>
          </cell>
        </row>
        <row r="17">
          <cell r="A17">
            <v>8828119870</v>
          </cell>
          <cell r="B17">
            <v>16</v>
          </cell>
          <cell r="C17" t="str">
            <v>Intercambio entre Estaciones Base de Equipos RAN tipo Cabinet a Blade. Incluye Transporte</v>
          </cell>
          <cell r="D17" t="str">
            <v>ACCESO</v>
          </cell>
          <cell r="E17" t="str">
            <v>Gl</v>
          </cell>
          <cell r="F17">
            <v>395250</v>
          </cell>
          <cell r="G17" t="str">
            <v>LPU FLM</v>
          </cell>
        </row>
        <row r="18">
          <cell r="A18">
            <v>8828119877</v>
          </cell>
          <cell r="B18">
            <v>17</v>
          </cell>
          <cell r="C18" t="str">
            <v>Intercambio entre Estaciones Base de Equipos RAN tipo Blade a Cabinet. Incluye Transporte</v>
          </cell>
          <cell r="D18" t="str">
            <v>ACCESO</v>
          </cell>
          <cell r="E18" t="str">
            <v>Gl</v>
          </cell>
          <cell r="F18">
            <v>474912</v>
          </cell>
          <cell r="G18" t="str">
            <v>LPU FLM</v>
          </cell>
        </row>
        <row r="19">
          <cell r="A19">
            <v>8828119887</v>
          </cell>
          <cell r="B19">
            <v>18</v>
          </cell>
          <cell r="C19" t="str">
            <v>Instalación o Cambio Hardware (tarjetas BBU, componentes sistema rectificador) - Aplica para ampliaciones.</v>
          </cell>
          <cell r="D19" t="str">
            <v>ACCESO</v>
          </cell>
          <cell r="E19" t="str">
            <v>U</v>
          </cell>
          <cell r="F19">
            <v>92925</v>
          </cell>
          <cell r="G19" t="str">
            <v>LPU FLM</v>
          </cell>
        </row>
        <row r="20">
          <cell r="A20">
            <v>8828119898</v>
          </cell>
          <cell r="B20">
            <v>19</v>
          </cell>
          <cell r="C20" t="str">
            <v>Cambio y ajuste de Azimuth y/o Tilt (Por antena) - No aplica para temas asociados a solución de fallas.</v>
          </cell>
          <cell r="D20" t="str">
            <v>ACCESO</v>
          </cell>
          <cell r="E20" t="str">
            <v>U</v>
          </cell>
          <cell r="F20">
            <v>119000</v>
          </cell>
          <cell r="G20" t="str">
            <v>LPU FLM</v>
          </cell>
        </row>
        <row r="21">
          <cell r="A21">
            <v>8828119908</v>
          </cell>
          <cell r="B21">
            <v>20</v>
          </cell>
          <cell r="C21" t="str">
            <v>Cambio de Antenas RF (por antena) - No aplica para temas asociados a solución de fallas.</v>
          </cell>
          <cell r="D21" t="str">
            <v>ACCESO</v>
          </cell>
          <cell r="E21" t="str">
            <v>U</v>
          </cell>
          <cell r="F21">
            <v>143109</v>
          </cell>
          <cell r="G21" t="str">
            <v>LPU FLM</v>
          </cell>
        </row>
        <row r="22">
          <cell r="A22">
            <v>8828119918</v>
          </cell>
          <cell r="B22">
            <v>21</v>
          </cell>
          <cell r="C22" t="str">
            <v>Cambio de RRU - No aplica para temas asociados a solución de fallas.</v>
          </cell>
          <cell r="D22" t="str">
            <v>ACCESO</v>
          </cell>
          <cell r="E22" t="str">
            <v>Por sector</v>
          </cell>
          <cell r="F22">
            <v>223020</v>
          </cell>
          <cell r="G22" t="str">
            <v>LPU FLM</v>
          </cell>
        </row>
        <row r="23">
          <cell r="A23">
            <v>8828119928</v>
          </cell>
          <cell r="B23">
            <v>22</v>
          </cell>
          <cell r="C23" t="str">
            <v>Suministro y cambio de cable de alimentación entre Nodo B y RRU.No aplica para temas asociados a solución de fallas.</v>
          </cell>
          <cell r="D23" t="str">
            <v>ACCESO</v>
          </cell>
          <cell r="E23" t="str">
            <v>ML</v>
          </cell>
          <cell r="F23">
            <v>20724</v>
          </cell>
          <cell r="G23" t="str">
            <v>LPU FLM</v>
          </cell>
        </row>
        <row r="24">
          <cell r="A24">
            <v>8828119938</v>
          </cell>
          <cell r="B24">
            <v>23</v>
          </cell>
          <cell r="C24" t="str">
            <v>Reubicación de 01 BBU desde gabinete existente hacia nuevo gabinete, incluye conexión de alimentación en ambos planos y etiquetado</v>
          </cell>
          <cell r="D24" t="str">
            <v>ACCESO</v>
          </cell>
          <cell r="E24" t="str">
            <v>Por sector</v>
          </cell>
          <cell r="F24">
            <v>217413</v>
          </cell>
          <cell r="G24" t="str">
            <v>LPU FLM</v>
          </cell>
        </row>
        <row r="25">
          <cell r="A25">
            <v>8828119948</v>
          </cell>
          <cell r="B25">
            <v>24</v>
          </cell>
          <cell r="C25" t="str">
            <v>Instalación, Comisionamiento y Pruebas de eNB/NB/gNE (de cualquier banda) hasta 2 Bandas</v>
          </cell>
          <cell r="D25" t="str">
            <v>ACCESO</v>
          </cell>
          <cell r="E25" t="str">
            <v>U</v>
          </cell>
          <cell r="F25">
            <v>330120</v>
          </cell>
          <cell r="G25" t="str">
            <v>LPU FLM</v>
          </cell>
        </row>
        <row r="26">
          <cell r="A26">
            <v>8828119957</v>
          </cell>
          <cell r="B26">
            <v>25</v>
          </cell>
          <cell r="C26" t="str">
            <v>Instalación, Comisionamiento y Pruebas de eNB/NB/gNE (de cualquier banda) hasta 3 Bandas</v>
          </cell>
          <cell r="D26" t="str">
            <v>ACCESO</v>
          </cell>
          <cell r="E26" t="str">
            <v>U</v>
          </cell>
          <cell r="F26">
            <v>665823</v>
          </cell>
          <cell r="G26" t="str">
            <v>LPU FLM</v>
          </cell>
        </row>
        <row r="27">
          <cell r="A27">
            <v>8828119965</v>
          </cell>
          <cell r="B27">
            <v>26</v>
          </cell>
          <cell r="C27" t="str">
            <v>Instalación, Comisionamiento y Pruebas de Estación (de cualquier banda) tipo Microcelda y/o Small Cell</v>
          </cell>
          <cell r="D27" t="str">
            <v>ACCESO</v>
          </cell>
          <cell r="E27" t="str">
            <v>U</v>
          </cell>
          <cell r="F27">
            <v>375342</v>
          </cell>
          <cell r="G27" t="str">
            <v>LPU FLM</v>
          </cell>
        </row>
        <row r="28">
          <cell r="A28">
            <v>8828119975</v>
          </cell>
          <cell r="B28">
            <v>27</v>
          </cell>
          <cell r="C28" t="str">
            <v>Instalación, Comisionamiento y Pruebas de eNB/NB (de cualquier banda) tipo Book</v>
          </cell>
          <cell r="D28" t="str">
            <v>ACCESO</v>
          </cell>
          <cell r="E28" t="str">
            <v>U</v>
          </cell>
          <cell r="F28">
            <v>353600</v>
          </cell>
          <cell r="G28" t="str">
            <v>LPU FLM</v>
          </cell>
        </row>
        <row r="29">
          <cell r="A29">
            <v>8828119984</v>
          </cell>
          <cell r="B29">
            <v>28</v>
          </cell>
          <cell r="C29" t="str">
            <v>Suministro e Instalacion de cable utp 24 awg 4 pares, categoria 6 , incluye certificación y conectrorizado.</v>
          </cell>
          <cell r="D29" t="str">
            <v>ACCESO</v>
          </cell>
          <cell r="E29" t="str">
            <v>ML</v>
          </cell>
          <cell r="F29">
            <v>1911</v>
          </cell>
          <cell r="G29" t="str">
            <v>LPU FLM</v>
          </cell>
        </row>
        <row r="30">
          <cell r="A30">
            <v>8828119993</v>
          </cell>
          <cell r="B30">
            <v>29</v>
          </cell>
          <cell r="C30" t="str">
            <v>Suministro e Instalacion conectores tipo n macho para superflex 1/2"</v>
          </cell>
          <cell r="D30" t="str">
            <v>ACCESO</v>
          </cell>
          <cell r="E30" t="str">
            <v>ML</v>
          </cell>
          <cell r="F30">
            <v>6993</v>
          </cell>
          <cell r="G30" t="str">
            <v>LPU FLM</v>
          </cell>
        </row>
        <row r="31">
          <cell r="A31">
            <v>8828120002</v>
          </cell>
          <cell r="B31">
            <v>30</v>
          </cell>
          <cell r="C31" t="str">
            <v>Suministro e Instalacion de conector din macho para superflex 1/2"</v>
          </cell>
          <cell r="D31" t="str">
            <v>ACCESO</v>
          </cell>
          <cell r="E31" t="str">
            <v>ML</v>
          </cell>
          <cell r="F31">
            <v>6993</v>
          </cell>
          <cell r="G31" t="str">
            <v>LPU FLM</v>
          </cell>
        </row>
        <row r="32">
          <cell r="A32">
            <v>8828120012</v>
          </cell>
          <cell r="B32">
            <v>31</v>
          </cell>
          <cell r="C32" t="str">
            <v>Suministro e Instalacion de conector din macho para cable foam 1/2".</v>
          </cell>
          <cell r="D32" t="str">
            <v>ACCESO</v>
          </cell>
          <cell r="E32" t="str">
            <v>ML</v>
          </cell>
          <cell r="F32">
            <v>9471</v>
          </cell>
          <cell r="G32" t="str">
            <v>LPU FLM</v>
          </cell>
        </row>
        <row r="33">
          <cell r="A33">
            <v>8828120021</v>
          </cell>
          <cell r="B33">
            <v>32</v>
          </cell>
          <cell r="C33" t="str">
            <v>Servicio de HSEQ/SISO certificado/dia - Exclusivamente a solicitud de PTC</v>
          </cell>
          <cell r="D33" t="str">
            <v>ACCESO</v>
          </cell>
          <cell r="E33" t="str">
            <v>DIA</v>
          </cell>
          <cell r="F33">
            <v>156060</v>
          </cell>
          <cell r="G33" t="str">
            <v>LPU FLM</v>
          </cell>
        </row>
        <row r="34">
          <cell r="A34">
            <v>8828120030</v>
          </cell>
          <cell r="B34">
            <v>33</v>
          </cell>
          <cell r="C34" t="str">
            <v>Desmonte de Sitio, Equipos en Piso (incluye: Sistema Rectificador, Equipos Banda Base, Equipos RF y Equipos TX).</v>
          </cell>
          <cell r="D34" t="str">
            <v>ACCESO</v>
          </cell>
          <cell r="E34" t="str">
            <v>Sitio</v>
          </cell>
          <cell r="F34">
            <v>707200</v>
          </cell>
          <cell r="G34" t="str">
            <v>LPU FLM</v>
          </cell>
        </row>
        <row r="35">
          <cell r="A35">
            <v>8828120039</v>
          </cell>
          <cell r="B35">
            <v>34</v>
          </cell>
          <cell r="C35" t="str">
            <v>Desmonte de Sitio, Equipos en Piso y en Torre (incluye: sistema rectificador, equipos banda base, equipos RF, equipos TX, antenas RF y MW).</v>
          </cell>
          <cell r="D35" t="str">
            <v>ACCESO</v>
          </cell>
          <cell r="E35" t="str">
            <v>Sitio</v>
          </cell>
          <cell r="F35">
            <v>1326000</v>
          </cell>
          <cell r="G35" t="str">
            <v>LPU FLM</v>
          </cell>
        </row>
        <row r="36">
          <cell r="A36">
            <v>8828120050</v>
          </cell>
          <cell r="B36">
            <v>35</v>
          </cell>
          <cell r="C36" t="str">
            <v>Mantenimiento Preventivo Estación Base (incluye todos los sistemas de una Estación Base), incluye reporte detallado de la actividad</v>
          </cell>
          <cell r="D36" t="str">
            <v>ACCESO</v>
          </cell>
          <cell r="E36" t="str">
            <v>U</v>
          </cell>
          <cell r="F36">
            <v>185640</v>
          </cell>
          <cell r="G36" t="str">
            <v>LPU FLM</v>
          </cell>
        </row>
        <row r="37">
          <cell r="A37">
            <v>8828120059</v>
          </cell>
          <cell r="B37">
            <v>36</v>
          </cell>
          <cell r="C37" t="str">
            <v>Mantenimiento Preventivo Estación Base (Solo Equipos en piso, no Incluye Trabajo en Alturas), incluye reporte detallado de la actividad</v>
          </cell>
          <cell r="D37" t="str">
            <v>ACCESO</v>
          </cell>
          <cell r="E37" t="str">
            <v>U</v>
          </cell>
          <cell r="F37">
            <v>139655</v>
          </cell>
          <cell r="G37" t="str">
            <v>LPU FLM</v>
          </cell>
        </row>
        <row r="38">
          <cell r="A38">
            <v>8828120068</v>
          </cell>
          <cell r="B38">
            <v>37</v>
          </cell>
          <cell r="C38" t="str">
            <v>Transporte con Acemila, Mula, Burro u otro animal con cualquier pendiente del terreno.</v>
          </cell>
          <cell r="D38" t="str">
            <v>ACCESO</v>
          </cell>
          <cell r="E38" t="str">
            <v>U</v>
          </cell>
          <cell r="F38">
            <v>73372</v>
          </cell>
          <cell r="G38" t="str">
            <v>LPU FLM</v>
          </cell>
        </row>
        <row r="39">
          <cell r="A39">
            <v>8828120076</v>
          </cell>
          <cell r="B39">
            <v>38</v>
          </cell>
          <cell r="C39" t="str">
            <v>Cargue de refrigerante para A.A R 22 (incluye suministro)</v>
          </cell>
          <cell r="D39" t="str">
            <v>AIRES ACONDICIONADOS</v>
          </cell>
          <cell r="E39" t="str">
            <v>Lb</v>
          </cell>
          <cell r="F39">
            <v>100411</v>
          </cell>
          <cell r="G39" t="str">
            <v>LPU FLM</v>
          </cell>
        </row>
        <row r="40">
          <cell r="A40">
            <v>8828120085</v>
          </cell>
          <cell r="B40">
            <v>39</v>
          </cell>
          <cell r="C40" t="str">
            <v>Cargue de refrigerante para A.A R 410 (incluye suministro)</v>
          </cell>
          <cell r="D40" t="str">
            <v>AIRES ACONDICIONADOS</v>
          </cell>
          <cell r="E40" t="str">
            <v>Lb</v>
          </cell>
          <cell r="F40">
            <v>108496</v>
          </cell>
          <cell r="G40" t="str">
            <v>LPU FLM</v>
          </cell>
        </row>
        <row r="41">
          <cell r="A41">
            <v>8828120093</v>
          </cell>
          <cell r="B41">
            <v>40</v>
          </cell>
          <cell r="C41" t="str">
            <v>Suministro y Cambio de Ventilador de Condensador.</v>
          </cell>
          <cell r="D41" t="str">
            <v>AIRES ACONDICIONADOS</v>
          </cell>
          <cell r="E41" t="str">
            <v>U</v>
          </cell>
          <cell r="F41">
            <v>103599</v>
          </cell>
          <cell r="G41" t="str">
            <v>LPU FLM</v>
          </cell>
        </row>
        <row r="42">
          <cell r="A42">
            <v>8828120102</v>
          </cell>
          <cell r="B42">
            <v>41</v>
          </cell>
          <cell r="C42" t="str">
            <v>Suministro e instalación tranformador de control 24 V. Incluye transporte e instalación.</v>
          </cell>
          <cell r="D42" t="str">
            <v>AIRES ACONDICIONADOS</v>
          </cell>
          <cell r="E42" t="str">
            <v>U</v>
          </cell>
          <cell r="F42">
            <v>63322</v>
          </cell>
          <cell r="G42" t="str">
            <v>LPU FLM</v>
          </cell>
        </row>
        <row r="43">
          <cell r="A43">
            <v>8828120111</v>
          </cell>
          <cell r="B43">
            <v>42</v>
          </cell>
          <cell r="C43" t="str">
            <v>Suministro y cambio de Capacitor 10 mF de arranque.</v>
          </cell>
          <cell r="D43" t="str">
            <v>AIRES ACONDICIONADOS</v>
          </cell>
          <cell r="E43" t="str">
            <v>U</v>
          </cell>
          <cell r="F43">
            <v>26520</v>
          </cell>
          <cell r="G43" t="str">
            <v>LPU FLM</v>
          </cell>
        </row>
        <row r="44">
          <cell r="A44">
            <v>8828120119</v>
          </cell>
          <cell r="B44">
            <v>43</v>
          </cell>
          <cell r="C44" t="str">
            <v>Suministro y cambio de Capacitor 10 mF de marcha.</v>
          </cell>
          <cell r="D44" t="str">
            <v>AIRES ACONDICIONADOS</v>
          </cell>
          <cell r="E44" t="str">
            <v>U</v>
          </cell>
          <cell r="F44">
            <v>35360</v>
          </cell>
          <cell r="G44" t="str">
            <v>LPU FLM</v>
          </cell>
        </row>
        <row r="45">
          <cell r="A45">
            <v>8828120128</v>
          </cell>
          <cell r="B45">
            <v>44</v>
          </cell>
          <cell r="C45" t="str">
            <v>Suministro y cambio de Capacitor 15 mF de arranque</v>
          </cell>
          <cell r="D45" t="str">
            <v>AIRES ACONDICIONADOS</v>
          </cell>
          <cell r="E45" t="str">
            <v>U</v>
          </cell>
          <cell r="F45">
            <v>39780</v>
          </cell>
          <cell r="G45" t="str">
            <v>LPU FLM</v>
          </cell>
        </row>
        <row r="46">
          <cell r="A46">
            <v>8828120134</v>
          </cell>
          <cell r="B46">
            <v>45</v>
          </cell>
          <cell r="C46" t="str">
            <v>Suministro y cambioo de Capacitor 15 mF de marcha.</v>
          </cell>
          <cell r="D46" t="str">
            <v>AIRES ACONDICIONADOS</v>
          </cell>
          <cell r="E46" t="str">
            <v>U</v>
          </cell>
          <cell r="F46">
            <v>39780</v>
          </cell>
          <cell r="G46" t="str">
            <v>LPU FLM</v>
          </cell>
        </row>
        <row r="47">
          <cell r="A47">
            <v>8828120142</v>
          </cell>
          <cell r="B47">
            <v>46</v>
          </cell>
          <cell r="C47" t="str">
            <v>Mantenimiento Aire Acondicionado</v>
          </cell>
          <cell r="D47" t="str">
            <v>AIRES ACONDICIONADOS</v>
          </cell>
          <cell r="E47" t="str">
            <v>U</v>
          </cell>
          <cell r="F47">
            <v>65941</v>
          </cell>
          <cell r="G47" t="str">
            <v>LPU FLM</v>
          </cell>
        </row>
        <row r="48">
          <cell r="A48">
            <v>8828120149</v>
          </cell>
          <cell r="B48">
            <v>47</v>
          </cell>
          <cell r="C48" t="str">
            <v>Suministro e Instalación de Contactor Tripolar 3P 220 V 25 A</v>
          </cell>
          <cell r="D48" t="str">
            <v>AIRES ACONDICIONADOS</v>
          </cell>
          <cell r="E48" t="str">
            <v>U</v>
          </cell>
          <cell r="F48">
            <v>135967</v>
          </cell>
          <cell r="G48" t="str">
            <v>LPU FLM</v>
          </cell>
        </row>
        <row r="49">
          <cell r="A49">
            <v>8828120158</v>
          </cell>
          <cell r="B49">
            <v>48</v>
          </cell>
          <cell r="C49" t="str">
            <v>Suministro e Instalación de Contactor Tripolar 3P 24 V 40 A</v>
          </cell>
          <cell r="D49" t="str">
            <v>AIRES ACONDICIONADOS</v>
          </cell>
          <cell r="E49" t="str">
            <v>U</v>
          </cell>
          <cell r="F49">
            <v>218405</v>
          </cell>
          <cell r="G49" t="str">
            <v>LPU FLM</v>
          </cell>
        </row>
        <row r="50">
          <cell r="A50">
            <v>8828120167</v>
          </cell>
          <cell r="B50">
            <v>49</v>
          </cell>
          <cell r="C50" t="str">
            <v>Suministro y Cambio de Valvula de expansión, Inluye prueba de vacio, y recarga de refrigerante.</v>
          </cell>
          <cell r="D50" t="str">
            <v>AIRES ACONDICIONADOS</v>
          </cell>
          <cell r="E50" t="str">
            <v>U</v>
          </cell>
          <cell r="F50">
            <v>129832</v>
          </cell>
          <cell r="G50" t="str">
            <v>LPU FLM</v>
          </cell>
        </row>
        <row r="51">
          <cell r="A51">
            <v>8828120176</v>
          </cell>
          <cell r="B51">
            <v>50</v>
          </cell>
          <cell r="C51" t="str">
            <v>Traslado de Monitor Electromangnético entre estaciones Base. Incluye desmonte e instalación</v>
          </cell>
          <cell r="D51" t="str">
            <v>ENERGÍA</v>
          </cell>
          <cell r="E51" t="str">
            <v>U</v>
          </cell>
          <cell r="F51">
            <v>255000</v>
          </cell>
          <cell r="G51" t="str">
            <v>LPU FLM</v>
          </cell>
        </row>
        <row r="52">
          <cell r="A52">
            <v>8828120183</v>
          </cell>
          <cell r="B52">
            <v>51</v>
          </cell>
          <cell r="C52" t="str">
            <v>Suministro e Instalación de Pegamento SIKA a la bandeja inferior de los gabinetes de Baterias y a las baterias del sitio, hasta 3 baterias</v>
          </cell>
          <cell r="D52" t="str">
            <v>ENERGÍA</v>
          </cell>
          <cell r="E52" t="str">
            <v>U</v>
          </cell>
          <cell r="F52">
            <v>39780</v>
          </cell>
          <cell r="G52" t="str">
            <v>LPU FLM</v>
          </cell>
        </row>
        <row r="53">
          <cell r="A53">
            <v>8828120192</v>
          </cell>
          <cell r="B53">
            <v>52</v>
          </cell>
          <cell r="C53" t="str">
            <v>Desmonte Banco de Baterias para Rectificadores - Aplica para ampliaciones.</v>
          </cell>
          <cell r="D53" t="str">
            <v>ENERGÍA</v>
          </cell>
          <cell r="E53" t="str">
            <v>U</v>
          </cell>
          <cell r="F53">
            <v>61880</v>
          </cell>
          <cell r="G53" t="str">
            <v>LPU FLM</v>
          </cell>
        </row>
        <row r="54">
          <cell r="A54">
            <v>8828119492</v>
          </cell>
          <cell r="B54">
            <v>53</v>
          </cell>
          <cell r="C54" t="str">
            <v>Instalación Banco de Baterias para Rectificadores - Aplica para ampliaciones.</v>
          </cell>
          <cell r="D54" t="str">
            <v>ENERGÍA</v>
          </cell>
          <cell r="E54" t="str">
            <v>U</v>
          </cell>
          <cell r="F54">
            <v>102340</v>
          </cell>
          <cell r="G54" t="str">
            <v>LPU FLM</v>
          </cell>
        </row>
        <row r="55">
          <cell r="A55">
            <v>8828119501</v>
          </cell>
          <cell r="B55">
            <v>54</v>
          </cell>
          <cell r="C55" t="str">
            <v>Marcado corporativo de Bateria en bajo relieve. Incluye materiales.</v>
          </cell>
          <cell r="D55" t="str">
            <v>ENERGÍA</v>
          </cell>
          <cell r="E55" t="str">
            <v>U</v>
          </cell>
          <cell r="F55">
            <v>61880</v>
          </cell>
          <cell r="G55" t="str">
            <v>LPU FLM</v>
          </cell>
        </row>
        <row r="56">
          <cell r="A56">
            <v>8828119512</v>
          </cell>
          <cell r="B56">
            <v>55</v>
          </cell>
          <cell r="C56" t="str">
            <v>Transporte Banco de Baterias</v>
          </cell>
          <cell r="D56" t="str">
            <v>ENERGÍA</v>
          </cell>
          <cell r="E56" t="str">
            <v>U</v>
          </cell>
          <cell r="F56">
            <v>82212</v>
          </cell>
          <cell r="G56" t="str">
            <v>LPU FLM</v>
          </cell>
        </row>
        <row r="57">
          <cell r="A57">
            <v>8828119524</v>
          </cell>
          <cell r="B57">
            <v>56</v>
          </cell>
          <cell r="C57" t="str">
            <v>Suministro y cambio Porta Fusible Hilo de 2 a 5 A</v>
          </cell>
          <cell r="D57" t="str">
            <v>ENERGÍA</v>
          </cell>
          <cell r="E57" t="str">
            <v>U</v>
          </cell>
          <cell r="F57">
            <v>14478</v>
          </cell>
          <cell r="G57" t="str">
            <v>LPU FLM</v>
          </cell>
        </row>
        <row r="58">
          <cell r="A58">
            <v>8828120200</v>
          </cell>
          <cell r="B58">
            <v>57</v>
          </cell>
          <cell r="C58" t="str">
            <v>Apertura y Cierre de Cañuelas incluye Fusible</v>
          </cell>
          <cell r="D58" t="str">
            <v>ENERGÍA</v>
          </cell>
          <cell r="E58" t="str">
            <v>U</v>
          </cell>
          <cell r="F58">
            <v>51840</v>
          </cell>
          <cell r="G58" t="str">
            <v>LPU FLM</v>
          </cell>
        </row>
        <row r="59">
          <cell r="A59">
            <v>8828119534</v>
          </cell>
          <cell r="B59">
            <v>58</v>
          </cell>
          <cell r="C59" t="str">
            <v>Reposición Barras de Tierra (BDT) Torre (300 * 60 * 8 mm). Incluye Instalación</v>
          </cell>
          <cell r="D59" t="str">
            <v>ENERGÍA</v>
          </cell>
          <cell r="E59" t="str">
            <v>U</v>
          </cell>
          <cell r="F59">
            <v>71971</v>
          </cell>
          <cell r="G59" t="str">
            <v>LPU FLM</v>
          </cell>
        </row>
        <row r="60">
          <cell r="A60">
            <v>8828120209</v>
          </cell>
          <cell r="B60">
            <v>59</v>
          </cell>
          <cell r="C60" t="str">
            <v>Reposición Barras de Tierra (BDT) Torre (650 * 150 * 10 mm). Incluye Instalación</v>
          </cell>
          <cell r="D60" t="str">
            <v>ENERGÍA</v>
          </cell>
          <cell r="E60" t="str">
            <v>U</v>
          </cell>
          <cell r="F60">
            <v>103784</v>
          </cell>
          <cell r="G60" t="str">
            <v>LPU FLM</v>
          </cell>
        </row>
        <row r="61">
          <cell r="A61">
            <v>8828120217</v>
          </cell>
          <cell r="B61">
            <v>60</v>
          </cell>
          <cell r="C61" t="str">
            <v>Prueba en Vacio de Transformador</v>
          </cell>
          <cell r="D61" t="str">
            <v>ENERGÍA</v>
          </cell>
          <cell r="E61" t="str">
            <v>U</v>
          </cell>
          <cell r="F61">
            <v>269856</v>
          </cell>
          <cell r="G61" t="str">
            <v>LPU FLM</v>
          </cell>
        </row>
        <row r="62">
          <cell r="A62">
            <v>8828119546</v>
          </cell>
          <cell r="B62">
            <v>61</v>
          </cell>
          <cell r="C62" t="str">
            <v>Suministro y cambio Breaker 2-6 A monofásico (C/U)</v>
          </cell>
          <cell r="D62" t="str">
            <v>ENERGÍA</v>
          </cell>
          <cell r="E62" t="str">
            <v>U</v>
          </cell>
          <cell r="F62">
            <v>23868</v>
          </cell>
          <cell r="G62" t="str">
            <v>LPU FLM</v>
          </cell>
        </row>
        <row r="63">
          <cell r="A63">
            <v>8828119556</v>
          </cell>
          <cell r="B63">
            <v>62</v>
          </cell>
          <cell r="C63" t="str">
            <v>Suministro y cambio Breaker 10-20 A monofásico (C/U)</v>
          </cell>
          <cell r="D63" t="str">
            <v>ENERGÍA</v>
          </cell>
          <cell r="E63" t="str">
            <v>U</v>
          </cell>
          <cell r="F63">
            <v>23868</v>
          </cell>
          <cell r="G63" t="str">
            <v>LPU FLM</v>
          </cell>
        </row>
        <row r="64">
          <cell r="A64">
            <v>8828119565</v>
          </cell>
          <cell r="B64">
            <v>63</v>
          </cell>
          <cell r="C64" t="str">
            <v>Suministro y cambio Breaker 25-40 A monofásico (C/U)</v>
          </cell>
          <cell r="D64" t="str">
            <v>ENERGÍA</v>
          </cell>
          <cell r="E64" t="str">
            <v>U</v>
          </cell>
          <cell r="F64">
            <v>25636</v>
          </cell>
          <cell r="G64" t="str">
            <v>LPU FLM</v>
          </cell>
        </row>
        <row r="65">
          <cell r="A65">
            <v>8828119575</v>
          </cell>
          <cell r="B65">
            <v>64</v>
          </cell>
          <cell r="C65" t="str">
            <v>Suministro y cambio Breaker 50-63 A monofásico (C/U)</v>
          </cell>
          <cell r="D65" t="str">
            <v>ENERGÍA</v>
          </cell>
          <cell r="E65" t="str">
            <v>U</v>
          </cell>
          <cell r="F65">
            <v>25636</v>
          </cell>
          <cell r="G65" t="str">
            <v>LPU FLM</v>
          </cell>
        </row>
        <row r="66">
          <cell r="A66">
            <v>8828119585</v>
          </cell>
          <cell r="B66">
            <v>65</v>
          </cell>
          <cell r="C66" t="str">
            <v>Suministro y cambio Breaker 64-100 A monofásico (C/U)</v>
          </cell>
          <cell r="D66" t="str">
            <v>ENERGÍA</v>
          </cell>
          <cell r="E66" t="str">
            <v>U</v>
          </cell>
          <cell r="F66">
            <v>114920</v>
          </cell>
          <cell r="G66" t="str">
            <v>LPU FLM</v>
          </cell>
        </row>
        <row r="67">
          <cell r="A67">
            <v>8828119595</v>
          </cell>
          <cell r="B67">
            <v>66</v>
          </cell>
          <cell r="C67" t="str">
            <v>Suministro y cambio Breaker 2-6 A Bipolar (C/U)</v>
          </cell>
          <cell r="D67" t="str">
            <v>ENERGÍA</v>
          </cell>
          <cell r="E67" t="str">
            <v>U</v>
          </cell>
          <cell r="F67">
            <v>53040</v>
          </cell>
          <cell r="G67" t="str">
            <v>LPU FLM</v>
          </cell>
        </row>
        <row r="68">
          <cell r="A68">
            <v>8828119604</v>
          </cell>
          <cell r="B68">
            <v>67</v>
          </cell>
          <cell r="C68" t="str">
            <v>Suministro y cambio Breaker 10-20 A Bipolar (C/U)</v>
          </cell>
          <cell r="D68" t="str">
            <v>ENERGÍA</v>
          </cell>
          <cell r="E68" t="str">
            <v>U</v>
          </cell>
          <cell r="F68">
            <v>96900</v>
          </cell>
          <cell r="G68" t="str">
            <v>LPU FLM</v>
          </cell>
        </row>
        <row r="69">
          <cell r="A69">
            <v>8828119615</v>
          </cell>
          <cell r="B69">
            <v>68</v>
          </cell>
          <cell r="C69" t="str">
            <v>Suministro y cambio Breaker 25-40 A Bipolar (C/U)</v>
          </cell>
          <cell r="D69" t="str">
            <v>ENERGÍA</v>
          </cell>
          <cell r="E69" t="str">
            <v>U</v>
          </cell>
          <cell r="F69">
            <v>121550</v>
          </cell>
          <cell r="G69" t="str">
            <v>LPU FLM</v>
          </cell>
        </row>
        <row r="70">
          <cell r="A70">
            <v>8828119625</v>
          </cell>
          <cell r="B70">
            <v>69</v>
          </cell>
          <cell r="C70" t="str">
            <v>Suministro y cambio Breaker 50-63 A Bipolar (C/U)</v>
          </cell>
          <cell r="D70" t="str">
            <v>ENERGÍA</v>
          </cell>
          <cell r="E70" t="str">
            <v>U</v>
          </cell>
          <cell r="F70">
            <v>170000</v>
          </cell>
          <cell r="G70" t="str">
            <v>LPU FLM</v>
          </cell>
        </row>
        <row r="71">
          <cell r="A71">
            <v>8828119635</v>
          </cell>
          <cell r="B71">
            <v>70</v>
          </cell>
          <cell r="C71" t="str">
            <v>Suministro y cambio Breaker 64-100 A Bipolar (C/U)</v>
          </cell>
          <cell r="D71" t="str">
            <v>ENERGÍA</v>
          </cell>
          <cell r="E71" t="str">
            <v>U</v>
          </cell>
          <cell r="F71">
            <v>229500</v>
          </cell>
          <cell r="G71" t="str">
            <v>LPU FLM</v>
          </cell>
        </row>
        <row r="72">
          <cell r="A72">
            <v>8828119644</v>
          </cell>
          <cell r="B72">
            <v>71</v>
          </cell>
          <cell r="C72" t="str">
            <v>Suministro e Instalación de cable electrico para tierra # 6 awg thw, 7 hilos</v>
          </cell>
          <cell r="D72" t="str">
            <v>ENERGÍA</v>
          </cell>
          <cell r="E72" t="str">
            <v>ML</v>
          </cell>
          <cell r="F72">
            <v>3799</v>
          </cell>
          <cell r="G72" t="str">
            <v>LPU FLM</v>
          </cell>
        </row>
        <row r="73">
          <cell r="A73">
            <v>8828119653</v>
          </cell>
          <cell r="B73">
            <v>72</v>
          </cell>
          <cell r="C73" t="str">
            <v>Suministro e Instalación de cable electrico 2x6 + 6</v>
          </cell>
          <cell r="D73" t="str">
            <v>ENERGÍA</v>
          </cell>
          <cell r="E73" t="str">
            <v>ML</v>
          </cell>
          <cell r="F73">
            <v>5304</v>
          </cell>
          <cell r="G73" t="str">
            <v>LPU FLM</v>
          </cell>
        </row>
        <row r="74">
          <cell r="A74">
            <v>8828119662</v>
          </cell>
          <cell r="B74">
            <v>73</v>
          </cell>
          <cell r="C74" t="str">
            <v>Suministro e Instalación de cable electrico 2x10</v>
          </cell>
          <cell r="D74" t="str">
            <v>ENERGÍA</v>
          </cell>
          <cell r="E74" t="str">
            <v>ML</v>
          </cell>
          <cell r="F74">
            <v>4747</v>
          </cell>
          <cell r="G74" t="str">
            <v>LPU FLM</v>
          </cell>
        </row>
        <row r="75">
          <cell r="A75">
            <v>8828119675</v>
          </cell>
          <cell r="B75">
            <v>74</v>
          </cell>
          <cell r="C75" t="str">
            <v>Suministro e Instalación Relevo y Base 220V</v>
          </cell>
          <cell r="D75" t="str">
            <v>ENERGÍA</v>
          </cell>
          <cell r="E75" t="str">
            <v>U</v>
          </cell>
          <cell r="F75">
            <v>58374</v>
          </cell>
          <cell r="G75" t="str">
            <v>LPU FLM</v>
          </cell>
        </row>
        <row r="76">
          <cell r="A76">
            <v>8828119685</v>
          </cell>
          <cell r="B76">
            <v>75</v>
          </cell>
          <cell r="C76" t="str">
            <v>Suministro e Instalación de Cable HDMI</v>
          </cell>
          <cell r="D76" t="str">
            <v>ENERGÍA</v>
          </cell>
          <cell r="E76" t="str">
            <v>U</v>
          </cell>
          <cell r="F76">
            <v>42500</v>
          </cell>
          <cell r="G76" t="str">
            <v>LPU FLM</v>
          </cell>
        </row>
        <row r="77">
          <cell r="A77">
            <v>8828119695</v>
          </cell>
          <cell r="B77">
            <v>76</v>
          </cell>
          <cell r="C77" t="str">
            <v>Suministro e Instalación de cable electrico 2/0 multifilar tipo soldador</v>
          </cell>
          <cell r="D77" t="str">
            <v>ENERGÍA</v>
          </cell>
          <cell r="E77" t="str">
            <v>ML</v>
          </cell>
          <cell r="F77">
            <v>15912</v>
          </cell>
          <cell r="G77" t="str">
            <v>LPU FLM</v>
          </cell>
        </row>
        <row r="78">
          <cell r="A78">
            <v>8828118835</v>
          </cell>
          <cell r="B78">
            <v>77</v>
          </cell>
          <cell r="C78" t="str">
            <v>Suministro e Instalacion de conector recto para coraza de 1"</v>
          </cell>
          <cell r="D78" t="str">
            <v>ENERGÍA</v>
          </cell>
          <cell r="E78" t="str">
            <v>U</v>
          </cell>
          <cell r="F78">
            <v>5154</v>
          </cell>
          <cell r="G78" t="str">
            <v>LPU FLM</v>
          </cell>
        </row>
        <row r="79">
          <cell r="A79">
            <v>8828118839</v>
          </cell>
          <cell r="B79">
            <v>78</v>
          </cell>
          <cell r="C79" t="str">
            <v>Suministro e Instalacion de coraza de 1"</v>
          </cell>
          <cell r="D79" t="str">
            <v>ENERGÍA</v>
          </cell>
          <cell r="E79" t="str">
            <v>ML</v>
          </cell>
          <cell r="F79">
            <v>6660</v>
          </cell>
          <cell r="G79" t="str">
            <v>LPU FLM</v>
          </cell>
        </row>
        <row r="80">
          <cell r="A80">
            <v>8828118846</v>
          </cell>
          <cell r="B80">
            <v>79</v>
          </cell>
          <cell r="C80" t="str">
            <v>Suministro e Instalacion de conector recto para coraza de 2"</v>
          </cell>
          <cell r="D80" t="str">
            <v>ENERGÍA</v>
          </cell>
          <cell r="E80" t="str">
            <v>U</v>
          </cell>
          <cell r="F80">
            <v>11227</v>
          </cell>
          <cell r="G80" t="str">
            <v>LPU FLM</v>
          </cell>
        </row>
        <row r="81">
          <cell r="A81">
            <v>8828118855</v>
          </cell>
          <cell r="B81">
            <v>80</v>
          </cell>
          <cell r="C81" t="str">
            <v>Suministro e Instalacion de coraza de 2"</v>
          </cell>
          <cell r="D81" t="str">
            <v>ENERGÍA</v>
          </cell>
          <cell r="E81" t="str">
            <v>ML</v>
          </cell>
          <cell r="F81">
            <v>13006</v>
          </cell>
          <cell r="G81" t="str">
            <v>LPU FLM</v>
          </cell>
        </row>
        <row r="82">
          <cell r="A82">
            <v>8828118868</v>
          </cell>
          <cell r="B82">
            <v>81</v>
          </cell>
          <cell r="C82" t="str">
            <v>Suministro e Instalacion de terminal para cable awg # 2 en cobre estañado un ojo</v>
          </cell>
          <cell r="D82" t="str">
            <v>ENERGÍA</v>
          </cell>
          <cell r="E82" t="str">
            <v>U</v>
          </cell>
          <cell r="F82">
            <v>2347</v>
          </cell>
          <cell r="G82" t="str">
            <v>LPU FLM</v>
          </cell>
        </row>
        <row r="83">
          <cell r="A83">
            <v>8828118877</v>
          </cell>
          <cell r="B83">
            <v>82</v>
          </cell>
          <cell r="C83" t="str">
            <v>Suministro e Instalacion de terminal para cable awg # 6 en cobre estañado un ojo</v>
          </cell>
          <cell r="D83" t="str">
            <v>ENERGÍA</v>
          </cell>
          <cell r="E83" t="str">
            <v>U</v>
          </cell>
          <cell r="F83">
            <v>1081</v>
          </cell>
          <cell r="G83" t="str">
            <v>LPU FLM</v>
          </cell>
        </row>
        <row r="84">
          <cell r="A84">
            <v>8828118886</v>
          </cell>
          <cell r="B84">
            <v>83</v>
          </cell>
          <cell r="C84" t="str">
            <v>Suministro e Instalacion de terminal para cable #10-12 awg</v>
          </cell>
          <cell r="D84" t="str">
            <v>ENERGÍA</v>
          </cell>
          <cell r="E84" t="str">
            <v>U</v>
          </cell>
          <cell r="F84">
            <v>319</v>
          </cell>
          <cell r="G84" t="str">
            <v>LPU FLM</v>
          </cell>
        </row>
        <row r="85">
          <cell r="A85">
            <v>8828118895</v>
          </cell>
          <cell r="B85">
            <v>84</v>
          </cell>
          <cell r="C85" t="str">
            <v>Suministro e Instalacion de riel omega longitud : 2,40m.</v>
          </cell>
          <cell r="D85" t="str">
            <v>ENERGÍA</v>
          </cell>
          <cell r="E85" t="str">
            <v>U</v>
          </cell>
          <cell r="F85">
            <v>11916</v>
          </cell>
          <cell r="G85" t="str">
            <v>LPU FLM</v>
          </cell>
        </row>
        <row r="86">
          <cell r="A86">
            <v>8828118904</v>
          </cell>
          <cell r="B86">
            <v>85</v>
          </cell>
          <cell r="C86" t="str">
            <v>Suministro e Instalacion de conector curvo a 90º para coraza americana de 1"</v>
          </cell>
          <cell r="D86" t="str">
            <v>ENERGÍA</v>
          </cell>
          <cell r="E86" t="str">
            <v>U</v>
          </cell>
          <cell r="F86">
            <v>8951</v>
          </cell>
          <cell r="G86" t="str">
            <v>LPU FLM</v>
          </cell>
        </row>
        <row r="87">
          <cell r="A87">
            <v>8828118916</v>
          </cell>
          <cell r="B87">
            <v>86</v>
          </cell>
          <cell r="C87" t="str">
            <v>Suministro e Instalacion de conector curvo a 90º para coraza americana de 2"</v>
          </cell>
          <cell r="D87" t="str">
            <v>ENERGÍA</v>
          </cell>
          <cell r="E87" t="str">
            <v>U</v>
          </cell>
          <cell r="F87">
            <v>15028</v>
          </cell>
          <cell r="G87" t="str">
            <v>LPU FLM</v>
          </cell>
        </row>
        <row r="88">
          <cell r="A88">
            <v>8828118925</v>
          </cell>
          <cell r="B88">
            <v>87</v>
          </cell>
          <cell r="C88" t="str">
            <v>Suministro e Instalacion de cable multifilar #4 awg tipo soldador.</v>
          </cell>
          <cell r="D88" t="str">
            <v>ENERGÍA</v>
          </cell>
          <cell r="E88" t="str">
            <v>ML</v>
          </cell>
          <cell r="F88">
            <v>60815.8</v>
          </cell>
          <cell r="G88" t="str">
            <v>LPU FLM</v>
          </cell>
        </row>
        <row r="89">
          <cell r="A89">
            <v>8828118937</v>
          </cell>
          <cell r="B89">
            <v>88</v>
          </cell>
          <cell r="C89" t="str">
            <v>Suministro e Instalacion de cable multifilar #6 awg tipo soldador, encauchetado colores azul, negro y verde</v>
          </cell>
          <cell r="D89" t="str">
            <v>ENERGÍA</v>
          </cell>
          <cell r="E89" t="str">
            <v>ML</v>
          </cell>
          <cell r="F89">
            <v>18071</v>
          </cell>
          <cell r="G89" t="str">
            <v>LPU FLM</v>
          </cell>
        </row>
        <row r="90">
          <cell r="A90">
            <v>8828118950</v>
          </cell>
          <cell r="B90">
            <v>89</v>
          </cell>
          <cell r="C90" t="str">
            <v>Suministro e Instalacion de cable electrico encauchetado 4x8 multifilar</v>
          </cell>
          <cell r="D90" t="str">
            <v>ENERGÍA</v>
          </cell>
          <cell r="E90" t="str">
            <v>ML</v>
          </cell>
          <cell r="F90">
            <v>24579</v>
          </cell>
          <cell r="G90" t="str">
            <v>LPU FLM</v>
          </cell>
        </row>
        <row r="91">
          <cell r="A91">
            <v>8828118957</v>
          </cell>
          <cell r="B91">
            <v>90</v>
          </cell>
          <cell r="C91" t="str">
            <v>Suministro e Instalacion de cable electrico encauchetado 2x12 multifilar</v>
          </cell>
          <cell r="D91" t="str">
            <v>ENERGÍA</v>
          </cell>
          <cell r="E91" t="str">
            <v>ML</v>
          </cell>
          <cell r="F91">
            <v>9164</v>
          </cell>
          <cell r="G91" t="str">
            <v>LPU FLM</v>
          </cell>
        </row>
        <row r="92">
          <cell r="A92">
            <v>8828118966</v>
          </cell>
          <cell r="B92">
            <v>91</v>
          </cell>
          <cell r="C92" t="str">
            <v>Suministro e Instalacion e Instalacion de cable encauchetado 3x12 multifilar</v>
          </cell>
          <cell r="D92" t="str">
            <v>ENERGÍA</v>
          </cell>
          <cell r="E92" t="str">
            <v>ML</v>
          </cell>
          <cell r="F92">
            <v>13826</v>
          </cell>
          <cell r="G92" t="str">
            <v>LPU FLM</v>
          </cell>
        </row>
        <row r="93">
          <cell r="A93">
            <v>8828118975</v>
          </cell>
          <cell r="B93">
            <v>92</v>
          </cell>
          <cell r="C93" t="str">
            <v>Suministro e Instalacion de cable super flex de 1/2".</v>
          </cell>
          <cell r="D93" t="str">
            <v>ENERGÍA</v>
          </cell>
          <cell r="E93" t="str">
            <v>ML</v>
          </cell>
          <cell r="F93">
            <v>14807</v>
          </cell>
          <cell r="G93" t="str">
            <v>LPU FLM</v>
          </cell>
        </row>
        <row r="94">
          <cell r="A94">
            <v>8828118985</v>
          </cell>
          <cell r="B94">
            <v>93</v>
          </cell>
          <cell r="C94" t="str">
            <v>Suministro e Instalacion de coraza americana de 1/2". manguera metalica de 1/2"</v>
          </cell>
          <cell r="D94" t="str">
            <v>ENERGÍA</v>
          </cell>
          <cell r="E94" t="str">
            <v>ML</v>
          </cell>
          <cell r="F94">
            <v>7797</v>
          </cell>
          <cell r="G94" t="str">
            <v>LPU FLM</v>
          </cell>
        </row>
        <row r="95">
          <cell r="A95">
            <v>8828118994</v>
          </cell>
          <cell r="B95">
            <v>94</v>
          </cell>
          <cell r="C95" t="str">
            <v>Suministro e instalación de coraza americana de 3/4". manguera metalica de 3/4"</v>
          </cell>
          <cell r="D95" t="str">
            <v>ENERGÍA</v>
          </cell>
          <cell r="E95" t="str">
            <v>ML</v>
          </cell>
          <cell r="F95">
            <v>10180</v>
          </cell>
          <cell r="G95" t="str">
            <v>LPU FLM</v>
          </cell>
        </row>
        <row r="96">
          <cell r="A96">
            <v>8828119003</v>
          </cell>
          <cell r="B96">
            <v>95</v>
          </cell>
          <cell r="C96" t="str">
            <v>Suministro e Instalacion de cable electrico flexible blindado 2x10</v>
          </cell>
          <cell r="D96" t="str">
            <v>ENERGÍA</v>
          </cell>
          <cell r="E96" t="str">
            <v>ML</v>
          </cell>
          <cell r="F96">
            <v>9095</v>
          </cell>
          <cell r="G96" t="str">
            <v>LPU FLM</v>
          </cell>
        </row>
        <row r="97">
          <cell r="A97">
            <v>8828119012</v>
          </cell>
          <cell r="B97">
            <v>96</v>
          </cell>
          <cell r="C97" t="str">
            <v>Suministro e Instalacion de cable electrico flexible blindado 2x12</v>
          </cell>
          <cell r="D97" t="str">
            <v>ENERGÍA</v>
          </cell>
          <cell r="E97" t="str">
            <v>ML</v>
          </cell>
          <cell r="F97">
            <v>10400</v>
          </cell>
          <cell r="G97" t="str">
            <v>LPU FLM</v>
          </cell>
        </row>
        <row r="98">
          <cell r="A98">
            <v>8828119022</v>
          </cell>
          <cell r="B98">
            <v>97</v>
          </cell>
          <cell r="C98" t="str">
            <v>Suministro e Instalacion de cable electrico flexible blindado 2x16</v>
          </cell>
          <cell r="D98" t="str">
            <v>ENERGÍA</v>
          </cell>
          <cell r="E98" t="str">
            <v>ML</v>
          </cell>
          <cell r="F98">
            <v>9190</v>
          </cell>
          <cell r="G98" t="str">
            <v>LPU FLM</v>
          </cell>
        </row>
        <row r="99">
          <cell r="A99">
            <v>8828119032</v>
          </cell>
          <cell r="B99">
            <v>98</v>
          </cell>
          <cell r="C99" t="str">
            <v>Suministro e Instalacion de cable electrico flexible blindado 2x6</v>
          </cell>
          <cell r="D99" t="str">
            <v>ENERGÍA</v>
          </cell>
          <cell r="E99" t="str">
            <v>ML</v>
          </cell>
          <cell r="F99">
            <v>9551</v>
          </cell>
          <cell r="G99" t="str">
            <v>LPU FLM</v>
          </cell>
        </row>
        <row r="100">
          <cell r="A100">
            <v>8828119042</v>
          </cell>
          <cell r="B100">
            <v>99</v>
          </cell>
          <cell r="C100" t="str">
            <v>Suministro e Instalacion de terminal # 1/0 awg ponchar con ojo sencillo</v>
          </cell>
          <cell r="D100" t="str">
            <v>ENERGÍA</v>
          </cell>
          <cell r="E100" t="str">
            <v>U</v>
          </cell>
          <cell r="F100">
            <v>6368</v>
          </cell>
          <cell r="G100" t="str">
            <v>LPU FLM</v>
          </cell>
        </row>
        <row r="101">
          <cell r="A101">
            <v>8828119051</v>
          </cell>
          <cell r="B101">
            <v>100</v>
          </cell>
          <cell r="C101" t="str">
            <v>Suministro e Instalacion de terminal # 16 awg ponchar con ojo de 1/4"</v>
          </cell>
          <cell r="D101" t="str">
            <v>ENERGÍA</v>
          </cell>
          <cell r="E101" t="str">
            <v>U</v>
          </cell>
          <cell r="F101">
            <v>1033</v>
          </cell>
          <cell r="G101" t="str">
            <v>LPU FLM</v>
          </cell>
        </row>
        <row r="102">
          <cell r="A102">
            <v>8828119060</v>
          </cell>
          <cell r="B102">
            <v>101</v>
          </cell>
          <cell r="C102" t="str">
            <v>Suministro e Instalacion de terminal # 6 awg ponchar con ojo sencillo</v>
          </cell>
          <cell r="D102" t="str">
            <v>ENERGÍA</v>
          </cell>
          <cell r="E102" t="str">
            <v>U</v>
          </cell>
          <cell r="F102">
            <v>1660</v>
          </cell>
          <cell r="G102" t="str">
            <v>LPU FLM</v>
          </cell>
        </row>
        <row r="103">
          <cell r="A103">
            <v>8828119069</v>
          </cell>
          <cell r="B103">
            <v>102</v>
          </cell>
          <cell r="C103" t="str">
            <v>Suministro e instalación de cable electrico flexible blindado 2x8.</v>
          </cell>
          <cell r="D103" t="str">
            <v>ENERGÍA</v>
          </cell>
          <cell r="E103" t="str">
            <v>ML</v>
          </cell>
          <cell r="F103">
            <v>22871</v>
          </cell>
          <cell r="G103" t="str">
            <v>LPU FLM</v>
          </cell>
        </row>
        <row r="104">
          <cell r="A104">
            <v>8828119077</v>
          </cell>
          <cell r="B104">
            <v>103</v>
          </cell>
          <cell r="C104" t="str">
            <v>Suministro e instalación de cable electrico encauchetado 2x10 multifilar</v>
          </cell>
          <cell r="D104" t="str">
            <v>ENERGÍA</v>
          </cell>
          <cell r="E104" t="str">
            <v>ML</v>
          </cell>
          <cell r="F104">
            <v>9095</v>
          </cell>
          <cell r="G104" t="str">
            <v>LPU FLM</v>
          </cell>
        </row>
        <row r="105">
          <cell r="A105">
            <v>8828119085</v>
          </cell>
          <cell r="B105">
            <v>104</v>
          </cell>
          <cell r="C105" t="str">
            <v>Reconexión de Acometida Eléctrica en Poste a Red Comercial</v>
          </cell>
          <cell r="D105" t="str">
            <v>ENERGÍA</v>
          </cell>
          <cell r="E105" t="str">
            <v>U</v>
          </cell>
          <cell r="F105">
            <v>97240</v>
          </cell>
          <cell r="G105" t="str">
            <v>LPU FLM</v>
          </cell>
        </row>
        <row r="106">
          <cell r="A106">
            <v>8828119094</v>
          </cell>
          <cell r="B106">
            <v>105</v>
          </cell>
          <cell r="C106" t="str">
            <v>Excavación para Instalación de Tuberia EMT/PVC</v>
          </cell>
          <cell r="D106" t="str">
            <v>ENERGÍA</v>
          </cell>
          <cell r="E106" t="str">
            <v>ML</v>
          </cell>
          <cell r="F106">
            <v>29750</v>
          </cell>
          <cell r="G106" t="str">
            <v>LPU FLM</v>
          </cell>
        </row>
        <row r="107">
          <cell r="A107">
            <v>8828119103</v>
          </cell>
          <cell r="B107">
            <v>106</v>
          </cell>
          <cell r="C107" t="str">
            <v>Mantenimiento de Paneles Solares. Incluye lavado, Regulación de voltaje y baterías .</v>
          </cell>
          <cell r="D107" t="str">
            <v>ENERGÍA</v>
          </cell>
          <cell r="E107" t="str">
            <v>Sitio</v>
          </cell>
          <cell r="F107">
            <v>354079</v>
          </cell>
          <cell r="G107" t="str">
            <v>LPU FLM</v>
          </cell>
        </row>
        <row r="108">
          <cell r="A108">
            <v>8828119110</v>
          </cell>
          <cell r="B108">
            <v>107</v>
          </cell>
          <cell r="C108" t="str">
            <v>Mano de Obra Tecnico Electricista Certficado CONTE</v>
          </cell>
          <cell r="D108" t="str">
            <v>ENERGÍA</v>
          </cell>
          <cell r="E108" t="str">
            <v>DIA</v>
          </cell>
          <cell r="F108">
            <v>136000</v>
          </cell>
          <cell r="G108" t="str">
            <v>LPU FLM</v>
          </cell>
        </row>
        <row r="109">
          <cell r="A109">
            <v>8828119120</v>
          </cell>
          <cell r="B109">
            <v>108</v>
          </cell>
          <cell r="C109" t="str">
            <v>Suministro e Instalación Bateria Plomo - Ácido 12 voltios (9 AH )</v>
          </cell>
          <cell r="D109" t="str">
            <v>ENERGÍA</v>
          </cell>
          <cell r="E109" t="str">
            <v>U</v>
          </cell>
          <cell r="F109">
            <v>170000</v>
          </cell>
          <cell r="G109" t="str">
            <v>LPU FLM</v>
          </cell>
        </row>
        <row r="110">
          <cell r="A110">
            <v>8828119131</v>
          </cell>
          <cell r="B110">
            <v>109</v>
          </cell>
          <cell r="C110" t="str">
            <v>Suministro e Instalación Bateria Plomo - Ácido 12 voltios (12 AH)</v>
          </cell>
          <cell r="D110" t="str">
            <v>ENERGÍA</v>
          </cell>
          <cell r="E110" t="str">
            <v>U</v>
          </cell>
          <cell r="F110">
            <v>297500</v>
          </cell>
          <cell r="G110" t="str">
            <v>LPU FLM</v>
          </cell>
        </row>
        <row r="111">
          <cell r="A111">
            <v>8828119141</v>
          </cell>
          <cell r="B111">
            <v>110</v>
          </cell>
          <cell r="C111" t="str">
            <v>Suministro e Instalación de Gabinete Eléctrico</v>
          </cell>
          <cell r="D111" t="str">
            <v>ENERGÍA</v>
          </cell>
          <cell r="E111" t="str">
            <v>U</v>
          </cell>
          <cell r="F111">
            <v>734400</v>
          </cell>
          <cell r="G111" t="str">
            <v>LPU FLM</v>
          </cell>
        </row>
        <row r="112">
          <cell r="A112">
            <v>8828119153</v>
          </cell>
          <cell r="B112">
            <v>111</v>
          </cell>
          <cell r="C112" t="str">
            <v>Cambio de Gabinete Eléctrico</v>
          </cell>
          <cell r="D112" t="str">
            <v>ENERGÍA</v>
          </cell>
          <cell r="E112" t="str">
            <v>U</v>
          </cell>
          <cell r="F112">
            <v>365500</v>
          </cell>
          <cell r="G112" t="str">
            <v>LPU FLM</v>
          </cell>
        </row>
        <row r="113">
          <cell r="A113">
            <v>8828119163</v>
          </cell>
          <cell r="B113">
            <v>112</v>
          </cell>
          <cell r="C113" t="str">
            <v>Verificación y toma de medida de consumo de energia de la Estación Base</v>
          </cell>
          <cell r="D113" t="str">
            <v>ENERGÍA</v>
          </cell>
          <cell r="E113" t="str">
            <v>U</v>
          </cell>
          <cell r="F113">
            <v>123250</v>
          </cell>
          <cell r="G113" t="str">
            <v>LPU FLM</v>
          </cell>
        </row>
        <row r="114">
          <cell r="A114">
            <v>8828119172</v>
          </cell>
          <cell r="B114">
            <v>113</v>
          </cell>
          <cell r="C114" t="str">
            <v>Suministro e Instalación de caja de paso para pin de corte</v>
          </cell>
          <cell r="D114" t="str">
            <v>ENERGÍA</v>
          </cell>
          <cell r="E114" t="str">
            <v>U</v>
          </cell>
          <cell r="F114">
            <v>31763</v>
          </cell>
          <cell r="G114" t="str">
            <v>LPU FLM</v>
          </cell>
        </row>
        <row r="115">
          <cell r="A115">
            <v>8828119181</v>
          </cell>
          <cell r="B115">
            <v>114</v>
          </cell>
          <cell r="C115" t="str">
            <v>Suministro filtro de aceite planta Cummins</v>
          </cell>
          <cell r="D115" t="str">
            <v>GENERADORES</v>
          </cell>
          <cell r="E115" t="str">
            <v>U</v>
          </cell>
          <cell r="F115">
            <v>45900</v>
          </cell>
          <cell r="G115" t="str">
            <v>LPU FLM</v>
          </cell>
        </row>
        <row r="116">
          <cell r="A116">
            <v>8828119194</v>
          </cell>
          <cell r="B116">
            <v>115</v>
          </cell>
          <cell r="C116" t="str">
            <v>Suministro filtro de aceite planta Perkins</v>
          </cell>
          <cell r="D116" t="str">
            <v>GENERADORES</v>
          </cell>
          <cell r="E116" t="str">
            <v>U</v>
          </cell>
          <cell r="F116">
            <v>49300</v>
          </cell>
          <cell r="G116" t="str">
            <v>LPU FLM</v>
          </cell>
        </row>
        <row r="117">
          <cell r="A117">
            <v>8828119203</v>
          </cell>
          <cell r="B117">
            <v>116</v>
          </cell>
          <cell r="C117" t="str">
            <v>Suministro filtro de aceite planta Listter</v>
          </cell>
          <cell r="D117" t="str">
            <v>GENERADORES</v>
          </cell>
          <cell r="E117" t="str">
            <v>U</v>
          </cell>
          <cell r="F117">
            <v>48450</v>
          </cell>
          <cell r="G117" t="str">
            <v>LPU FLM</v>
          </cell>
        </row>
        <row r="118">
          <cell r="A118">
            <v>8828119212</v>
          </cell>
          <cell r="B118">
            <v>117</v>
          </cell>
          <cell r="C118" t="str">
            <v>Suministro filtro de combustible planta Cummins</v>
          </cell>
          <cell r="D118" t="str">
            <v>GENERADORES</v>
          </cell>
          <cell r="E118" t="str">
            <v>U</v>
          </cell>
          <cell r="F118">
            <v>38896</v>
          </cell>
          <cell r="G118" t="str">
            <v>LPU FLM</v>
          </cell>
        </row>
        <row r="119">
          <cell r="A119">
            <v>8828119221</v>
          </cell>
          <cell r="B119">
            <v>118</v>
          </cell>
          <cell r="C119" t="str">
            <v>Suministro filtro de combustible planta Perkins</v>
          </cell>
          <cell r="D119" t="str">
            <v>GENERADORES</v>
          </cell>
          <cell r="E119" t="str">
            <v>U</v>
          </cell>
          <cell r="F119">
            <v>48450</v>
          </cell>
          <cell r="G119" t="str">
            <v>LPU FLM</v>
          </cell>
        </row>
        <row r="120">
          <cell r="A120">
            <v>8828119231</v>
          </cell>
          <cell r="B120">
            <v>119</v>
          </cell>
          <cell r="C120" t="str">
            <v>Suministro filtro de combustible planta Listter</v>
          </cell>
          <cell r="D120" t="str">
            <v>GENERADORES</v>
          </cell>
          <cell r="E120" t="str">
            <v>U</v>
          </cell>
          <cell r="F120">
            <v>51000</v>
          </cell>
          <cell r="G120" t="str">
            <v>LPU FLM</v>
          </cell>
        </row>
        <row r="121">
          <cell r="A121">
            <v>8828119241</v>
          </cell>
          <cell r="B121">
            <v>120</v>
          </cell>
          <cell r="C121" t="str">
            <v>Suministro filtro de aire planta Cummins</v>
          </cell>
          <cell r="D121" t="str">
            <v>GENERADORES</v>
          </cell>
          <cell r="E121" t="str">
            <v>U</v>
          </cell>
          <cell r="F121">
            <v>58650</v>
          </cell>
          <cell r="G121" t="str">
            <v>LPU FLM</v>
          </cell>
        </row>
        <row r="122">
          <cell r="A122">
            <v>8828119249</v>
          </cell>
          <cell r="B122">
            <v>121</v>
          </cell>
          <cell r="C122" t="str">
            <v>Suministro filtro de aire planta Perkins</v>
          </cell>
          <cell r="D122" t="str">
            <v>GENERADORES</v>
          </cell>
          <cell r="E122" t="str">
            <v>U</v>
          </cell>
          <cell r="F122">
            <v>66300</v>
          </cell>
          <cell r="G122" t="str">
            <v>LPU FLM</v>
          </cell>
        </row>
        <row r="123">
          <cell r="A123">
            <v>8828119257</v>
          </cell>
          <cell r="B123">
            <v>122</v>
          </cell>
          <cell r="C123" t="str">
            <v>Suministro filtro de aire planta Listter</v>
          </cell>
          <cell r="D123" t="str">
            <v>GENERADORES</v>
          </cell>
          <cell r="E123" t="str">
            <v>U</v>
          </cell>
          <cell r="F123">
            <v>71400</v>
          </cell>
          <cell r="G123" t="str">
            <v>LPU FLM</v>
          </cell>
        </row>
        <row r="124">
          <cell r="A124">
            <v>8828119265</v>
          </cell>
          <cell r="B124">
            <v>123</v>
          </cell>
          <cell r="C124" t="str">
            <v>Suministro y cambio de Refrigerante para Motogenerador</v>
          </cell>
          <cell r="D124" t="str">
            <v>GENERADORES</v>
          </cell>
          <cell r="E124" t="str">
            <v>Galón</v>
          </cell>
          <cell r="F124">
            <v>35700</v>
          </cell>
          <cell r="G124" t="str">
            <v>LPU FLM</v>
          </cell>
        </row>
        <row r="125">
          <cell r="A125">
            <v>8828119275</v>
          </cell>
          <cell r="B125">
            <v>124</v>
          </cell>
          <cell r="C125" t="str">
            <v>Suministro filtro trampa de agua planta Cummins</v>
          </cell>
          <cell r="D125" t="str">
            <v>GENERADORES</v>
          </cell>
          <cell r="E125" t="str">
            <v>U</v>
          </cell>
          <cell r="F125">
            <v>136000</v>
          </cell>
          <cell r="G125" t="str">
            <v>LPU FLM</v>
          </cell>
        </row>
        <row r="126">
          <cell r="A126">
            <v>8828119284</v>
          </cell>
          <cell r="B126">
            <v>125</v>
          </cell>
          <cell r="C126" t="str">
            <v>Suministro filtro trampa de agua planta Perkins</v>
          </cell>
          <cell r="D126" t="str">
            <v>GENERADORES</v>
          </cell>
          <cell r="E126" t="str">
            <v>U</v>
          </cell>
          <cell r="F126">
            <v>136000</v>
          </cell>
          <cell r="G126" t="str">
            <v>LPU FLM</v>
          </cell>
        </row>
        <row r="127">
          <cell r="A127">
            <v>8828119293</v>
          </cell>
          <cell r="B127">
            <v>126</v>
          </cell>
          <cell r="C127" t="str">
            <v>Suministro filtro trampa de agua planta Listter</v>
          </cell>
          <cell r="D127" t="str">
            <v>GENERADORES</v>
          </cell>
          <cell r="E127" t="str">
            <v>U</v>
          </cell>
          <cell r="F127">
            <v>136000</v>
          </cell>
          <cell r="G127" t="str">
            <v>LPU FLM</v>
          </cell>
        </row>
        <row r="128">
          <cell r="A128">
            <v>8828119311</v>
          </cell>
          <cell r="B128">
            <v>127</v>
          </cell>
          <cell r="C128" t="str">
            <v>Suministro Aceite Multigrado</v>
          </cell>
          <cell r="D128" t="str">
            <v>GENERADORES</v>
          </cell>
          <cell r="E128" t="str">
            <v>Galón</v>
          </cell>
          <cell r="F128">
            <v>60112</v>
          </cell>
          <cell r="G128" t="str">
            <v>LPU FLM</v>
          </cell>
        </row>
        <row r="129">
          <cell r="A129">
            <v>8828119318</v>
          </cell>
          <cell r="B129">
            <v>128</v>
          </cell>
          <cell r="C129" t="str">
            <v>Mantenimiento Planta Eléctrica tipo CAF (Cambio de Aceite y Filtros)</v>
          </cell>
          <cell r="D129" t="str">
            <v>GENERADORES</v>
          </cell>
          <cell r="E129" t="str">
            <v>U</v>
          </cell>
          <cell r="F129">
            <v>232900</v>
          </cell>
          <cell r="G129" t="str">
            <v>LPU FLM</v>
          </cell>
        </row>
        <row r="130">
          <cell r="A130">
            <v>8828119332</v>
          </cell>
          <cell r="B130">
            <v>129</v>
          </cell>
          <cell r="C130" t="str">
            <v>Suministro y Cambio de Cargador de Baterías 12V / 20 A</v>
          </cell>
          <cell r="D130" t="str">
            <v>GENERADORES</v>
          </cell>
          <cell r="E130" t="str">
            <v>U</v>
          </cell>
          <cell r="F130">
            <v>124318</v>
          </cell>
          <cell r="G130" t="str">
            <v>LPU FLM</v>
          </cell>
        </row>
        <row r="131">
          <cell r="A131">
            <v>8828119340</v>
          </cell>
          <cell r="B131">
            <v>130</v>
          </cell>
          <cell r="C131" t="str">
            <v>Suministro y Cambio de Cargador de Baterías 24V / 20 A</v>
          </cell>
          <cell r="D131" t="str">
            <v>GENERADORES</v>
          </cell>
          <cell r="E131" t="str">
            <v>U</v>
          </cell>
          <cell r="F131">
            <v>112651</v>
          </cell>
          <cell r="G131" t="str">
            <v>LPU FLM</v>
          </cell>
        </row>
        <row r="132">
          <cell r="A132">
            <v>8828119348</v>
          </cell>
          <cell r="B132">
            <v>131</v>
          </cell>
          <cell r="C132" t="str">
            <v>Suministro y Cambio de Batería de Arranque 31H</v>
          </cell>
          <cell r="D132" t="str">
            <v>GENERADORES</v>
          </cell>
          <cell r="E132" t="str">
            <v>U</v>
          </cell>
          <cell r="F132">
            <v>352730</v>
          </cell>
          <cell r="G132" t="str">
            <v>LPU FLM</v>
          </cell>
        </row>
        <row r="133">
          <cell r="A133">
            <v>8828119358</v>
          </cell>
          <cell r="B133">
            <v>132</v>
          </cell>
          <cell r="C133" t="str">
            <v>Vaciado de Combustible y Limpieza interior de Tanque</v>
          </cell>
          <cell r="D133" t="str">
            <v>GENERADORES</v>
          </cell>
          <cell r="E133" t="str">
            <v>Galón</v>
          </cell>
          <cell r="F133">
            <v>5653</v>
          </cell>
          <cell r="G133" t="str">
            <v>LPU FLM</v>
          </cell>
        </row>
        <row r="134">
          <cell r="A134">
            <v>8828119365</v>
          </cell>
          <cell r="B134">
            <v>133</v>
          </cell>
          <cell r="C134" t="str">
            <v>Mantenimiento de radiador (varillado o cambio), incluye Desmonte, vaciado refrigerante y recarga.</v>
          </cell>
          <cell r="D134" t="str">
            <v>GENERADORES</v>
          </cell>
          <cell r="E134" t="str">
            <v>GL</v>
          </cell>
          <cell r="F134">
            <v>316192</v>
          </cell>
          <cell r="G134" t="str">
            <v>LPU FLM</v>
          </cell>
        </row>
        <row r="135">
          <cell r="A135">
            <v>8828119376</v>
          </cell>
          <cell r="B135">
            <v>134</v>
          </cell>
          <cell r="C135" t="str">
            <v>Transporte y Tanqueo de combustible (precio por galón) Servicio y Suministro - ZONA 1 (Resolución 5078 de 2016)</v>
          </cell>
          <cell r="D135" t="str">
            <v>GENERADORES</v>
          </cell>
          <cell r="E135" t="str">
            <v>Galón</v>
          </cell>
          <cell r="F135">
            <v>11870</v>
          </cell>
          <cell r="G135" t="str">
            <v>LPU FLM</v>
          </cell>
        </row>
        <row r="136">
          <cell r="A136">
            <v>8828119389</v>
          </cell>
          <cell r="B136">
            <v>135</v>
          </cell>
          <cell r="C136" t="str">
            <v>Transporte y Tanqueo de combustible (precio por galón) Servicio y Suministro - ZONA 2 (Resolución 5078 de 2016)</v>
          </cell>
          <cell r="D136" t="str">
            <v>GENERADORES</v>
          </cell>
          <cell r="E136" t="str">
            <v>Galón</v>
          </cell>
          <cell r="F136">
            <v>11492</v>
          </cell>
          <cell r="G136" t="str">
            <v>LPU FLM</v>
          </cell>
        </row>
        <row r="137">
          <cell r="A137">
            <v>8828119399</v>
          </cell>
          <cell r="B137">
            <v>136</v>
          </cell>
          <cell r="C137" t="str">
            <v>Transporte y Tanqueo de combustible (precio por galón) Servicio y Suministro - ZONA Satelital (Resolución 5078 de 2016)</v>
          </cell>
          <cell r="D137" t="str">
            <v>GENERADORES</v>
          </cell>
          <cell r="E137" t="str">
            <v>Galón</v>
          </cell>
          <cell r="F137">
            <v>14144</v>
          </cell>
          <cell r="G137" t="str">
            <v>LPU FLM</v>
          </cell>
        </row>
        <row r="138">
          <cell r="A138">
            <v>8828119407</v>
          </cell>
          <cell r="B138">
            <v>137</v>
          </cell>
          <cell r="C138" t="str">
            <v>Suministro y Cambio Mangueras retorno para Motogenerador</v>
          </cell>
          <cell r="D138" t="str">
            <v>GENERADORES</v>
          </cell>
          <cell r="E138" t="str">
            <v>U</v>
          </cell>
          <cell r="F138">
            <v>131948</v>
          </cell>
          <cell r="G138" t="str">
            <v>LPU FLM</v>
          </cell>
        </row>
        <row r="139">
          <cell r="A139">
            <v>8828119422</v>
          </cell>
          <cell r="B139">
            <v>138</v>
          </cell>
          <cell r="C139" t="str">
            <v>Suministro y Cambio Mangueras suministro para Motogenerador</v>
          </cell>
          <cell r="D139" t="str">
            <v>GENERADORES</v>
          </cell>
          <cell r="E139" t="str">
            <v>U</v>
          </cell>
          <cell r="F139">
            <v>141840</v>
          </cell>
          <cell r="G139" t="str">
            <v>LPU FLM</v>
          </cell>
        </row>
        <row r="140">
          <cell r="A140">
            <v>8828119429</v>
          </cell>
          <cell r="B140">
            <v>139</v>
          </cell>
          <cell r="C140" t="str">
            <v>Alquiler de Planta (incluye transporte) hasta 12 KVA - ZONA 1 (Resolución 5078 de 2016)</v>
          </cell>
          <cell r="D140" t="str">
            <v>GENERADORES</v>
          </cell>
          <cell r="E140" t="str">
            <v>Hr</v>
          </cell>
          <cell r="F140">
            <v>37128</v>
          </cell>
          <cell r="G140" t="str">
            <v>LPU FLM</v>
          </cell>
        </row>
        <row r="141">
          <cell r="A141">
            <v>8828119439</v>
          </cell>
          <cell r="B141">
            <v>140</v>
          </cell>
          <cell r="C141" t="str">
            <v>Alquiler de Planta (incluye transporte) hasta 12 KVA - ZONA 1 (Resolución 5078 de 2016)</v>
          </cell>
          <cell r="D141" t="str">
            <v>GENERADORES</v>
          </cell>
          <cell r="E141" t="str">
            <v>DIA</v>
          </cell>
          <cell r="F141">
            <v>142370</v>
          </cell>
          <cell r="G141" t="str">
            <v>LPU FLM</v>
          </cell>
        </row>
        <row r="142">
          <cell r="A142">
            <v>8828119705</v>
          </cell>
          <cell r="B142">
            <v>141</v>
          </cell>
          <cell r="C142" t="str">
            <v>Alquiler de Planta (incluye transporte) hasta 12 KVA - ZONA 1 (Resolución 5078 de 2016)</v>
          </cell>
          <cell r="D142" t="str">
            <v>GENERADORES</v>
          </cell>
          <cell r="E142" t="str">
            <v>SEMANA</v>
          </cell>
          <cell r="F142">
            <v>397020</v>
          </cell>
          <cell r="G142" t="str">
            <v>LPU FLM</v>
          </cell>
        </row>
        <row r="143">
          <cell r="A143">
            <v>8828119715</v>
          </cell>
          <cell r="B143">
            <v>142</v>
          </cell>
          <cell r="C143" t="str">
            <v>Alquiler de Planta (incluye transporte) hasta 12 KVA - ZONA 1 (Resolución 5078 de 2016)</v>
          </cell>
          <cell r="D143" t="str">
            <v>GENERADORES</v>
          </cell>
          <cell r="E143" t="str">
            <v>MES</v>
          </cell>
          <cell r="F143">
            <v>1365000</v>
          </cell>
          <cell r="G143" t="str">
            <v>LPU FLM</v>
          </cell>
        </row>
        <row r="144">
          <cell r="A144">
            <v>8828119724</v>
          </cell>
          <cell r="B144">
            <v>143</v>
          </cell>
          <cell r="C144" t="str">
            <v>Alquiler de Planta (incluye transporte) hasta 12 KVA - ZONA 2 (Resolución 5078 de 2016)</v>
          </cell>
          <cell r="D144" t="str">
            <v>GENERADORES</v>
          </cell>
          <cell r="E144" t="str">
            <v>Hr</v>
          </cell>
          <cell r="F144">
            <v>38012</v>
          </cell>
          <cell r="G144" t="str">
            <v>LPU FLM</v>
          </cell>
        </row>
        <row r="145">
          <cell r="A145">
            <v>8828119733</v>
          </cell>
          <cell r="B145">
            <v>144</v>
          </cell>
          <cell r="C145" t="str">
            <v>Alquiler de Planta (incluye transporte) hasta 12 KVA - ZONA 2 (Resolución 5078 de 2016)</v>
          </cell>
          <cell r="D145" t="str">
            <v>GENERADORES</v>
          </cell>
          <cell r="E145" t="str">
            <v>DIA</v>
          </cell>
          <cell r="F145">
            <v>180336</v>
          </cell>
          <cell r="G145" t="str">
            <v>LPU FLM</v>
          </cell>
        </row>
        <row r="146">
          <cell r="A146">
            <v>8828119742</v>
          </cell>
          <cell r="B146">
            <v>145</v>
          </cell>
          <cell r="C146" t="str">
            <v>Alquiler de Planta (incluye transporte) hasta 12 KVA - ZONA 2 (Resolución 5078 de 2016)</v>
          </cell>
          <cell r="D146" t="str">
            <v>GENERADORES</v>
          </cell>
          <cell r="E146" t="str">
            <v>SEMANA</v>
          </cell>
          <cell r="F146">
            <v>676702</v>
          </cell>
          <cell r="G146" t="str">
            <v>LPU FLM</v>
          </cell>
        </row>
        <row r="147">
          <cell r="A147">
            <v>8828119756</v>
          </cell>
          <cell r="B147">
            <v>146</v>
          </cell>
          <cell r="C147" t="str">
            <v>Alquiler de Planta (incluye transporte) hasta 12 KVA - ZONA 2 (Resolución 5078 de 2016)</v>
          </cell>
          <cell r="D147" t="str">
            <v>GENERADORES</v>
          </cell>
          <cell r="E147" t="str">
            <v>MES</v>
          </cell>
          <cell r="F147">
            <v>1521000</v>
          </cell>
          <cell r="G147" t="str">
            <v>LPU FLM</v>
          </cell>
        </row>
        <row r="148">
          <cell r="A148">
            <v>8828119765</v>
          </cell>
          <cell r="B148">
            <v>147</v>
          </cell>
          <cell r="C148" t="str">
            <v>Alquiler de Planta (incluye transporte) hasta 12 KVA - ZONA Satelital (Resolución 5078 de 2016)</v>
          </cell>
          <cell r="D148" t="str">
            <v>GENERADORES</v>
          </cell>
          <cell r="E148" t="str">
            <v>Hr</v>
          </cell>
          <cell r="F148">
            <v>53040</v>
          </cell>
          <cell r="G148" t="str">
            <v>LPU FLM</v>
          </cell>
        </row>
        <row r="149">
          <cell r="A149">
            <v>8828119774</v>
          </cell>
          <cell r="B149">
            <v>148</v>
          </cell>
          <cell r="C149" t="str">
            <v>Alquiler de Planta (incluye transporte) hasta 12 KVA - ZONA Satelital (Resolución 5078 de 2016)</v>
          </cell>
          <cell r="D149" t="str">
            <v>GENERADORES</v>
          </cell>
          <cell r="E149" t="str">
            <v>DIA</v>
          </cell>
          <cell r="F149">
            <v>207740</v>
          </cell>
          <cell r="G149" t="str">
            <v>LPU FLM</v>
          </cell>
        </row>
        <row r="150">
          <cell r="A150">
            <v>8828119783</v>
          </cell>
          <cell r="B150">
            <v>149</v>
          </cell>
          <cell r="C150" t="str">
            <v>Alquiler de Planta (incluye transporte) hasta 12 KVA - ZONA Satelital (Resolución 5078 de 2016)</v>
          </cell>
          <cell r="D150" t="str">
            <v>GENERADORES</v>
          </cell>
          <cell r="E150" t="str">
            <v>SEMANA</v>
          </cell>
          <cell r="F150">
            <v>676260</v>
          </cell>
          <cell r="G150" t="str">
            <v>LPU FLM</v>
          </cell>
        </row>
        <row r="151">
          <cell r="A151">
            <v>8828119790</v>
          </cell>
          <cell r="B151">
            <v>150</v>
          </cell>
          <cell r="C151" t="str">
            <v>Alquiler de Planta (incluye transporte) hasta 12 KVA - ZONA Satelital (Resolución 5078 de 2016)</v>
          </cell>
          <cell r="D151" t="str">
            <v>GENERADORES</v>
          </cell>
          <cell r="E151" t="str">
            <v>MES</v>
          </cell>
          <cell r="F151">
            <v>1796336</v>
          </cell>
          <cell r="G151" t="str">
            <v>LPU FLM</v>
          </cell>
        </row>
        <row r="152">
          <cell r="A152">
            <v>8828119797</v>
          </cell>
          <cell r="B152">
            <v>151</v>
          </cell>
          <cell r="C152" t="str">
            <v>Suministro e Instalación de Concertina</v>
          </cell>
          <cell r="D152" t="str">
            <v>INFRAESTRUCTURA</v>
          </cell>
          <cell r="E152" t="str">
            <v>ML</v>
          </cell>
          <cell r="F152">
            <v>16796</v>
          </cell>
          <cell r="G152" t="str">
            <v>LPU FLM</v>
          </cell>
        </row>
        <row r="153">
          <cell r="A153">
            <v>8828119805</v>
          </cell>
          <cell r="B153">
            <v>152</v>
          </cell>
          <cell r="C153" t="str">
            <v>Reparación Cerramiento en Malla Eslabonada x mts2</v>
          </cell>
          <cell r="D153" t="str">
            <v>INFRAESTRUCTURA</v>
          </cell>
          <cell r="E153" t="str">
            <v>MTS2</v>
          </cell>
          <cell r="F153">
            <v>30600</v>
          </cell>
          <cell r="G153" t="str">
            <v>LPU FLM</v>
          </cell>
        </row>
        <row r="154">
          <cell r="A154">
            <v>8828119813</v>
          </cell>
          <cell r="B154">
            <v>153</v>
          </cell>
          <cell r="C154" t="str">
            <v>Reparación puerta de Acceso a Sitio. Incluye materiales.</v>
          </cell>
          <cell r="D154" t="str">
            <v>INFRAESTRUCTURA</v>
          </cell>
          <cell r="E154" t="str">
            <v>U</v>
          </cell>
          <cell r="F154">
            <v>242216</v>
          </cell>
          <cell r="G154" t="str">
            <v>LPU FLM</v>
          </cell>
        </row>
        <row r="155">
          <cell r="A155">
            <v>8828119821</v>
          </cell>
          <cell r="B155">
            <v>154</v>
          </cell>
          <cell r="C155" t="str">
            <v>Desmonte de soportes de antenas (RF o MW)</v>
          </cell>
          <cell r="D155" t="str">
            <v>INFRAESTRUCTURA</v>
          </cell>
          <cell r="E155" t="str">
            <v>U</v>
          </cell>
          <cell r="F155">
            <v>186857</v>
          </cell>
          <cell r="G155" t="str">
            <v>LPU FLM</v>
          </cell>
        </row>
        <row r="156">
          <cell r="A156">
            <v>8828119829</v>
          </cell>
          <cell r="B156">
            <v>155</v>
          </cell>
          <cell r="C156" t="str">
            <v>Reparación estructural de puertas de gabinete de fuerza o rectificador. Incluye materiales.</v>
          </cell>
          <cell r="D156" t="str">
            <v>LOCATIVO</v>
          </cell>
          <cell r="E156" t="str">
            <v>U</v>
          </cell>
          <cell r="F156">
            <v>167960</v>
          </cell>
          <cell r="G156" t="str">
            <v>LPU FLM</v>
          </cell>
        </row>
        <row r="157">
          <cell r="A157">
            <v>8828119839</v>
          </cell>
          <cell r="B157">
            <v>156</v>
          </cell>
          <cell r="C157" t="str">
            <v>Aseguramiento Rack Baterías, pasador. Incluye candado</v>
          </cell>
          <cell r="D157" t="str">
            <v>LOCATIVO</v>
          </cell>
          <cell r="E157" t="str">
            <v>U</v>
          </cell>
          <cell r="F157">
            <v>80657</v>
          </cell>
          <cell r="G157" t="str">
            <v>LPU FLM</v>
          </cell>
        </row>
        <row r="158">
          <cell r="A158">
            <v>8828119848</v>
          </cell>
          <cell r="B158">
            <v>157</v>
          </cell>
          <cell r="C158" t="str">
            <v>Reja para equipo cabinet x 2 baterías</v>
          </cell>
          <cell r="D158" t="str">
            <v>LOCATIVO</v>
          </cell>
          <cell r="E158" t="str">
            <v>U</v>
          </cell>
          <cell r="F158">
            <v>415303</v>
          </cell>
          <cell r="G158" t="str">
            <v>LPU FLM</v>
          </cell>
        </row>
        <row r="159">
          <cell r="A159">
            <v>8828119867</v>
          </cell>
          <cell r="B159">
            <v>158</v>
          </cell>
          <cell r="C159" t="str">
            <v>Reja para equipo cabinet x 4 baterías</v>
          </cell>
          <cell r="D159" t="str">
            <v>LOCATIVO</v>
          </cell>
          <cell r="E159" t="str">
            <v>U</v>
          </cell>
          <cell r="F159">
            <v>489135</v>
          </cell>
          <cell r="G159" t="str">
            <v>LPU FLM</v>
          </cell>
        </row>
        <row r="160">
          <cell r="A160">
            <v>8828119880</v>
          </cell>
          <cell r="B160">
            <v>159</v>
          </cell>
          <cell r="C160" t="str">
            <v>Reja para tipo blade</v>
          </cell>
          <cell r="D160" t="str">
            <v>LOCATIVO</v>
          </cell>
          <cell r="E160" t="str">
            <v>U</v>
          </cell>
          <cell r="F160">
            <v>424320</v>
          </cell>
          <cell r="G160" t="str">
            <v>LPU FLM</v>
          </cell>
        </row>
        <row r="161">
          <cell r="A161">
            <v>8828119890</v>
          </cell>
          <cell r="B161">
            <v>160</v>
          </cell>
          <cell r="C161" t="str">
            <v>Activación giroscopio</v>
          </cell>
          <cell r="D161" t="str">
            <v>LOCATIVO</v>
          </cell>
          <cell r="E161" t="str">
            <v>Global</v>
          </cell>
          <cell r="F161">
            <v>51000</v>
          </cell>
          <cell r="G161" t="str">
            <v>LPU FLM</v>
          </cell>
        </row>
        <row r="162">
          <cell r="A162">
            <v>8828119901</v>
          </cell>
          <cell r="B162">
            <v>161</v>
          </cell>
          <cell r="C162" t="str">
            <v>Cambio de cilindros mecánicos por cilindros electrónicos</v>
          </cell>
          <cell r="D162" t="str">
            <v>LOCATIVO</v>
          </cell>
          <cell r="E162" t="str">
            <v>Global</v>
          </cell>
          <cell r="F162">
            <v>34000</v>
          </cell>
          <cell r="G162" t="str">
            <v>LPU FLM</v>
          </cell>
        </row>
        <row r="163">
          <cell r="A163">
            <v>8828119911</v>
          </cell>
          <cell r="B163">
            <v>162</v>
          </cell>
          <cell r="C163" t="str">
            <v>Instalación de avisos</v>
          </cell>
          <cell r="D163" t="str">
            <v>LOCATIVO</v>
          </cell>
          <cell r="E163" t="str">
            <v>Global</v>
          </cell>
          <cell r="F163">
            <v>34000</v>
          </cell>
          <cell r="G163" t="str">
            <v>LPU FLM</v>
          </cell>
        </row>
        <row r="164">
          <cell r="A164">
            <v>8828119921</v>
          </cell>
          <cell r="B164">
            <v>163</v>
          </cell>
          <cell r="C164" t="str">
            <v>Tansporte tipo A, ciudad principal y área metropolitana</v>
          </cell>
          <cell r="D164" t="str">
            <v>LOCATIVO</v>
          </cell>
          <cell r="E164" t="str">
            <v>Global</v>
          </cell>
          <cell r="F164">
            <v>133571.54999999999</v>
          </cell>
          <cell r="G164" t="str">
            <v>LPU FLM</v>
          </cell>
        </row>
        <row r="165">
          <cell r="A165">
            <v>8828119931</v>
          </cell>
          <cell r="B165">
            <v>164</v>
          </cell>
          <cell r="C165" t="str">
            <v>Tansporte tipo B, fuera de área metropolitana</v>
          </cell>
          <cell r="D165" t="str">
            <v>LOCATIVO</v>
          </cell>
          <cell r="E165" t="str">
            <v>Global</v>
          </cell>
          <cell r="F165">
            <v>253785</v>
          </cell>
          <cell r="G165" t="str">
            <v>LPU FLM</v>
          </cell>
        </row>
        <row r="166">
          <cell r="A166">
            <v>8828119941</v>
          </cell>
          <cell r="B166">
            <v>165</v>
          </cell>
          <cell r="C166" t="str">
            <v>Transporte tipo C, zona de dificil acceso</v>
          </cell>
          <cell r="D166" t="str">
            <v>LOCATIVO</v>
          </cell>
          <cell r="E166" t="str">
            <v>Global</v>
          </cell>
          <cell r="F166">
            <v>388801.05</v>
          </cell>
          <cell r="G166" t="str">
            <v>LPU FLM</v>
          </cell>
        </row>
        <row r="167">
          <cell r="A167">
            <v>8828119950</v>
          </cell>
          <cell r="B167">
            <v>166</v>
          </cell>
          <cell r="C167" t="str">
            <v>Desmalezamiento y Fumigación Área Equipos WOM (Para sitios coubicados)</v>
          </cell>
          <cell r="D167" t="str">
            <v>LOCATIVO</v>
          </cell>
          <cell r="E167" t="str">
            <v>M2</v>
          </cell>
          <cell r="F167">
            <v>25602</v>
          </cell>
          <cell r="G167" t="str">
            <v>LPU FLM</v>
          </cell>
        </row>
        <row r="168">
          <cell r="A168">
            <v>8828119961</v>
          </cell>
          <cell r="B168">
            <v>167</v>
          </cell>
          <cell r="C168" t="str">
            <v>Reja para equipo cabinet Sistemas Híbridos</v>
          </cell>
          <cell r="D168" t="str">
            <v>LOCATIVO</v>
          </cell>
          <cell r="E168" t="str">
            <v>U</v>
          </cell>
          <cell r="F168">
            <v>303718</v>
          </cell>
          <cell r="G168" t="str">
            <v>LPU FLM</v>
          </cell>
        </row>
        <row r="169">
          <cell r="A169">
            <v>8828119971</v>
          </cell>
          <cell r="B169">
            <v>168</v>
          </cell>
          <cell r="C169" t="str">
            <v>Reja para equipo cabinet para Battery Box</v>
          </cell>
          <cell r="D169" t="str">
            <v>LOCATIVO</v>
          </cell>
          <cell r="E169" t="str">
            <v>U</v>
          </cell>
          <cell r="F169">
            <v>491101</v>
          </cell>
          <cell r="G169" t="str">
            <v>LPU FLM</v>
          </cell>
        </row>
        <row r="170">
          <cell r="A170">
            <v>8828119980</v>
          </cell>
          <cell r="B170">
            <v>169</v>
          </cell>
          <cell r="C170" t="str">
            <v>Reforzamiento Protección Concreto para Rack de Baterías Incluye Materiales</v>
          </cell>
          <cell r="D170" t="str">
            <v>LOCATIVO</v>
          </cell>
          <cell r="E170" t="str">
            <v>U</v>
          </cell>
          <cell r="F170">
            <v>114750</v>
          </cell>
          <cell r="G170" t="str">
            <v>LPU FLM</v>
          </cell>
        </row>
        <row r="171">
          <cell r="A171">
            <v>8828119990</v>
          </cell>
          <cell r="B171">
            <v>170</v>
          </cell>
          <cell r="C171" t="str">
            <v>Alquiler de Andamio Certificado. Incluye transporte e instalación en sitio x Hora</v>
          </cell>
          <cell r="D171" t="str">
            <v>LOCATIVO</v>
          </cell>
          <cell r="E171" t="str">
            <v>H</v>
          </cell>
          <cell r="F171">
            <v>76024</v>
          </cell>
          <cell r="G171" t="str">
            <v>LPU FLM</v>
          </cell>
        </row>
        <row r="172">
          <cell r="A172">
            <v>8828120004</v>
          </cell>
          <cell r="B172">
            <v>171</v>
          </cell>
          <cell r="C172" t="str">
            <v>Alquiler de Andamio Certificado. Incluye transporte e instalación en sitio x Día</v>
          </cell>
          <cell r="D172" t="str">
            <v>LOCATIVO</v>
          </cell>
          <cell r="E172" t="str">
            <v>DIA</v>
          </cell>
          <cell r="F172">
            <v>401336</v>
          </cell>
          <cell r="G172" t="str">
            <v>LPU FLM</v>
          </cell>
        </row>
        <row r="173">
          <cell r="A173">
            <v>8828120014</v>
          </cell>
          <cell r="B173">
            <v>172</v>
          </cell>
          <cell r="C173" t="str">
            <v>Alquiler Carro Canasta x Hora. Alcance Boom 21m., todo incluido. - Exclusivamente a solicitud de PTC, por requerimiento de Proveedores de Infraestructura, Terceros y/o Autoridad Competente</v>
          </cell>
          <cell r="D173" t="str">
            <v>LOCATIVO</v>
          </cell>
          <cell r="E173" t="str">
            <v>H</v>
          </cell>
          <cell r="F173">
            <v>113964</v>
          </cell>
          <cell r="G173" t="str">
            <v>LPU FLM</v>
          </cell>
        </row>
        <row r="174">
          <cell r="A174">
            <v>8828120024</v>
          </cell>
          <cell r="B174">
            <v>173</v>
          </cell>
          <cell r="C174" t="str">
            <v>Alquiler Carro Canasta x Día. Alcance Boom 21m., todo incluido. - Exclusivamente a solicitud de PTC, por requerimiento de Proveedores de Infraestructura, Terceros y/o Autoridad Competente</v>
          </cell>
          <cell r="D174" t="str">
            <v>LOCATIVO</v>
          </cell>
          <cell r="E174" t="str">
            <v>DIA</v>
          </cell>
          <cell r="F174">
            <v>911712</v>
          </cell>
          <cell r="G174" t="str">
            <v>LPU FLM</v>
          </cell>
        </row>
        <row r="175">
          <cell r="A175">
            <v>8828120037</v>
          </cell>
          <cell r="B175">
            <v>174</v>
          </cell>
          <cell r="C175" t="str">
            <v>Suministro candados intemperie marca YALE o MEDECO</v>
          </cell>
          <cell r="D175" t="str">
            <v>LOCATIVO</v>
          </cell>
          <cell r="E175" t="str">
            <v>U</v>
          </cell>
          <cell r="F175">
            <v>47703</v>
          </cell>
          <cell r="G175" t="str">
            <v>LPU FLM</v>
          </cell>
        </row>
        <row r="176">
          <cell r="A176">
            <v>8828120046</v>
          </cell>
          <cell r="B176">
            <v>175</v>
          </cell>
          <cell r="C176" t="str">
            <v>Suministro e instalación cerraduras marca YALE o MEDECO</v>
          </cell>
          <cell r="D176" t="str">
            <v>LOCATIVO</v>
          </cell>
          <cell r="E176" t="str">
            <v>U</v>
          </cell>
          <cell r="F176">
            <v>75140</v>
          </cell>
          <cell r="G176" t="str">
            <v>LPU FLM</v>
          </cell>
        </row>
        <row r="177">
          <cell r="A177">
            <v>8828120055</v>
          </cell>
          <cell r="B177">
            <v>176</v>
          </cell>
          <cell r="C177" t="str">
            <v>Servicio Reparación cerraduras</v>
          </cell>
          <cell r="D177" t="str">
            <v>LOCATIVO</v>
          </cell>
          <cell r="E177" t="str">
            <v>U</v>
          </cell>
          <cell r="F177">
            <v>79560</v>
          </cell>
          <cell r="G177" t="str">
            <v>LPU FLM</v>
          </cell>
        </row>
        <row r="178">
          <cell r="A178">
            <v>8828120064</v>
          </cell>
          <cell r="B178">
            <v>177</v>
          </cell>
          <cell r="C178" t="str">
            <v>Suministro y servicio de Copia de llaves de acceso (bajo autorización de WOM) - 2 juegos</v>
          </cell>
          <cell r="D178" t="str">
            <v>LOCATIVO</v>
          </cell>
          <cell r="E178" t="str">
            <v>U</v>
          </cell>
          <cell r="F178">
            <v>42432</v>
          </cell>
          <cell r="G178" t="str">
            <v>LPU FLM</v>
          </cell>
        </row>
        <row r="179">
          <cell r="A179">
            <v>8828120073</v>
          </cell>
          <cell r="B179">
            <v>178</v>
          </cell>
          <cell r="C179" t="str">
            <v>Desmalezamiento (incluye poda y fumigación)</v>
          </cell>
          <cell r="D179" t="str">
            <v>LOCATIVO</v>
          </cell>
          <cell r="E179" t="str">
            <v>Sitio</v>
          </cell>
          <cell r="F179">
            <v>88400</v>
          </cell>
          <cell r="G179" t="str">
            <v>LPU FLM</v>
          </cell>
        </row>
        <row r="180">
          <cell r="A180">
            <v>8828120081</v>
          </cell>
          <cell r="B180">
            <v>179</v>
          </cell>
          <cell r="C180" t="str">
            <v>Limpieza, Desmonte/Despalme de Terreno (Apertura de Acceso/Despeje en EB).</v>
          </cell>
          <cell r="D180" t="str">
            <v>LOCATIVO</v>
          </cell>
          <cell r="E180" t="str">
            <v>MTS2</v>
          </cell>
          <cell r="F180">
            <v>10200</v>
          </cell>
          <cell r="G180" t="str">
            <v>LPU FLM</v>
          </cell>
        </row>
        <row r="181">
          <cell r="A181">
            <v>8828120088</v>
          </cell>
          <cell r="B181">
            <v>180</v>
          </cell>
          <cell r="C181" t="str">
            <v>Limpieza de Estación Base y Disposición de Residuos.</v>
          </cell>
          <cell r="D181" t="str">
            <v>LOCATIVO</v>
          </cell>
          <cell r="E181" t="str">
            <v>U</v>
          </cell>
          <cell r="F181">
            <v>167960</v>
          </cell>
          <cell r="G181" t="str">
            <v>LPU FLM</v>
          </cell>
        </row>
        <row r="182">
          <cell r="A182">
            <v>8828119448</v>
          </cell>
          <cell r="B182">
            <v>181</v>
          </cell>
          <cell r="C182" t="str">
            <v>Limpieza Final de Obra. Retiro y Disposición de Escombros.</v>
          </cell>
          <cell r="D182" t="str">
            <v>LOCATIVO</v>
          </cell>
          <cell r="E182" t="str">
            <v>MTS3</v>
          </cell>
          <cell r="F182">
            <v>19448</v>
          </cell>
          <cell r="G182" t="str">
            <v>LPU FLM</v>
          </cell>
        </row>
        <row r="183">
          <cell r="A183">
            <v>8828119458</v>
          </cell>
          <cell r="B183">
            <v>182</v>
          </cell>
          <cell r="C183" t="str">
            <v>Control de Aves en Alturas. Incluye Transporte de Materiales y Mano de Obra.</v>
          </cell>
          <cell r="D183" t="str">
            <v>LOCATIVO</v>
          </cell>
          <cell r="E183" t="str">
            <v>Sitio</v>
          </cell>
          <cell r="F183">
            <v>270725</v>
          </cell>
          <cell r="G183" t="str">
            <v>LPU FLM</v>
          </cell>
        </row>
        <row r="184">
          <cell r="A184">
            <v>8828119467</v>
          </cell>
          <cell r="B184">
            <v>183</v>
          </cell>
          <cell r="C184" t="str">
            <v>Desinsectación en Alturas por Colmena. Incluye Transporte de Materiales y Mano de Obra.</v>
          </cell>
          <cell r="D184" t="str">
            <v>LOCATIVO</v>
          </cell>
          <cell r="E184" t="str">
            <v>U</v>
          </cell>
          <cell r="F184">
            <v>247000</v>
          </cell>
          <cell r="G184" t="str">
            <v>LPU FLM</v>
          </cell>
        </row>
        <row r="185">
          <cell r="A185">
            <v>8828119475</v>
          </cell>
          <cell r="B185">
            <v>184</v>
          </cell>
          <cell r="C185" t="str">
            <v>Desinsectación/Control de Plagas por Sitio Radio Base o Central. Incluye Transporte de Materiales y Mano de Obra.</v>
          </cell>
          <cell r="D185" t="str">
            <v>LOCATIVO</v>
          </cell>
          <cell r="E185" t="str">
            <v>U</v>
          </cell>
          <cell r="F185">
            <v>247520</v>
          </cell>
          <cell r="G185" t="str">
            <v>LPU FLM</v>
          </cell>
        </row>
        <row r="186">
          <cell r="A186">
            <v>8828119486</v>
          </cell>
          <cell r="B186">
            <v>185</v>
          </cell>
          <cell r="C186" t="str">
            <v>Servicios de acompañamiento en zonas de condiciones especiales de acceso - Grupos Étnicos, Territorios Indigenas, Minorías Culturates, etc.</v>
          </cell>
          <cell r="D186" t="str">
            <v>LOCATIVO</v>
          </cell>
          <cell r="E186" t="str">
            <v>U</v>
          </cell>
          <cell r="F186">
            <v>228956</v>
          </cell>
          <cell r="G186" t="str">
            <v>LPU FLM</v>
          </cell>
        </row>
        <row r="187">
          <cell r="A187">
            <v>8828119495</v>
          </cell>
          <cell r="B187">
            <v>186</v>
          </cell>
          <cell r="C187" t="str">
            <v>Desmonte y traslado de hardware o insumo para uso en otra Regional</v>
          </cell>
          <cell r="D187" t="str">
            <v>LOCATIVO</v>
          </cell>
          <cell r="E187" t="str">
            <v>U</v>
          </cell>
          <cell r="F187">
            <v>217065</v>
          </cell>
          <cell r="G187" t="str">
            <v>LPU FLM</v>
          </cell>
        </row>
        <row r="188">
          <cell r="A188">
            <v>8828120099</v>
          </cell>
          <cell r="B188">
            <v>187</v>
          </cell>
          <cell r="C188" t="str">
            <v>Atención de Emergencia y/o Mantenimiento Correctivo Planeado en Estación Base no Asignada dentro de la (s) Regional (es) Asignada (s) - ZONA 1</v>
          </cell>
          <cell r="D188" t="str">
            <v>LOCATIVO</v>
          </cell>
          <cell r="E188" t="str">
            <v>U</v>
          </cell>
          <cell r="F188">
            <v>174664</v>
          </cell>
          <cell r="G188" t="str">
            <v>LPU FLM</v>
          </cell>
        </row>
        <row r="189">
          <cell r="A189">
            <v>8828119505</v>
          </cell>
          <cell r="B189">
            <v>188</v>
          </cell>
          <cell r="C189" t="str">
            <v>Atención de Emergencia y/o Mantenimiento Correctivo Planeado en Estación Base no Asignada dentro de la (s) Regional (es) Asignada (s) - ZONA 2</v>
          </cell>
          <cell r="D189" t="str">
            <v>LOCATIVO</v>
          </cell>
          <cell r="E189" t="str">
            <v>U</v>
          </cell>
          <cell r="F189">
            <v>261996</v>
          </cell>
          <cell r="G189" t="str">
            <v>LPU FLM</v>
          </cell>
        </row>
        <row r="190">
          <cell r="A190">
            <v>8828119517</v>
          </cell>
          <cell r="B190">
            <v>189</v>
          </cell>
          <cell r="C190" t="str">
            <v>Atención de Emergencia y/o Mantenimiento Correctivo Planeado en Estación Base no Asignada dentro de la (s) Regional (es) Asignada (s) - ZONA SATELITAL</v>
          </cell>
          <cell r="D190" t="str">
            <v>LOCATIVO</v>
          </cell>
          <cell r="E190" t="str">
            <v>U</v>
          </cell>
          <cell r="F190">
            <v>283319</v>
          </cell>
          <cell r="G190" t="str">
            <v>LPU FLM</v>
          </cell>
        </row>
        <row r="191">
          <cell r="A191">
            <v>8828119531</v>
          </cell>
          <cell r="B191">
            <v>190</v>
          </cell>
          <cell r="C191" t="str">
            <v>Auditoría de Estación Base (Incluye todos los sistemas de la Estación Base), incluye informe detallado de la actividad.</v>
          </cell>
          <cell r="D191" t="str">
            <v>LOCATIVO</v>
          </cell>
          <cell r="E191" t="str">
            <v>U</v>
          </cell>
          <cell r="F191">
            <v>200179</v>
          </cell>
          <cell r="G191" t="str">
            <v>LPU FLM</v>
          </cell>
        </row>
        <row r="192">
          <cell r="A192">
            <v>8828119540</v>
          </cell>
          <cell r="B192">
            <v>191</v>
          </cell>
          <cell r="C192" t="str">
            <v>Poda de Árbol de hasta 5,00 metros de Altura.</v>
          </cell>
          <cell r="D192" t="str">
            <v>LOCATIVO</v>
          </cell>
          <cell r="E192" t="str">
            <v>U</v>
          </cell>
          <cell r="F192">
            <v>123760</v>
          </cell>
          <cell r="G192" t="str">
            <v>LPU FLM</v>
          </cell>
        </row>
        <row r="193">
          <cell r="A193">
            <v>8828119552</v>
          </cell>
          <cell r="B193">
            <v>192</v>
          </cell>
          <cell r="C193" t="str">
            <v>Poda de Árbol Mayor a 5,00 metros de Altura.</v>
          </cell>
          <cell r="D193" t="str">
            <v>LOCATIVO</v>
          </cell>
          <cell r="E193" t="str">
            <v>U</v>
          </cell>
          <cell r="F193">
            <v>189176</v>
          </cell>
          <cell r="G193" t="str">
            <v>LPU FLM</v>
          </cell>
        </row>
        <row r="194">
          <cell r="A194">
            <v>8828119562</v>
          </cell>
          <cell r="B194">
            <v>193</v>
          </cell>
          <cell r="C194" t="str">
            <v>Transporte Fluvial Equipos y Materiales (De 0 a 10km).</v>
          </cell>
          <cell r="D194" t="str">
            <v>LOCATIVO</v>
          </cell>
          <cell r="E194" t="str">
            <v>U</v>
          </cell>
          <cell r="F194">
            <v>142324</v>
          </cell>
          <cell r="G194" t="str">
            <v>LPU FLM</v>
          </cell>
        </row>
        <row r="195">
          <cell r="A195">
            <v>8828119572</v>
          </cell>
          <cell r="B195">
            <v>194</v>
          </cell>
          <cell r="C195" t="str">
            <v>Transporte Fluvial Equipos y Materiales (De 10 a 20km).</v>
          </cell>
          <cell r="D195" t="str">
            <v>LOCATIVO</v>
          </cell>
          <cell r="E195" t="str">
            <v>U</v>
          </cell>
          <cell r="F195">
            <v>190060</v>
          </cell>
          <cell r="G195" t="str">
            <v>LPU FLM</v>
          </cell>
        </row>
        <row r="196">
          <cell r="A196">
            <v>8828119580</v>
          </cell>
          <cell r="B196">
            <v>195</v>
          </cell>
          <cell r="C196" t="str">
            <v>Transporte Fluvial Equipos y Materiales (Mayor a 20km).</v>
          </cell>
          <cell r="D196" t="str">
            <v>LOCATIVO</v>
          </cell>
          <cell r="E196" t="str">
            <v>U</v>
          </cell>
          <cell r="F196">
            <v>463216</v>
          </cell>
          <cell r="G196" t="str">
            <v>LPU FLM</v>
          </cell>
        </row>
        <row r="197">
          <cell r="A197">
            <v>8828119590</v>
          </cell>
          <cell r="B197">
            <v>196</v>
          </cell>
          <cell r="C197" t="str">
            <v>Transporte de Equipos y Materiales, Carga y Descarga, desde y hacía Bodega Regional. Mas de 1 Tonelada. ZONA 1 (Resolución 5078 de 2016)</v>
          </cell>
          <cell r="D197" t="str">
            <v>LOCATIVO</v>
          </cell>
          <cell r="E197" t="str">
            <v>U</v>
          </cell>
          <cell r="F197">
            <v>389844</v>
          </cell>
          <cell r="G197" t="str">
            <v>LPU FLM</v>
          </cell>
        </row>
        <row r="198">
          <cell r="A198">
            <v>8828119599</v>
          </cell>
          <cell r="B198">
            <v>197</v>
          </cell>
          <cell r="C198" t="str">
            <v>Transporte de Equipos y Materiales, Carga y Descarga, desde y hacía Bodega Regional. Mas de 1 Tonelada. ZONA 2 (Resolución 5078 de 2016)</v>
          </cell>
          <cell r="D198" t="str">
            <v>LOCATIVO</v>
          </cell>
          <cell r="E198" t="str">
            <v>U</v>
          </cell>
          <cell r="F198">
            <v>680680</v>
          </cell>
          <cell r="G198" t="str">
            <v>LPU FLM</v>
          </cell>
        </row>
        <row r="199">
          <cell r="A199">
            <v>8828119609</v>
          </cell>
          <cell r="B199">
            <v>198</v>
          </cell>
          <cell r="C199" t="str">
            <v>Transporte de Equipos y Materiales, Carga y Descarga, desde y hacía Bodega Regional. Mas de 1 Tonelada. ZONA Satelital (Resolución 5078 de 2016)</v>
          </cell>
          <cell r="D199" t="str">
            <v>LOCATIVO</v>
          </cell>
          <cell r="E199" t="str">
            <v>U</v>
          </cell>
          <cell r="F199">
            <v>1105000</v>
          </cell>
          <cell r="G199" t="str">
            <v>LPU FLM</v>
          </cell>
        </row>
        <row r="200">
          <cell r="A200">
            <v>8828119616</v>
          </cell>
          <cell r="B200">
            <v>199</v>
          </cell>
          <cell r="C200" t="str">
            <v>Suministro e instalación de polisombra</v>
          </cell>
          <cell r="D200" t="str">
            <v>LOCATIVO</v>
          </cell>
          <cell r="E200" t="str">
            <v>MTS2</v>
          </cell>
          <cell r="F200">
            <v>16796</v>
          </cell>
          <cell r="G200" t="str">
            <v>LPU FLM</v>
          </cell>
        </row>
        <row r="201">
          <cell r="A201">
            <v>8828119627</v>
          </cell>
          <cell r="B201">
            <v>200</v>
          </cell>
          <cell r="C201" t="str">
            <v>Instalación de Radio Enlace (Dos extremos) en configuración 1 + 0 o 1 + 1 mayor de 0,3m y hasta 1,2m de diametro - Incluye transporte a sitio, pruebas e integración a gestión</v>
          </cell>
          <cell r="D201" t="str">
            <v>TRANSMISIÓN</v>
          </cell>
          <cell r="E201" t="str">
            <v>Por Enlace</v>
          </cell>
          <cell r="F201">
            <v>1502800</v>
          </cell>
          <cell r="G201" t="str">
            <v>LPU FLM</v>
          </cell>
        </row>
        <row r="202">
          <cell r="A202">
            <v>8828119636</v>
          </cell>
          <cell r="B202">
            <v>201</v>
          </cell>
          <cell r="C202" t="str">
            <v>Instalación de Radio Enlace (Dos extremos) en configuración 1 + 0 o 1 + 1 mayor de 1,2m y hasta 1,8m de diametro - Incluye transporte a sitio, pruebas e integración a gestión</v>
          </cell>
          <cell r="D202" t="str">
            <v>TRANSMISIÓN</v>
          </cell>
          <cell r="E202" t="str">
            <v>Por Enlace</v>
          </cell>
          <cell r="F202">
            <v>3174699</v>
          </cell>
          <cell r="G202" t="str">
            <v>LPU FLM</v>
          </cell>
        </row>
        <row r="203">
          <cell r="A203">
            <v>8828119643</v>
          </cell>
          <cell r="B203">
            <v>202</v>
          </cell>
          <cell r="C203" t="str">
            <v>Instalación de Radio Enlace (Dos extremos) en configuración 1 + 0 o 1 + 1 mayor de 1,8m y hasta 2,4m de diametro - Incluye transporte a sitio, pruebas e integración a gestión</v>
          </cell>
          <cell r="D203" t="str">
            <v>TRANSMISIÓN</v>
          </cell>
          <cell r="E203" t="str">
            <v>Por Enlace</v>
          </cell>
          <cell r="F203">
            <v>3717470</v>
          </cell>
          <cell r="G203" t="str">
            <v>LPU FLM</v>
          </cell>
        </row>
        <row r="204">
          <cell r="A204">
            <v>8828119651</v>
          </cell>
          <cell r="B204">
            <v>203</v>
          </cell>
          <cell r="C204" t="str">
            <v>Instalación de Radio Enlace (Dos extremos) en configuración 1 + 0 o 1 + 1 de 3m de diametro en adenlante - Incluye transporte a sitio, pruebas e integración a gestión</v>
          </cell>
          <cell r="D204" t="str">
            <v>TRANSMISIÓN</v>
          </cell>
          <cell r="E204" t="str">
            <v>Por Enlace</v>
          </cell>
          <cell r="F204">
            <v>4306282</v>
          </cell>
          <cell r="G204" t="str">
            <v>LPU FLM</v>
          </cell>
        </row>
        <row r="205">
          <cell r="A205">
            <v>8828119660</v>
          </cell>
          <cell r="B205">
            <v>204</v>
          </cell>
          <cell r="C205" t="str">
            <v>Instalación de Radio Enlace (Dos extremos) en configuración 1 + 1 con Diversidad de Espacio con antenas de 1,8m hasta 2,4m de diametro - Incluye transporte a sitio, pruebas e integración a gestió</v>
          </cell>
          <cell r="D205" t="str">
            <v>TRANSMISIÓN</v>
          </cell>
          <cell r="E205" t="str">
            <v>Por Enlace</v>
          </cell>
          <cell r="F205">
            <v>4024699</v>
          </cell>
          <cell r="G205" t="str">
            <v>LPU FLM</v>
          </cell>
        </row>
        <row r="206">
          <cell r="A206">
            <v>8828119798</v>
          </cell>
          <cell r="B206">
            <v>205</v>
          </cell>
          <cell r="C206" t="str">
            <v>Traslado entre Estaciones Base de Radio Enlace Microondas (Un Extremo) en configuración 1+0 o 1+1 con Antena de 0,3m y hasta de 0,9m de diámetro.</v>
          </cell>
          <cell r="D206" t="str">
            <v>TRANSMISIÓN</v>
          </cell>
          <cell r="E206" t="str">
            <v>Por Extremo</v>
          </cell>
          <cell r="F206">
            <v>338628</v>
          </cell>
          <cell r="G206" t="str">
            <v>LPU FLM</v>
          </cell>
        </row>
        <row r="207">
          <cell r="A207">
            <v>8828119809</v>
          </cell>
          <cell r="B207">
            <v>206</v>
          </cell>
          <cell r="C207" t="str">
            <v>Traslado entre Estaciones Base de Radio Enlace (Un Extremo) en configuración 1 + 0 o 1 + 1 con Antena mayor de 1,2m y hasta 1,8m de diámetro.</v>
          </cell>
          <cell r="D207" t="str">
            <v>TRANSMISIÓN</v>
          </cell>
          <cell r="E207" t="str">
            <v>Por Extremo</v>
          </cell>
          <cell r="F207">
            <v>486119</v>
          </cell>
          <cell r="G207" t="str">
            <v>LPU FLM</v>
          </cell>
        </row>
        <row r="208">
          <cell r="A208">
            <v>8828119818</v>
          </cell>
          <cell r="B208">
            <v>207</v>
          </cell>
          <cell r="C208" t="str">
            <v>Traslado entre Estaciones Base de Radio Enlace (Un Extremo) en configuración 1 + 0 o 1 + 1 con Antena mayor de 1,8m y hasta 2,4m de diámetro.</v>
          </cell>
          <cell r="D208" t="str">
            <v>TRANSMISIÓN</v>
          </cell>
          <cell r="E208" t="str">
            <v>Por Extremo</v>
          </cell>
          <cell r="F208">
            <v>575668</v>
          </cell>
          <cell r="G208" t="str">
            <v>LPU FLM</v>
          </cell>
        </row>
        <row r="209">
          <cell r="A209">
            <v>8828119826</v>
          </cell>
          <cell r="B209">
            <v>208</v>
          </cell>
          <cell r="C209" t="str">
            <v>Traslado entre Estaciones Base de Radio Enlace (Un Extremo) en configuración 1 + 0 o 1 + 1 con Antena de 3m de diámetro en adelante.</v>
          </cell>
          <cell r="D209" t="str">
            <v>TRANSMISIÓN</v>
          </cell>
          <cell r="E209" t="str">
            <v>Por Extremo</v>
          </cell>
          <cell r="F209">
            <v>703593</v>
          </cell>
          <cell r="G209" t="str">
            <v>LPU FLM</v>
          </cell>
        </row>
        <row r="210">
          <cell r="A210">
            <v>8828119833</v>
          </cell>
          <cell r="B210">
            <v>209</v>
          </cell>
          <cell r="C210" t="str">
            <v>Traslado entre Estaciones Base de Radio Enlace (Un Extremo) en configuración 1 + 1 con Diversidad de Espacio con antenas de 1,8m hasta 2,4m de diámetro.</v>
          </cell>
          <cell r="D210" t="str">
            <v>TRANSMISIÓN</v>
          </cell>
          <cell r="E210" t="str">
            <v>Por Extremo</v>
          </cell>
          <cell r="F210">
            <v>703439</v>
          </cell>
          <cell r="G210" t="str">
            <v>LPU FLM</v>
          </cell>
        </row>
        <row r="211">
          <cell r="A211">
            <v>8828119841</v>
          </cell>
          <cell r="B211">
            <v>210</v>
          </cell>
          <cell r="C211" t="str">
            <v>Desinstalación de Radio Enlace Microondas (Dos extremos) en configuración 1+0 o 1+1 con Antena de 0,3m y hasta de 0,9m de diámetro. Incluye traslado de equipos a Bodega Regional.</v>
          </cell>
          <cell r="D211" t="str">
            <v>TRANSMISIÓN</v>
          </cell>
          <cell r="E211" t="str">
            <v>Por Enlace</v>
          </cell>
          <cell r="F211">
            <v>840060</v>
          </cell>
          <cell r="G211" t="str">
            <v>LPU FLM</v>
          </cell>
        </row>
        <row r="212">
          <cell r="A212">
            <v>8828119849</v>
          </cell>
          <cell r="B212">
            <v>211</v>
          </cell>
          <cell r="C212" t="str">
            <v>Desinstalación de Radio Enlace (Dos extremos) en configuración 1 + 0 o 1 + 1 con Antena mayor de 1,2m y hasta 1,8m de diámetro. Incluye traslado de equipos a Bodega Regional.</v>
          </cell>
          <cell r="D212" t="str">
            <v>TRANSMISIÓN</v>
          </cell>
          <cell r="E212" t="str">
            <v>Por Enlace</v>
          </cell>
          <cell r="F212">
            <v>1193400</v>
          </cell>
          <cell r="G212" t="str">
            <v>LPU FLM</v>
          </cell>
        </row>
        <row r="213">
          <cell r="A213">
            <v>8828119864</v>
          </cell>
          <cell r="B213">
            <v>212</v>
          </cell>
          <cell r="C213" t="str">
            <v>Desinstalación de Radio Enlace (Dos extremos) en configuración 1 + 0 o 1 + 1 con Antena mayor de 1,8m y hasta 2,4m de diámetro. Incluye traslado de equipos a Bodega Regional.</v>
          </cell>
          <cell r="D213" t="str">
            <v>TRANSMISIÓN</v>
          </cell>
          <cell r="E213" t="str">
            <v>Por Enlace</v>
          </cell>
          <cell r="F213">
            <v>1482000</v>
          </cell>
          <cell r="G213" t="str">
            <v>LPU FLM</v>
          </cell>
        </row>
        <row r="214">
          <cell r="A214">
            <v>8828119873</v>
          </cell>
          <cell r="B214">
            <v>213</v>
          </cell>
          <cell r="C214" t="str">
            <v>Desinstalación de Radio Enlace (Dos extremos) en configuración 1 + 0 o 1 + 1 con Antena de 3m de diámetro en adelante. Incluye traslado de equipos a Bodega Regional.</v>
          </cell>
          <cell r="D214" t="str">
            <v>TRANSMISIÓN</v>
          </cell>
          <cell r="E214" t="str">
            <v>Por Enlace</v>
          </cell>
          <cell r="F214">
            <v>1716000</v>
          </cell>
          <cell r="G214" t="str">
            <v>LPU FLM</v>
          </cell>
        </row>
        <row r="215">
          <cell r="A215">
            <v>8828119881</v>
          </cell>
          <cell r="B215">
            <v>214</v>
          </cell>
          <cell r="C215" t="str">
            <v>Desinstalación de Radio Enlace (Dos extremos) en configuración 1 + 1 con Diversidad de Espacio con antenas de 1,8m hasta 2,4m de diámetro. Incluye traslado de equipos a Bodega Regional.</v>
          </cell>
          <cell r="D215" t="str">
            <v>TRANSMISIÓN</v>
          </cell>
          <cell r="E215" t="str">
            <v>Por Enlace</v>
          </cell>
          <cell r="F215">
            <v>2033200</v>
          </cell>
          <cell r="G215" t="str">
            <v>LPU FLM</v>
          </cell>
        </row>
        <row r="216">
          <cell r="A216">
            <v>8828119891</v>
          </cell>
          <cell r="B216">
            <v>215</v>
          </cell>
          <cell r="C216" t="str">
            <v>Reubicación de 01 RTN desde gabinete existente hacia nuevo gabinete, incluye conexión de alimentación en ambos planos y etiquetado</v>
          </cell>
          <cell r="D216" t="str">
            <v>TRANSMISIÓN</v>
          </cell>
          <cell r="E216" t="str">
            <v>SITIO</v>
          </cell>
          <cell r="F216">
            <v>225301</v>
          </cell>
          <cell r="G216" t="str">
            <v>LPU FLM</v>
          </cell>
        </row>
        <row r="217">
          <cell r="A217">
            <v>8828119899</v>
          </cell>
          <cell r="B217">
            <v>216</v>
          </cell>
          <cell r="C217" t="str">
            <v>Reubicación de 01 SW o concentrador desde gabinete existente hacia nuevo gabinete, incluye conexión de alimentación en ambso planos y etiquetado</v>
          </cell>
          <cell r="D217" t="str">
            <v>TRANSMISIÓN</v>
          </cell>
          <cell r="E217" t="str">
            <v>SITIO</v>
          </cell>
          <cell r="F217">
            <v>211427</v>
          </cell>
          <cell r="G217" t="str">
            <v>LPU FLM</v>
          </cell>
        </row>
        <row r="218">
          <cell r="A218">
            <v>8828119909</v>
          </cell>
          <cell r="B218">
            <v>217</v>
          </cell>
          <cell r="C218" t="str">
            <v>Cambio de antenas 0.3 a 0.9 m de diámetros (Incluye cableado) - Por condiciones de Diseño. Incluye transporte a sito y retorno a bodega de equipo desmontado.</v>
          </cell>
          <cell r="D218" t="str">
            <v>TRANSMISIÓN</v>
          </cell>
          <cell r="E218" t="str">
            <v>U</v>
          </cell>
          <cell r="F218">
            <v>166190</v>
          </cell>
          <cell r="G218" t="str">
            <v>LPU FLM</v>
          </cell>
        </row>
        <row r="219">
          <cell r="A219">
            <v>8828119917</v>
          </cell>
          <cell r="B219">
            <v>218</v>
          </cell>
          <cell r="C219" t="str">
            <v>Cambio de antenas 1.2 a 2.4 m de diámetros (Incluye cableado) - Por condiciones de Diseño. Incluye transporte a sito y retorno a bodega de equipo desmontado.</v>
          </cell>
          <cell r="D219" t="str">
            <v>TRANSMISIÓN</v>
          </cell>
          <cell r="E219" t="str">
            <v>U</v>
          </cell>
          <cell r="F219">
            <v>265905</v>
          </cell>
          <cell r="G219" t="str">
            <v>LPU FLM</v>
          </cell>
        </row>
        <row r="220">
          <cell r="A220">
            <v>8828119927</v>
          </cell>
          <cell r="B220">
            <v>219</v>
          </cell>
          <cell r="C220" t="str">
            <v>Cambio de antenas de 3m de diámetro en adelante (Incluye cableado) - Por condiciones de Diseño. Incluye transporte a sito y retorno a bodega de equipo desmontado.</v>
          </cell>
          <cell r="D220" t="str">
            <v>TRANSMISIÓN</v>
          </cell>
          <cell r="E220" t="str">
            <v>U</v>
          </cell>
          <cell r="F220">
            <v>544544</v>
          </cell>
          <cell r="G220" t="str">
            <v>LPU FLM</v>
          </cell>
        </row>
        <row r="221">
          <cell r="A221">
            <v>8828119937</v>
          </cell>
          <cell r="B221">
            <v>220</v>
          </cell>
          <cell r="C221" t="str">
            <v>Cambio de ODUs enlace MW - Por condiciones de Diseño.</v>
          </cell>
          <cell r="D221" t="str">
            <v>TRANSMISIÓN</v>
          </cell>
          <cell r="E221" t="str">
            <v>U</v>
          </cell>
          <cell r="F221">
            <v>117577</v>
          </cell>
          <cell r="G221" t="str">
            <v>LPU FLM</v>
          </cell>
        </row>
        <row r="222">
          <cell r="A222">
            <v>8828119947</v>
          </cell>
          <cell r="B222">
            <v>221</v>
          </cell>
          <cell r="C222" t="str">
            <v>Reubicación RTN - Traslado de equipos en piso</v>
          </cell>
          <cell r="D222" t="str">
            <v>TRANSMISIÓN</v>
          </cell>
          <cell r="E222" t="str">
            <v>U</v>
          </cell>
          <cell r="F222">
            <v>194579</v>
          </cell>
          <cell r="G222" t="str">
            <v>LPU FLM</v>
          </cell>
        </row>
        <row r="223">
          <cell r="A223">
            <v>8828119956</v>
          </cell>
          <cell r="B223">
            <v>222</v>
          </cell>
          <cell r="C223" t="str">
            <v>Suministro e Instalacion de cable rg8</v>
          </cell>
          <cell r="D223" t="str">
            <v>TRANSMISIÓN</v>
          </cell>
          <cell r="E223" t="str">
            <v>ML</v>
          </cell>
          <cell r="F223">
            <v>12325</v>
          </cell>
          <cell r="G223" t="str">
            <v>LPU FLM</v>
          </cell>
        </row>
        <row r="224">
          <cell r="A224">
            <v>8828119963</v>
          </cell>
          <cell r="B224">
            <v>223</v>
          </cell>
          <cell r="C224" t="str">
            <v>Suministro e Instalacion de conector para cable rg8</v>
          </cell>
          <cell r="D224" t="str">
            <v>TRANSMISIÓN</v>
          </cell>
          <cell r="E224" t="str">
            <v>U</v>
          </cell>
          <cell r="F224">
            <v>10792</v>
          </cell>
          <cell r="G224" t="str">
            <v>LPU FLM</v>
          </cell>
        </row>
        <row r="225">
          <cell r="A225">
            <v>8828119972</v>
          </cell>
          <cell r="B225">
            <v>224</v>
          </cell>
          <cell r="C225" t="str">
            <v>Suministro e Instalación de Side Strut para enlaces de Microondas Antena de 0,3m y hasta de 0,9m de diámetro.</v>
          </cell>
          <cell r="D225" t="str">
            <v>TRANSMISIÓN</v>
          </cell>
          <cell r="E225" t="str">
            <v>U</v>
          </cell>
          <cell r="F225">
            <v>195500</v>
          </cell>
          <cell r="G225" t="str">
            <v>LPU FLM</v>
          </cell>
        </row>
        <row r="226">
          <cell r="A226">
            <v>8828119981</v>
          </cell>
          <cell r="B226">
            <v>225</v>
          </cell>
          <cell r="C226" t="str">
            <v>Suministro e Instalación de Side Strut para enlaces de Microondas Antena de 1,2m y hasta 1,8m de diámetro</v>
          </cell>
          <cell r="D226" t="str">
            <v>TRANSMISIÓN</v>
          </cell>
          <cell r="E226" t="str">
            <v>U</v>
          </cell>
          <cell r="F226">
            <v>459000</v>
          </cell>
          <cell r="G226" t="str">
            <v>LPU FLM</v>
          </cell>
        </row>
        <row r="227">
          <cell r="A227">
            <v>8828119989</v>
          </cell>
          <cell r="B227">
            <v>226</v>
          </cell>
          <cell r="C227" t="str">
            <v>Suministro e Instalación de Side Strut para enlaces de Microondas Antena de 1,8m y hasta 2,4m de diámetro</v>
          </cell>
          <cell r="D227" t="str">
            <v>TRANSMISIÓN</v>
          </cell>
          <cell r="E227" t="str">
            <v>U</v>
          </cell>
          <cell r="F227">
            <v>459000</v>
          </cell>
          <cell r="G227" t="str">
            <v>LPU FLM</v>
          </cell>
        </row>
        <row r="228">
          <cell r="A228">
            <v>8828119996</v>
          </cell>
          <cell r="B228">
            <v>227</v>
          </cell>
          <cell r="C228" t="str">
            <v>Suministro e Instalación de Side Strut para enlaces de Microondas Antena de 3m de diámetro en adelante.</v>
          </cell>
          <cell r="D228" t="str">
            <v>TRANSMISIÓN</v>
          </cell>
          <cell r="E228" t="str">
            <v>U</v>
          </cell>
          <cell r="F228">
            <v>595000</v>
          </cell>
          <cell r="G228" t="str">
            <v>LPU FLM</v>
          </cell>
        </row>
        <row r="229">
          <cell r="A229">
            <v>8828120005</v>
          </cell>
          <cell r="B229">
            <v>228</v>
          </cell>
          <cell r="C229" t="str">
            <v>Suministro e Instalación de PoE para enlaces de Microondas Banda Libre</v>
          </cell>
          <cell r="D229" t="str">
            <v>TRANSMISIÓN</v>
          </cell>
          <cell r="E229" t="str">
            <v>U</v>
          </cell>
          <cell r="F229">
            <v>97289</v>
          </cell>
          <cell r="G229" t="str">
            <v>LPU FLM</v>
          </cell>
        </row>
        <row r="230">
          <cell r="A230">
            <v>8828120015</v>
          </cell>
          <cell r="B230">
            <v>229</v>
          </cell>
          <cell r="C230" t="str">
            <v>Suministro e Instalación de SFP de 1,25 G</v>
          </cell>
          <cell r="D230" t="str">
            <v>TRANSMISIÓN</v>
          </cell>
          <cell r="E230" t="str">
            <v>U</v>
          </cell>
          <cell r="F230">
            <v>95945</v>
          </cell>
          <cell r="G230" t="str">
            <v>LPU FLM</v>
          </cell>
        </row>
        <row r="231">
          <cell r="A231">
            <v>8828120025</v>
          </cell>
          <cell r="B231">
            <v>230</v>
          </cell>
          <cell r="C231" t="str">
            <v>Suministro e Instalación de SFP de 10 G</v>
          </cell>
          <cell r="D231" t="str">
            <v>TRANSMISIÓN</v>
          </cell>
          <cell r="E231" t="str">
            <v>U</v>
          </cell>
          <cell r="F231">
            <v>95945</v>
          </cell>
          <cell r="G231" t="str">
            <v>LPU FLM</v>
          </cell>
        </row>
        <row r="232">
          <cell r="A232">
            <v>8828120033</v>
          </cell>
          <cell r="B232">
            <v>231</v>
          </cell>
          <cell r="C232" t="str">
            <v>Alineacion de Enlace Microondas conforme a Plan, a solicitud expresa de PTC, con personal dedicado independiente al dispuesto para FLM</v>
          </cell>
          <cell r="D232" t="str">
            <v>TRANSMISIÓN</v>
          </cell>
          <cell r="E232" t="str">
            <v>Por Enlace</v>
          </cell>
          <cell r="F232">
            <v>230267</v>
          </cell>
          <cell r="G232" t="str">
            <v>LPU FLM</v>
          </cell>
        </row>
        <row r="233">
          <cell r="A233">
            <v>8828120041</v>
          </cell>
          <cell r="B233">
            <v>232</v>
          </cell>
          <cell r="C233" t="str">
            <v>Suministro e Instalación de Supresor Gigabit Ethernet Surge Suppressor (Lightning Arrester)</v>
          </cell>
          <cell r="D233" t="str">
            <v>TRANSMISIÓN</v>
          </cell>
          <cell r="E233" t="str">
            <v>U</v>
          </cell>
          <cell r="F233">
            <v>162063</v>
          </cell>
          <cell r="G233" t="str">
            <v>LPU FLM</v>
          </cell>
        </row>
        <row r="235">
          <cell r="C235" t="str">
            <v>DISEÑO Y REPLANTEOS</v>
          </cell>
          <cell r="G235" t="str">
            <v>LPU FO</v>
          </cell>
        </row>
        <row r="236">
          <cell r="A236">
            <v>8828120048</v>
          </cell>
          <cell r="C236" t="str">
            <v>Diseño y replanteo TSS (Technical Site Survey) planta interna, desde punto de acceso externo del cable con informe en formato avalado por PTC.</v>
          </cell>
          <cell r="D236" t="str">
            <v>Diseño y replanteos</v>
          </cell>
          <cell r="E236" t="str">
            <v>Unidad</v>
          </cell>
          <cell r="F236">
            <v>212500</v>
          </cell>
          <cell r="G236" t="str">
            <v>LPU FO</v>
          </cell>
        </row>
        <row r="237">
          <cell r="A237">
            <v>8828120056</v>
          </cell>
          <cell r="C237" t="str">
            <v>Diseño y Replanteo TSS planta interna con informe en formato avalado por PTC y diseño y replanteo planta externa hasta 300m. SIN documentaciòn exigida por el dueño de la infraestructura.</v>
          </cell>
          <cell r="D237" t="str">
            <v>Diseño y replanteos</v>
          </cell>
          <cell r="E237" t="str">
            <v>Unidad</v>
          </cell>
          <cell r="F237">
            <v>401420</v>
          </cell>
          <cell r="G237" t="str">
            <v>LPU FO</v>
          </cell>
        </row>
        <row r="238">
          <cell r="A238">
            <v>8828120065</v>
          </cell>
          <cell r="C238" t="str">
            <v>Diseño y Replanteo TSS planta interna con informe en formato avalado por PTC y diseño, replanteo y radicacion de proyecto planta externa, ante dueño de infraestructura hasta 300m. CON documentaciòn exigida por el dueño de la infraestructura y copia digital para PTC.</v>
          </cell>
          <cell r="D238" t="str">
            <v>Diseño y replanteos</v>
          </cell>
          <cell r="E238" t="str">
            <v>Unidad</v>
          </cell>
          <cell r="F238">
            <v>497250</v>
          </cell>
          <cell r="G238" t="str">
            <v>LPU FO</v>
          </cell>
        </row>
        <row r="239">
          <cell r="A239">
            <v>8828120080</v>
          </cell>
          <cell r="C239" t="str">
            <v>Diseño y Replanteo TSS planta interna con informe en formato avalado por PTC y diseño y replanteo planta externa hasta 600m. SIN documentaciòn exigida por el dueño de la infraestructura.</v>
          </cell>
          <cell r="D239" t="str">
            <v>Diseño y replanteos</v>
          </cell>
          <cell r="E239" t="str">
            <v>Unidad</v>
          </cell>
          <cell r="F239">
            <v>502240</v>
          </cell>
          <cell r="G239" t="str">
            <v>LPU FO</v>
          </cell>
        </row>
        <row r="240">
          <cell r="A240">
            <v>8828120089</v>
          </cell>
          <cell r="C240" t="str">
            <v>Diseño y Replanteo TSS planta interna con informe en formato avalado por PTC y diseño, replanteo y radicacion de proyecto planta externa, ante dueño de infraestructura hasta 600m. CON documentaciòn exigida por el dueño de la infraestructura y copia digital para PTC.</v>
          </cell>
          <cell r="D240" t="str">
            <v>Diseño y replanteos</v>
          </cell>
          <cell r="E240" t="str">
            <v>Unidad</v>
          </cell>
          <cell r="F240">
            <v>678589</v>
          </cell>
          <cell r="G240" t="str">
            <v>LPU FO</v>
          </cell>
        </row>
        <row r="241">
          <cell r="A241">
            <v>8828120097</v>
          </cell>
          <cell r="C241" t="str">
            <v>Diseño y Replanteo TSS planta interna con informe en formato avalado por PTC y diseño y replanteo planta externa desde 600m. SIN documentaciòn exigida por el dueño de la infraestructura.</v>
          </cell>
          <cell r="D241" t="str">
            <v>Diseño y replanteos</v>
          </cell>
          <cell r="E241" t="str">
            <v>Unidad</v>
          </cell>
          <cell r="F241">
            <v>605625</v>
          </cell>
          <cell r="G241" t="str">
            <v>LPU FO</v>
          </cell>
        </row>
        <row r="242">
          <cell r="A242">
            <v>8828120113</v>
          </cell>
          <cell r="C242" t="str">
            <v>Diseño y Replanteo TSS planta interna con informe en formato avalado por PTC y diseño, replanteo y radicacion de proyecto planta externa, ante dueño de infraestructura desde 600m. CON documentaciòn exigida por el dueño de la infraestructura y copia digital para PTC.</v>
          </cell>
          <cell r="D242" t="str">
            <v>Diseño y replanteos</v>
          </cell>
          <cell r="E242" t="str">
            <v>Unidad</v>
          </cell>
          <cell r="F242">
            <v>726750</v>
          </cell>
          <cell r="G242" t="str">
            <v>LPU FO</v>
          </cell>
        </row>
        <row r="243">
          <cell r="A243">
            <v>8828120121</v>
          </cell>
          <cell r="C243" t="str">
            <v>Diseño y replanteo planta externa hasta 300m sin documentaciòn exigida por el dueño de la infraestructura. (Solo planta externa).</v>
          </cell>
          <cell r="D243" t="str">
            <v>Diseño y replanteos</v>
          </cell>
          <cell r="E243" t="str">
            <v>Unidad</v>
          </cell>
          <cell r="F243">
            <v>302813</v>
          </cell>
          <cell r="G243" t="str">
            <v>LPU FO</v>
          </cell>
        </row>
        <row r="244">
          <cell r="A244">
            <v>8828120130</v>
          </cell>
          <cell r="C244" t="str">
            <v>Diseño, replanteo y radicacion de proyecto planta externa, ante dueño de infraestructura hasta 300m. CON documentaciòn exigida por el dueño de la infraestructura y copia digital para PTC. (Solo planta externa).</v>
          </cell>
          <cell r="D244" t="str">
            <v>Diseño y replanteos</v>
          </cell>
          <cell r="E244" t="str">
            <v>Unidad</v>
          </cell>
          <cell r="F244">
            <v>571838</v>
          </cell>
          <cell r="G244" t="str">
            <v>LPU FO</v>
          </cell>
        </row>
        <row r="245">
          <cell r="A245">
            <v>8828120136</v>
          </cell>
          <cell r="C245" t="str">
            <v>Diseño y replanteo planta externa hasta 600m sin documentaciòn exigida por el dueño de la infraestructura. (Solo planta externa).</v>
          </cell>
          <cell r="D245" t="str">
            <v>Diseño y replanteos</v>
          </cell>
          <cell r="E245" t="str">
            <v>Unidad</v>
          </cell>
          <cell r="F245">
            <v>401420</v>
          </cell>
          <cell r="G245" t="str">
            <v>LPU FO</v>
          </cell>
        </row>
        <row r="246">
          <cell r="A246">
            <v>8828120145</v>
          </cell>
          <cell r="C246" t="str">
            <v>Diseño, replanteo y radicacion de proyecto planta externa, ante dueño de infraestructura hasta 600m. CON documentaciòn exigida por el dueño de la infraestructura y copia digital para PTC. (Solo planta externa).</v>
          </cell>
          <cell r="D246" t="str">
            <v>Diseño y replanteos</v>
          </cell>
          <cell r="E246" t="str">
            <v>Unidad</v>
          </cell>
          <cell r="F246">
            <v>696469</v>
          </cell>
          <cell r="G246" t="str">
            <v>LPU FO</v>
          </cell>
        </row>
        <row r="247">
          <cell r="A247">
            <v>8828120152</v>
          </cell>
          <cell r="C247" t="str">
            <v>Diseño y replanteo planta externa desde 600m sin documentaciòn exigida por el dueño de la infraestructura. (Solo planta externa).</v>
          </cell>
          <cell r="D247" t="str">
            <v>Diseño y replanteos</v>
          </cell>
          <cell r="E247" t="str">
            <v>Unidad</v>
          </cell>
          <cell r="F247">
            <v>501775</v>
          </cell>
          <cell r="G247" t="str">
            <v>LPU FO</v>
          </cell>
        </row>
        <row r="248">
          <cell r="A248">
            <v>8828120161</v>
          </cell>
          <cell r="C248" t="str">
            <v>Diseño, replanteo y radicacion de proyecto planta externa, ante dueño de infraestructura desde 600m. CON documentaciòn exigida por el dueño de la infraestructura y copia digital para PTC. (Solo planta externa).</v>
          </cell>
          <cell r="D248" t="str">
            <v>Diseño y replanteos</v>
          </cell>
          <cell r="E248" t="str">
            <v>Unidad</v>
          </cell>
          <cell r="F248">
            <v>696469</v>
          </cell>
          <cell r="G248" t="str">
            <v>LPU FO</v>
          </cell>
        </row>
        <row r="249">
          <cell r="A249">
            <v>8828120170</v>
          </cell>
          <cell r="C249" t="str">
            <v>Capacitación (Conforme a las condiciones plantedas en el Cápitulo 4A).</v>
          </cell>
          <cell r="D249" t="str">
            <v>Diseño y replanteos</v>
          </cell>
          <cell r="E249" t="str">
            <v>Unidad</v>
          </cell>
          <cell r="F249">
            <v>200711</v>
          </cell>
          <cell r="G249" t="str">
            <v>LPU FO</v>
          </cell>
        </row>
        <row r="250">
          <cell r="A250">
            <v>8828120178</v>
          </cell>
          <cell r="C250" t="str">
            <v>Pruebas con OTDR de Inserción y Reflectancia, Pruebas con OTDR hasta los nodos y Entrega a satisfacción del tramo de red. Entrega de resultados digital para PTC, en formato PDF y propietario del equipo utilizado.</v>
          </cell>
          <cell r="D250" t="str">
            <v>Diseño y replanteos</v>
          </cell>
          <cell r="E250" t="str">
            <v>Unidad</v>
          </cell>
          <cell r="F250">
            <v>53869</v>
          </cell>
          <cell r="G250" t="str">
            <v>LPU FO</v>
          </cell>
        </row>
        <row r="251">
          <cell r="A251">
            <v>8828120187</v>
          </cell>
          <cell r="C251" t="str">
            <v>Pruebas PMD. Entrega de resultados digital para PTC, en formato PDF y propietario del equipo utilizado.</v>
          </cell>
          <cell r="D251" t="str">
            <v>Diseño y replanteos</v>
          </cell>
          <cell r="E251" t="str">
            <v>Unidad</v>
          </cell>
          <cell r="F251">
            <v>89423</v>
          </cell>
          <cell r="G251" t="str">
            <v>LPU FO</v>
          </cell>
        </row>
        <row r="252">
          <cell r="A252">
            <v>8828120195</v>
          </cell>
          <cell r="C252" t="str">
            <v>Cambio de transceiver</v>
          </cell>
          <cell r="D252" t="str">
            <v>Conectividad</v>
          </cell>
          <cell r="E252" t="str">
            <v>Unidad</v>
          </cell>
          <cell r="F252">
            <v>212500</v>
          </cell>
          <cell r="G252" t="str">
            <v>LPU FO</v>
          </cell>
        </row>
        <row r="253">
          <cell r="A253">
            <v>8828120203</v>
          </cell>
          <cell r="C253" t="str">
            <v>CAMARAS Y CANALIZADOS 1*(Construcción de canalización incluye adosado *1.(Diseño, suministro, gestion documental y administrativa ante dueños de infraestrutura y terceros (incluye copia digital para PTC), construcción, entrega para PTC de planos, actas, paz y salvos ante dueños de infraestructura y terceros).</v>
          </cell>
          <cell r="D253" t="str">
            <v>Camaras y canalizados</v>
          </cell>
          <cell r="E253" t="str">
            <v>Unidad</v>
          </cell>
          <cell r="F253">
            <v>151300</v>
          </cell>
          <cell r="G253" t="str">
            <v>LPU FO</v>
          </cell>
        </row>
        <row r="254">
          <cell r="A254">
            <v>8828120212</v>
          </cell>
          <cell r="C254" t="str">
            <v>*1.Camara tipo F1 en concreto reforzado con aro tapa. En Anden</v>
          </cell>
          <cell r="D254" t="str">
            <v>Camaras y canalizados</v>
          </cell>
          <cell r="E254" t="str">
            <v>m2</v>
          </cell>
          <cell r="F254">
            <v>547400</v>
          </cell>
          <cell r="G254" t="str">
            <v>LPU FO</v>
          </cell>
        </row>
        <row r="255">
          <cell r="A255">
            <v>8828120221</v>
          </cell>
          <cell r="C255" t="str">
            <v>*1.Camara tipo F1 en concreto reforzado con aro tapa. En zona verde</v>
          </cell>
          <cell r="D255" t="str">
            <v>Camaras y canalizados</v>
          </cell>
          <cell r="E255" t="str">
            <v>m2</v>
          </cell>
          <cell r="F255">
            <v>796875</v>
          </cell>
          <cell r="G255" t="str">
            <v>LPU FO</v>
          </cell>
        </row>
        <row r="256">
          <cell r="A256">
            <v>8828119303</v>
          </cell>
          <cell r="C256" t="str">
            <v>*1.Camara tipo F1 en concreto reforzado con aro tapa. En Concreto ó pavimento</v>
          </cell>
          <cell r="D256" t="str">
            <v>Camaras y canalizados</v>
          </cell>
          <cell r="E256" t="str">
            <v>m2</v>
          </cell>
          <cell r="F256">
            <v>796875</v>
          </cell>
          <cell r="G256" t="str">
            <v>LPU FO</v>
          </cell>
        </row>
        <row r="257">
          <cell r="A257">
            <v>8828119312</v>
          </cell>
          <cell r="C257" t="str">
            <v>*1.Camara tipo 2F1 en concreto reforzado con aro tapa. En Anden</v>
          </cell>
          <cell r="D257" t="str">
            <v>Camaras y canalizados</v>
          </cell>
          <cell r="E257" t="str">
            <v>m2</v>
          </cell>
          <cell r="F257">
            <v>1487500</v>
          </cell>
          <cell r="G257" t="str">
            <v>LPU FO</v>
          </cell>
        </row>
        <row r="258">
          <cell r="A258">
            <v>8828119319</v>
          </cell>
          <cell r="C258" t="str">
            <v>*1.Camara tipo 2F1 en concreto reforzado con aro tapa. En zona verde</v>
          </cell>
          <cell r="D258" t="str">
            <v>Camaras y canalizados</v>
          </cell>
          <cell r="E258" t="str">
            <v>m2</v>
          </cell>
          <cell r="F258">
            <v>1413977</v>
          </cell>
          <cell r="G258" t="str">
            <v>LPU FO</v>
          </cell>
        </row>
        <row r="259">
          <cell r="A259">
            <v>8828119328</v>
          </cell>
          <cell r="C259" t="str">
            <v>*1.Camara tipo 2F1 en concreto reforzado con aro tapa. En Concreto ó pavimento</v>
          </cell>
          <cell r="D259" t="str">
            <v>Camaras y canalizados</v>
          </cell>
          <cell r="E259" t="str">
            <v>m2</v>
          </cell>
          <cell r="F259">
            <v>1487500</v>
          </cell>
          <cell r="G259" t="str">
            <v>LPU FO</v>
          </cell>
        </row>
        <row r="260">
          <cell r="A260">
            <v>8828119337</v>
          </cell>
          <cell r="C260" t="str">
            <v>*1.Camara tipo P4 en concreto reforzado. En Anden</v>
          </cell>
          <cell r="D260" t="str">
            <v>Camaras y canalizados</v>
          </cell>
          <cell r="E260" t="str">
            <v>m2</v>
          </cell>
          <cell r="F260">
            <v>796875</v>
          </cell>
          <cell r="G260" t="str">
            <v>LPU FO</v>
          </cell>
        </row>
        <row r="261">
          <cell r="A261">
            <v>8828119345</v>
          </cell>
          <cell r="C261" t="str">
            <v>*1.Camara tipo P4 en concreto reforzado. En zona verde</v>
          </cell>
          <cell r="D261" t="str">
            <v>Camaras y canalizados</v>
          </cell>
          <cell r="E261" t="str">
            <v>m2</v>
          </cell>
          <cell r="F261">
            <v>796875</v>
          </cell>
          <cell r="G261" t="str">
            <v>LPU FO</v>
          </cell>
        </row>
        <row r="262">
          <cell r="A262">
            <v>8828120231</v>
          </cell>
          <cell r="C262" t="str">
            <v>*1.Camara tipo P4 en concreto reforzado. En Concreto ó pavimento</v>
          </cell>
          <cell r="D262" t="str">
            <v>Camaras y canalizados</v>
          </cell>
          <cell r="E262" t="str">
            <v>m2</v>
          </cell>
          <cell r="F262">
            <v>796875</v>
          </cell>
          <cell r="G262" t="str">
            <v>LPU FO</v>
          </cell>
        </row>
        <row r="263">
          <cell r="A263">
            <v>8828119353</v>
          </cell>
          <cell r="C263" t="str">
            <v>*1.Camara tipo P1 con aro</v>
          </cell>
          <cell r="D263" t="str">
            <v>Camaras y canalizados</v>
          </cell>
          <cell r="E263" t="str">
            <v>m2</v>
          </cell>
          <cell r="F263">
            <v>1795625</v>
          </cell>
          <cell r="G263" t="str">
            <v>LPU FO</v>
          </cell>
        </row>
        <row r="264">
          <cell r="A264">
            <v>8828119361</v>
          </cell>
          <cell r="C264" t="str">
            <v>*1.Construcciòn de registro prefabricado 40x40x40 em</v>
          </cell>
          <cell r="D264" t="str">
            <v>Camaras y canalizados</v>
          </cell>
          <cell r="E264" t="str">
            <v>m2</v>
          </cell>
          <cell r="F264">
            <v>239063</v>
          </cell>
          <cell r="G264" t="str">
            <v>LPU FO</v>
          </cell>
        </row>
        <row r="265">
          <cell r="A265">
            <v>8828119370</v>
          </cell>
          <cell r="C265" t="str">
            <v>*1.Canalización en anden (80 cms x 40 cms, 2 ductos de 4" DB, incluye reposición de concreto 3000 PSI, espesor 10 a 15 cms)</v>
          </cell>
          <cell r="D265" t="str">
            <v>Camaras y canalizados</v>
          </cell>
          <cell r="E265" t="str">
            <v>ml</v>
          </cell>
          <cell r="F265">
            <v>159375</v>
          </cell>
          <cell r="G265" t="str">
            <v>LPU FO</v>
          </cell>
        </row>
        <row r="266">
          <cell r="A266">
            <v>8828119382</v>
          </cell>
          <cell r="C266" t="str">
            <v>*1.Canalización en Pavimento ó concreto (100 cms x 60 cms, 2 ductos de 4" DB, incluye reposición de asfalto de 15 cms)</v>
          </cell>
          <cell r="D266" t="str">
            <v>Camaras y canalizados</v>
          </cell>
          <cell r="E266" t="str">
            <v>ml</v>
          </cell>
          <cell r="F266">
            <v>172125</v>
          </cell>
          <cell r="G266" t="str">
            <v>LPU FO</v>
          </cell>
        </row>
        <row r="267">
          <cell r="A267">
            <v>8828119398</v>
          </cell>
          <cell r="C267" t="str">
            <v>*1.Canalización en zona verde (80 cms x 40 cms, 2 ductos de 4" DB, incluye relleno con material existente)</v>
          </cell>
          <cell r="D267" t="str">
            <v>Camaras y canalizados</v>
          </cell>
          <cell r="E267" t="str">
            <v>ml</v>
          </cell>
          <cell r="F267">
            <v>100938</v>
          </cell>
          <cell r="G267" t="str">
            <v>LPU FO</v>
          </cell>
        </row>
        <row r="268">
          <cell r="A268">
            <v>8828119409</v>
          </cell>
          <cell r="C268" t="str">
            <v>*1.Canalizaciòn con topo</v>
          </cell>
          <cell r="D268" t="str">
            <v>Camaras y canalizados</v>
          </cell>
          <cell r="E268" t="str">
            <v>ml</v>
          </cell>
          <cell r="F268">
            <v>192625</v>
          </cell>
          <cell r="G268" t="str">
            <v>LPU FO</v>
          </cell>
        </row>
        <row r="269">
          <cell r="A269">
            <v>8828119417</v>
          </cell>
          <cell r="C269" t="str">
            <v>*1.Canalizaciòn perforada con topo en 2"</v>
          </cell>
          <cell r="D269" t="str">
            <v>Camaras y canalizados</v>
          </cell>
          <cell r="E269" t="str">
            <v>ml</v>
          </cell>
          <cell r="F269">
            <v>192625</v>
          </cell>
          <cell r="G269" t="str">
            <v>LPU FO</v>
          </cell>
        </row>
        <row r="270">
          <cell r="A270">
            <v>8828119427</v>
          </cell>
          <cell r="C270" t="str">
            <v>*1.Canalizaciòn perforada dirigida</v>
          </cell>
          <cell r="D270" t="str">
            <v>Camaras y canalizados</v>
          </cell>
          <cell r="E270" t="str">
            <v>ml</v>
          </cell>
          <cell r="F270">
            <v>255415</v>
          </cell>
          <cell r="G270" t="str">
            <v>LPU FO</v>
          </cell>
        </row>
        <row r="271">
          <cell r="A271">
            <v>8828119438</v>
          </cell>
          <cell r="C271" t="str">
            <v>*1.Cruce de puente adosado y mimetizado</v>
          </cell>
          <cell r="D271" t="str">
            <v>Camaras y canalizados</v>
          </cell>
          <cell r="E271" t="str">
            <v>ml</v>
          </cell>
          <cell r="F271">
            <v>213588</v>
          </cell>
          <cell r="G271" t="str">
            <v>LPU FO</v>
          </cell>
        </row>
        <row r="272">
          <cell r="A272">
            <v>8828119669</v>
          </cell>
          <cell r="C272" t="str">
            <v>Limpieza y Organizaciòn de canalizados</v>
          </cell>
          <cell r="D272" t="str">
            <v>Camaras y canalizados</v>
          </cell>
          <cell r="E272" t="str">
            <v>ml</v>
          </cell>
          <cell r="F272">
            <v>1840</v>
          </cell>
          <cell r="G272" t="str">
            <v>LPU FO</v>
          </cell>
        </row>
        <row r="273">
          <cell r="A273">
            <v>8828119678</v>
          </cell>
          <cell r="C273" t="str">
            <v>Apertura y sellado de camara tipo P4/F1 marco metalica</v>
          </cell>
          <cell r="D273" t="str">
            <v>Camaras y canalizados</v>
          </cell>
          <cell r="E273" t="str">
            <v>Unidad</v>
          </cell>
          <cell r="F273">
            <v>47813</v>
          </cell>
          <cell r="G273" t="str">
            <v>LPU FO</v>
          </cell>
        </row>
        <row r="274">
          <cell r="A274">
            <v>8828119687</v>
          </cell>
          <cell r="C274" t="str">
            <v>Apertura y sellado de camara tipo P4/F1 tapa pesada</v>
          </cell>
          <cell r="D274" t="str">
            <v>Camaras y canalizados</v>
          </cell>
          <cell r="E274" t="str">
            <v>Unidad</v>
          </cell>
          <cell r="F274">
            <v>116875</v>
          </cell>
          <cell r="G274" t="str">
            <v>LPU FO</v>
          </cell>
        </row>
        <row r="275">
          <cell r="A275">
            <v>8828119696</v>
          </cell>
          <cell r="C275" t="str">
            <v>Clausura y mimetizaciòn de camara tipo P4/F1</v>
          </cell>
          <cell r="D275" t="str">
            <v>Camaras y canalizados</v>
          </cell>
          <cell r="E275" t="str">
            <v>Unidad</v>
          </cell>
          <cell r="F275">
            <v>74375</v>
          </cell>
          <cell r="G275" t="str">
            <v>LPU FO</v>
          </cell>
        </row>
        <row r="276">
          <cell r="A276">
            <v>8828119706</v>
          </cell>
          <cell r="C276" t="str">
            <v>Apertura y sellado de camara tipo F2 marco metalica</v>
          </cell>
          <cell r="D276" t="str">
            <v>Camaras y canalizados</v>
          </cell>
          <cell r="E276" t="str">
            <v>Unidad</v>
          </cell>
          <cell r="F276">
            <v>62688</v>
          </cell>
          <cell r="G276" t="str">
            <v>LPU FO</v>
          </cell>
        </row>
        <row r="277">
          <cell r="A277">
            <v>8828119716</v>
          </cell>
          <cell r="C277" t="str">
            <v>Apertura y sellado de camara tipo F2 tapa pesada</v>
          </cell>
          <cell r="D277" t="str">
            <v>Camaras y canalizados</v>
          </cell>
          <cell r="E277" t="str">
            <v>Unidad</v>
          </cell>
          <cell r="F277">
            <v>154063</v>
          </cell>
          <cell r="G277" t="str">
            <v>LPU FO</v>
          </cell>
        </row>
        <row r="278">
          <cell r="A278">
            <v>8828119729</v>
          </cell>
          <cell r="C278" t="str">
            <v>Clausura y mimetizaciòn de camara tipo F2</v>
          </cell>
          <cell r="D278" t="str">
            <v>Camaras y canalizados</v>
          </cell>
          <cell r="E278" t="str">
            <v>Unidad</v>
          </cell>
          <cell r="F278">
            <v>95625</v>
          </cell>
          <cell r="G278" t="str">
            <v>LPU FO</v>
          </cell>
        </row>
        <row r="279">
          <cell r="A279">
            <v>8828119738</v>
          </cell>
          <cell r="C279" t="str">
            <v>Apertura y sellado de Camara con Arc tapa</v>
          </cell>
          <cell r="D279" t="str">
            <v>Camaras y canalizados</v>
          </cell>
          <cell r="E279" t="str">
            <v>Unidad</v>
          </cell>
          <cell r="F279">
            <v>42500</v>
          </cell>
          <cell r="G279" t="str">
            <v>LPU FO</v>
          </cell>
        </row>
        <row r="280">
          <cell r="A280">
            <v>8828120240</v>
          </cell>
          <cell r="C280" t="str">
            <v>Sellado de camaras con pernos (4 pernos)</v>
          </cell>
          <cell r="D280" t="str">
            <v>Camaras y canalizados</v>
          </cell>
          <cell r="E280" t="str">
            <v>Unidad</v>
          </cell>
          <cell r="F280">
            <v>57779</v>
          </cell>
          <cell r="G280" t="str">
            <v>LPU FO</v>
          </cell>
        </row>
        <row r="281">
          <cell r="A281">
            <v>8828118829</v>
          </cell>
          <cell r="C281" t="str">
            <v>Sellado de camaras con soldadura de electrodo E6011</v>
          </cell>
          <cell r="D281" t="str">
            <v>Camaras y canalizados</v>
          </cell>
          <cell r="E281" t="str">
            <v>Unidad</v>
          </cell>
          <cell r="F281">
            <v>63750</v>
          </cell>
          <cell r="G281" t="str">
            <v>LPU FO</v>
          </cell>
        </row>
        <row r="282">
          <cell r="A282">
            <v>8828119747</v>
          </cell>
          <cell r="C282" t="str">
            <v>Localización, excavación y relleno de cámara existente</v>
          </cell>
          <cell r="D282" t="str">
            <v>Camaras y canalizados</v>
          </cell>
          <cell r="E282" t="str">
            <v>Unidad</v>
          </cell>
          <cell r="F282">
            <v>132813</v>
          </cell>
          <cell r="G282" t="str">
            <v>LPU FO</v>
          </cell>
        </row>
        <row r="283">
          <cell r="A283">
            <v>8828118834</v>
          </cell>
          <cell r="C283" t="str">
            <v>Reconstrucción de pared de cámara tipo vehicular</v>
          </cell>
          <cell r="D283" t="str">
            <v>Camaras y canalizados</v>
          </cell>
          <cell r="E283" t="str">
            <v>m2</v>
          </cell>
          <cell r="F283">
            <v>63750</v>
          </cell>
          <cell r="G283" t="str">
            <v>LPU FO</v>
          </cell>
        </row>
        <row r="284">
          <cell r="A284">
            <v>8828119757</v>
          </cell>
          <cell r="C284" t="str">
            <v>Reconstrucción de losa de cámara tipo peatonal</v>
          </cell>
          <cell r="D284" t="str">
            <v>Camaras y canalizados</v>
          </cell>
          <cell r="E284" t="str">
            <v>m2</v>
          </cell>
          <cell r="F284">
            <v>38440</v>
          </cell>
          <cell r="G284" t="str">
            <v>LPU FO</v>
          </cell>
        </row>
        <row r="285">
          <cell r="A285">
            <v>8828119766</v>
          </cell>
          <cell r="C285" t="str">
            <v>Reconstrucción de pared de cámara tipo peatonal</v>
          </cell>
          <cell r="D285" t="str">
            <v>Camaras y canalizados</v>
          </cell>
          <cell r="E285" t="str">
            <v>m2</v>
          </cell>
          <cell r="F285">
            <v>32724</v>
          </cell>
          <cell r="G285" t="str">
            <v>LPU FO</v>
          </cell>
        </row>
        <row r="286">
          <cell r="A286">
            <v>8828119775</v>
          </cell>
          <cell r="C286" t="str">
            <v>Limpieza y Organizaciòn de camaras</v>
          </cell>
          <cell r="D286" t="str">
            <v>Camaras y canalizados</v>
          </cell>
          <cell r="E286" t="str">
            <v>m2</v>
          </cell>
          <cell r="F286">
            <v>32724</v>
          </cell>
          <cell r="G286" t="str">
            <v>LPU FO</v>
          </cell>
        </row>
        <row r="287">
          <cell r="A287">
            <v>8828119782</v>
          </cell>
          <cell r="C287" t="str">
            <v>Suministro e instalaclon de tapa en ferro Concreto</v>
          </cell>
          <cell r="D287" t="str">
            <v>Camaras y canalizados</v>
          </cell>
          <cell r="E287" t="str">
            <v>Unidad</v>
          </cell>
          <cell r="F287">
            <v>227375</v>
          </cell>
          <cell r="G287" t="str">
            <v>LPU FO</v>
          </cell>
        </row>
        <row r="288">
          <cell r="A288">
            <v>8828118840</v>
          </cell>
          <cell r="C288" t="str">
            <v>Suministro e Instalación de tapas con aro tapas en ferro concreto</v>
          </cell>
          <cell r="D288" t="str">
            <v>Camaras y canalizados</v>
          </cell>
          <cell r="E288" t="str">
            <v>Unidad</v>
          </cell>
          <cell r="F288">
            <v>529125</v>
          </cell>
          <cell r="G288" t="str">
            <v>LPU FO</v>
          </cell>
        </row>
        <row r="289">
          <cell r="A289">
            <v>8828118847</v>
          </cell>
          <cell r="C289" t="str">
            <v>Sustitución de tapa de cámara tipo P4/F1</v>
          </cell>
          <cell r="D289" t="str">
            <v>Camaras y canalizados</v>
          </cell>
          <cell r="E289" t="str">
            <v>Unidad</v>
          </cell>
          <cell r="F289">
            <v>253575</v>
          </cell>
          <cell r="G289" t="str">
            <v>LPU FO</v>
          </cell>
        </row>
        <row r="290">
          <cell r="A290">
            <v>8828118857</v>
          </cell>
          <cell r="C290" t="str">
            <v>Sustitución de tapa de cámara tipo F2</v>
          </cell>
          <cell r="D290" t="str">
            <v>Camaras y canalizados</v>
          </cell>
          <cell r="E290" t="str">
            <v>Unidad</v>
          </cell>
          <cell r="F290">
            <v>318750</v>
          </cell>
          <cell r="G290" t="str">
            <v>LPU FO</v>
          </cell>
        </row>
        <row r="291">
          <cell r="A291">
            <v>8828118865</v>
          </cell>
          <cell r="C291" t="str">
            <v>Sustitución de tapa de cámara tipo triple</v>
          </cell>
          <cell r="D291" t="str">
            <v>Camaras y canalizados</v>
          </cell>
          <cell r="E291" t="str">
            <v>Unidad</v>
          </cell>
          <cell r="F291">
            <v>478125</v>
          </cell>
          <cell r="G291" t="str">
            <v>LPU FO</v>
          </cell>
        </row>
        <row r="292">
          <cell r="A292">
            <v>8828118875</v>
          </cell>
          <cell r="C292" t="str">
            <v>Sustitución de tapa redonda de cámara tipo vehicular</v>
          </cell>
          <cell r="D292" t="str">
            <v>Camaras y canalizados</v>
          </cell>
          <cell r="E292" t="str">
            <v>Unidad</v>
          </cell>
          <cell r="F292">
            <v>478125</v>
          </cell>
          <cell r="G292" t="str">
            <v>LPU FO</v>
          </cell>
        </row>
        <row r="293">
          <cell r="A293">
            <v>8828118884</v>
          </cell>
          <cell r="C293" t="str">
            <v>Sustitución e Instalación de marco de cámara tipo vehicular</v>
          </cell>
          <cell r="D293" t="str">
            <v>Camaras y canalizados</v>
          </cell>
          <cell r="E293" t="str">
            <v>Unidad</v>
          </cell>
          <cell r="F293">
            <v>199417</v>
          </cell>
          <cell r="G293" t="str">
            <v>LPU FO</v>
          </cell>
        </row>
        <row r="294">
          <cell r="A294">
            <v>8828118893</v>
          </cell>
          <cell r="C294" t="str">
            <v>Sustitución e instalación de marco de tapa para cámara tipo P4/F1</v>
          </cell>
          <cell r="D294" t="str">
            <v>Camaras y canalizados</v>
          </cell>
          <cell r="E294" t="str">
            <v>Unidad</v>
          </cell>
          <cell r="F294">
            <v>152145</v>
          </cell>
          <cell r="G294" t="str">
            <v>LPU FO</v>
          </cell>
        </row>
        <row r="295">
          <cell r="A295">
            <v>8828118902</v>
          </cell>
          <cell r="C295" t="str">
            <v>Sustitución e instalación de marco de tapa para cámara tipo F2</v>
          </cell>
          <cell r="D295" t="str">
            <v>Camaras y canalizados</v>
          </cell>
          <cell r="E295" t="str">
            <v>Unidad</v>
          </cell>
          <cell r="F295">
            <v>233750</v>
          </cell>
          <cell r="G295" t="str">
            <v>LPU FO</v>
          </cell>
        </row>
        <row r="296">
          <cell r="C296" t="str">
            <v>TENDIDO</v>
          </cell>
          <cell r="G296" t="str">
            <v>LPU FO</v>
          </cell>
        </row>
        <row r="297">
          <cell r="A297">
            <v>8828118910</v>
          </cell>
          <cell r="C297" t="str">
            <v>12 hilos ADSS, SPAN 100</v>
          </cell>
          <cell r="D297" t="str">
            <v>12H Tendido aereo</v>
          </cell>
          <cell r="E297" t="str">
            <v>ml</v>
          </cell>
          <cell r="F297">
            <v>1726</v>
          </cell>
          <cell r="G297" t="str">
            <v>LPU FO</v>
          </cell>
        </row>
        <row r="298">
          <cell r="A298">
            <v>8828118918</v>
          </cell>
          <cell r="C298" t="str">
            <v>12 hilos ADSS, SPAN 200</v>
          </cell>
          <cell r="D298" t="str">
            <v>12H Tendido aereo</v>
          </cell>
          <cell r="E298" t="str">
            <v>ml</v>
          </cell>
          <cell r="F298">
            <v>1726</v>
          </cell>
          <cell r="G298" t="str">
            <v>LPU FO</v>
          </cell>
        </row>
        <row r="299">
          <cell r="A299">
            <v>8828118927</v>
          </cell>
          <cell r="C299" t="str">
            <v>12 hilos Armado</v>
          </cell>
          <cell r="D299" t="str">
            <v>12H Tendido aereo</v>
          </cell>
          <cell r="E299" t="str">
            <v>ml</v>
          </cell>
          <cell r="F299">
            <v>1726</v>
          </cell>
          <cell r="G299" t="str">
            <v>LPU FO</v>
          </cell>
        </row>
        <row r="300">
          <cell r="A300">
            <v>8828118935</v>
          </cell>
          <cell r="C300" t="str">
            <v>12 hilos terminal</v>
          </cell>
          <cell r="D300" t="str">
            <v>12H Tendido aereo</v>
          </cell>
          <cell r="E300" t="str">
            <v>ml</v>
          </cell>
          <cell r="F300">
            <v>1726</v>
          </cell>
          <cell r="G300" t="str">
            <v>LPU FO</v>
          </cell>
        </row>
        <row r="301">
          <cell r="A301">
            <v>8828118796</v>
          </cell>
          <cell r="C301" t="str">
            <v>12 hilos ADSS, SPAN 100</v>
          </cell>
          <cell r="D301" t="str">
            <v>12H Tendido canalizado</v>
          </cell>
          <cell r="E301" t="str">
            <v>ml</v>
          </cell>
          <cell r="F301">
            <v>1700</v>
          </cell>
          <cell r="G301" t="str">
            <v>LPU FO</v>
          </cell>
        </row>
        <row r="302">
          <cell r="A302">
            <v>8828118797</v>
          </cell>
          <cell r="C302" t="str">
            <v>12 hilos ADSS, SPAN 200</v>
          </cell>
          <cell r="D302" t="str">
            <v>12H Tendido canalizado</v>
          </cell>
          <cell r="E302" t="str">
            <v>ml</v>
          </cell>
          <cell r="F302">
            <v>1700</v>
          </cell>
          <cell r="G302" t="str">
            <v>LPU FO</v>
          </cell>
        </row>
        <row r="303">
          <cell r="A303">
            <v>8828118798</v>
          </cell>
          <cell r="C303" t="str">
            <v>12 hilos Armado</v>
          </cell>
          <cell r="D303" t="str">
            <v>12H Tendido canalizado</v>
          </cell>
          <cell r="E303" t="str">
            <v>ml</v>
          </cell>
          <cell r="F303">
            <v>1700</v>
          </cell>
          <cell r="G303" t="str">
            <v>LPU FO</v>
          </cell>
        </row>
        <row r="304">
          <cell r="A304">
            <v>8828118799</v>
          </cell>
          <cell r="C304" t="str">
            <v>12 hilos terminal</v>
          </cell>
          <cell r="D304" t="str">
            <v>12H Tendido canalizado</v>
          </cell>
          <cell r="E304" t="str">
            <v>ml</v>
          </cell>
          <cell r="F304">
            <v>1700</v>
          </cell>
          <cell r="G304" t="str">
            <v>LPU FO</v>
          </cell>
        </row>
        <row r="305">
          <cell r="A305">
            <v>8828118945</v>
          </cell>
          <cell r="C305" t="str">
            <v>24 hilos ADSS, SPAN 100</v>
          </cell>
          <cell r="D305" t="str">
            <v>24H Tendido aereo</v>
          </cell>
          <cell r="E305" t="str">
            <v>ml</v>
          </cell>
          <cell r="F305">
            <v>1830</v>
          </cell>
          <cell r="G305" t="str">
            <v>LPU FO</v>
          </cell>
        </row>
        <row r="306">
          <cell r="A306">
            <v>8828118954</v>
          </cell>
          <cell r="C306" t="str">
            <v>24 hilos ADSS, SPAN 200</v>
          </cell>
          <cell r="D306" t="str">
            <v>24H Tendido aereo</v>
          </cell>
          <cell r="E306" t="str">
            <v>ml</v>
          </cell>
          <cell r="F306">
            <v>1830</v>
          </cell>
          <cell r="G306" t="str">
            <v>LPU FO</v>
          </cell>
        </row>
        <row r="307">
          <cell r="A307">
            <v>8828118963</v>
          </cell>
          <cell r="C307" t="str">
            <v>24 hilos Armado</v>
          </cell>
          <cell r="D307" t="str">
            <v>24H Tendido aereo</v>
          </cell>
          <cell r="E307" t="str">
            <v>ml</v>
          </cell>
          <cell r="F307">
            <v>1830</v>
          </cell>
          <cell r="G307" t="str">
            <v>LPU FO</v>
          </cell>
        </row>
        <row r="308">
          <cell r="A308">
            <v>8828118974</v>
          </cell>
          <cell r="C308" t="str">
            <v>24 hilos terminal</v>
          </cell>
          <cell r="D308" t="str">
            <v>24H Tendido aereo</v>
          </cell>
          <cell r="E308" t="str">
            <v>ml</v>
          </cell>
          <cell r="F308">
            <v>1811</v>
          </cell>
          <cell r="G308" t="str">
            <v>LPU FO</v>
          </cell>
        </row>
        <row r="309">
          <cell r="A309">
            <v>8828118800</v>
          </cell>
          <cell r="C309" t="str">
            <v>24 hilos ADSS, SPAN 100</v>
          </cell>
          <cell r="D309" t="str">
            <v>24H Tendido canalizado</v>
          </cell>
          <cell r="E309" t="str">
            <v>ml</v>
          </cell>
          <cell r="F309">
            <v>1811</v>
          </cell>
          <cell r="G309" t="str">
            <v>LPU FO</v>
          </cell>
        </row>
        <row r="310">
          <cell r="A310">
            <v>8828118801</v>
          </cell>
          <cell r="C310" t="str">
            <v>24 hilos ADSS, SPAN 200</v>
          </cell>
          <cell r="D310" t="str">
            <v>24H Tendido canalizado</v>
          </cell>
          <cell r="E310" t="str">
            <v>ml</v>
          </cell>
          <cell r="F310">
            <v>1811</v>
          </cell>
          <cell r="G310" t="str">
            <v>LPU FO</v>
          </cell>
        </row>
        <row r="311">
          <cell r="A311">
            <v>8828118802</v>
          </cell>
          <cell r="C311" t="str">
            <v>24 hilos Armado</v>
          </cell>
          <cell r="D311" t="str">
            <v>24H Tendido canalizado</v>
          </cell>
          <cell r="E311" t="str">
            <v>ml</v>
          </cell>
          <cell r="F311">
            <v>1811</v>
          </cell>
          <cell r="G311" t="str">
            <v>LPU FO</v>
          </cell>
        </row>
        <row r="312">
          <cell r="A312">
            <v>8828118803</v>
          </cell>
          <cell r="C312" t="str">
            <v>24 hilos terminal</v>
          </cell>
          <cell r="D312" t="str">
            <v>24H Tendido canalizado</v>
          </cell>
          <cell r="E312" t="str">
            <v>ml</v>
          </cell>
          <cell r="F312">
            <v>1811</v>
          </cell>
          <cell r="G312" t="str">
            <v>LPU FO</v>
          </cell>
        </row>
        <row r="313">
          <cell r="A313">
            <v>8828118984</v>
          </cell>
          <cell r="C313" t="str">
            <v>48 hilos ADSS, SPAN 100</v>
          </cell>
          <cell r="D313" t="str">
            <v>48H Tendido aereo</v>
          </cell>
          <cell r="E313" t="str">
            <v>ml</v>
          </cell>
          <cell r="F313">
            <v>1938</v>
          </cell>
          <cell r="G313" t="str">
            <v>LPU FO</v>
          </cell>
        </row>
        <row r="314">
          <cell r="A314">
            <v>8828118992</v>
          </cell>
          <cell r="C314" t="str">
            <v>48 hilos ADSS, SPAN 200</v>
          </cell>
          <cell r="D314" t="str">
            <v>48H Tendido aereo</v>
          </cell>
          <cell r="E314" t="str">
            <v>ml</v>
          </cell>
          <cell r="F314">
            <v>1938</v>
          </cell>
          <cell r="G314" t="str">
            <v>LPU FO</v>
          </cell>
        </row>
        <row r="315">
          <cell r="A315">
            <v>8828119002</v>
          </cell>
          <cell r="C315" t="str">
            <v>48 hilos Armado</v>
          </cell>
          <cell r="D315" t="str">
            <v>48H Tendido aereo</v>
          </cell>
          <cell r="E315" t="str">
            <v>ml</v>
          </cell>
          <cell r="F315">
            <v>1938</v>
          </cell>
          <cell r="G315" t="str">
            <v>LPU FO</v>
          </cell>
        </row>
        <row r="316">
          <cell r="A316">
            <v>8828119011</v>
          </cell>
          <cell r="C316" t="str">
            <v>48 hilos terminal</v>
          </cell>
          <cell r="D316" t="str">
            <v>48H Tendido aereo</v>
          </cell>
          <cell r="E316" t="str">
            <v>ml</v>
          </cell>
          <cell r="F316">
            <v>1938</v>
          </cell>
          <cell r="G316" t="str">
            <v>LPU FO</v>
          </cell>
        </row>
        <row r="317">
          <cell r="A317">
            <v>8828118804</v>
          </cell>
          <cell r="C317" t="str">
            <v>48 hilos ADSS, SPAN 100</v>
          </cell>
          <cell r="D317" t="str">
            <v>48H Tendido canalizado</v>
          </cell>
          <cell r="E317" t="str">
            <v>ml</v>
          </cell>
          <cell r="F317">
            <v>1917</v>
          </cell>
          <cell r="G317" t="str">
            <v>LPU FO</v>
          </cell>
        </row>
        <row r="318">
          <cell r="A318">
            <v>8828118805</v>
          </cell>
          <cell r="C318" t="str">
            <v>48 hilos ADSS, SPAN 200</v>
          </cell>
          <cell r="D318" t="str">
            <v>48H Tendido canalizado</v>
          </cell>
          <cell r="E318" t="str">
            <v>ml</v>
          </cell>
          <cell r="F318">
            <v>1917</v>
          </cell>
          <cell r="G318" t="str">
            <v>LPU FO</v>
          </cell>
        </row>
        <row r="319">
          <cell r="A319">
            <v>8828118806</v>
          </cell>
          <cell r="C319" t="str">
            <v>48 hilos Armado</v>
          </cell>
          <cell r="D319" t="str">
            <v>48H Tendido canalizado</v>
          </cell>
          <cell r="E319" t="str">
            <v>ml</v>
          </cell>
          <cell r="F319">
            <v>1917</v>
          </cell>
          <cell r="G319" t="str">
            <v>LPU FO</v>
          </cell>
        </row>
        <row r="320">
          <cell r="A320">
            <v>8828118807</v>
          </cell>
          <cell r="C320" t="str">
            <v>48 hilos terminal</v>
          </cell>
          <cell r="D320" t="str">
            <v>48H Tendido canalizado</v>
          </cell>
          <cell r="E320" t="str">
            <v>ml</v>
          </cell>
          <cell r="F320">
            <v>1917</v>
          </cell>
          <cell r="G320" t="str">
            <v>LPU FO</v>
          </cell>
        </row>
        <row r="321">
          <cell r="A321">
            <v>8828119021</v>
          </cell>
          <cell r="C321" t="str">
            <v>96 hilos ADSS, SPAN 100</v>
          </cell>
          <cell r="D321" t="str">
            <v>96H Tendido aereo</v>
          </cell>
          <cell r="E321" t="str">
            <v>ml</v>
          </cell>
          <cell r="F321">
            <v>1973</v>
          </cell>
          <cell r="G321" t="str">
            <v>LPU FO</v>
          </cell>
        </row>
        <row r="322">
          <cell r="A322">
            <v>8828119031</v>
          </cell>
          <cell r="C322" t="str">
            <v>96 hilos ADSS, SPAN 200</v>
          </cell>
          <cell r="D322" t="str">
            <v>96H Tendido aereo</v>
          </cell>
          <cell r="E322" t="str">
            <v>ml</v>
          </cell>
          <cell r="F322">
            <v>1973</v>
          </cell>
          <cell r="G322" t="str">
            <v>LPU FO</v>
          </cell>
        </row>
        <row r="323">
          <cell r="A323">
            <v>8828119041</v>
          </cell>
          <cell r="C323" t="str">
            <v>96 hilos Armado</v>
          </cell>
          <cell r="D323" t="str">
            <v>96H Tendido aereo</v>
          </cell>
          <cell r="E323" t="str">
            <v>ml</v>
          </cell>
          <cell r="F323">
            <v>1973</v>
          </cell>
          <cell r="G323" t="str">
            <v>LPU FO</v>
          </cell>
        </row>
        <row r="324">
          <cell r="A324">
            <v>8828119053</v>
          </cell>
          <cell r="C324" t="str">
            <v>96 hilos terminal</v>
          </cell>
          <cell r="D324" t="str">
            <v>96H Tendido aereo</v>
          </cell>
          <cell r="E324" t="str">
            <v>ml</v>
          </cell>
          <cell r="F324">
            <v>1973</v>
          </cell>
          <cell r="G324" t="str">
            <v>LPU FO</v>
          </cell>
        </row>
        <row r="325">
          <cell r="A325">
            <v>8828118808</v>
          </cell>
          <cell r="C325" t="str">
            <v>96 hilos ADSS, SPAN 100</v>
          </cell>
          <cell r="D325" t="str">
            <v>96H Tendido canalizado</v>
          </cell>
          <cell r="E325" t="str">
            <v>ml</v>
          </cell>
          <cell r="F325">
            <v>2051</v>
          </cell>
          <cell r="G325" t="str">
            <v>LPU FO</v>
          </cell>
        </row>
        <row r="326">
          <cell r="A326">
            <v>8828118809</v>
          </cell>
          <cell r="C326" t="str">
            <v>96 hilos ADSS, SPAN 200</v>
          </cell>
          <cell r="D326" t="str">
            <v>96H Tendido canalizado</v>
          </cell>
          <cell r="E326" t="str">
            <v>ml</v>
          </cell>
          <cell r="F326">
            <v>2051</v>
          </cell>
          <cell r="G326" t="str">
            <v>LPU FO</v>
          </cell>
        </row>
        <row r="327">
          <cell r="A327">
            <v>8828118810</v>
          </cell>
          <cell r="C327" t="str">
            <v>96 hilos Armado</v>
          </cell>
          <cell r="D327" t="str">
            <v>96H Tendido canalizado</v>
          </cell>
          <cell r="E327" t="str">
            <v>ml</v>
          </cell>
          <cell r="F327">
            <v>2051</v>
          </cell>
          <cell r="G327" t="str">
            <v>LPU FO</v>
          </cell>
        </row>
        <row r="328">
          <cell r="A328">
            <v>8828118811</v>
          </cell>
          <cell r="C328" t="str">
            <v>96 hilos terminal</v>
          </cell>
          <cell r="D328" t="str">
            <v>96H Tendido canalizado</v>
          </cell>
          <cell r="E328" t="str">
            <v>ml</v>
          </cell>
          <cell r="F328">
            <v>2051</v>
          </cell>
          <cell r="G328" t="str">
            <v>LPU FO</v>
          </cell>
        </row>
        <row r="329">
          <cell r="A329">
            <v>8828119062</v>
          </cell>
          <cell r="C329" t="str">
            <v>144 hilos ADSS, SPAN 100</v>
          </cell>
          <cell r="D329" t="str">
            <v>144H Tendido aereo</v>
          </cell>
          <cell r="E329" t="str">
            <v>ml</v>
          </cell>
          <cell r="F329">
            <v>2007</v>
          </cell>
          <cell r="G329" t="str">
            <v>LPU FO</v>
          </cell>
        </row>
        <row r="330">
          <cell r="A330">
            <v>8828119083</v>
          </cell>
          <cell r="C330" t="str">
            <v>144 hilos ADSS, SPAN 200</v>
          </cell>
          <cell r="D330" t="str">
            <v>144H Tendido aereo</v>
          </cell>
          <cell r="E330" t="str">
            <v>ml</v>
          </cell>
          <cell r="F330">
            <v>2007</v>
          </cell>
          <cell r="G330" t="str">
            <v>LPU FO</v>
          </cell>
        </row>
        <row r="331">
          <cell r="A331">
            <v>8828119091</v>
          </cell>
          <cell r="C331" t="str">
            <v>144 hilos Armado</v>
          </cell>
          <cell r="D331" t="str">
            <v>144H Tendido aereo</v>
          </cell>
          <cell r="E331" t="str">
            <v>ml</v>
          </cell>
          <cell r="F331">
            <v>2007</v>
          </cell>
          <cell r="G331" t="str">
            <v>LPU FO</v>
          </cell>
        </row>
        <row r="332">
          <cell r="A332">
            <v>8828119104</v>
          </cell>
          <cell r="C332" t="str">
            <v>144 hilos terminal</v>
          </cell>
          <cell r="D332" t="str">
            <v>144H Tendido aereo</v>
          </cell>
          <cell r="E332" t="str">
            <v>ml</v>
          </cell>
          <cell r="F332">
            <v>2007</v>
          </cell>
          <cell r="G332" t="str">
            <v>LPU FO</v>
          </cell>
        </row>
        <row r="333">
          <cell r="A333">
            <v>8828118812</v>
          </cell>
          <cell r="C333" t="str">
            <v>144 hilos ADSS, SPAN 100</v>
          </cell>
          <cell r="D333" t="str">
            <v>144H Tendido canalizado</v>
          </cell>
          <cell r="E333" t="str">
            <v>ml</v>
          </cell>
          <cell r="F333">
            <v>2174</v>
          </cell>
          <cell r="G333" t="str">
            <v>LPU FO</v>
          </cell>
        </row>
        <row r="334">
          <cell r="A334">
            <v>8828118813</v>
          </cell>
          <cell r="C334" t="str">
            <v>144 hilos ADSS, SPAN 200</v>
          </cell>
          <cell r="D334" t="str">
            <v>144H Tendido canalizado</v>
          </cell>
          <cell r="E334" t="str">
            <v>ml</v>
          </cell>
          <cell r="F334">
            <v>2174</v>
          </cell>
          <cell r="G334" t="str">
            <v>LPU FO</v>
          </cell>
        </row>
        <row r="335">
          <cell r="A335">
            <v>8828118814</v>
          </cell>
          <cell r="C335" t="str">
            <v>144 hilos Armado</v>
          </cell>
          <cell r="D335" t="str">
            <v>144H Tendido canalizado</v>
          </cell>
          <cell r="E335" t="str">
            <v>ml</v>
          </cell>
          <cell r="F335">
            <v>2174</v>
          </cell>
          <cell r="G335" t="str">
            <v>LPU FO</v>
          </cell>
        </row>
        <row r="336">
          <cell r="A336">
            <v>8828118815</v>
          </cell>
          <cell r="C336" t="str">
            <v>144 hilos terminal</v>
          </cell>
          <cell r="D336" t="str">
            <v>144H Tendido canalizado</v>
          </cell>
          <cell r="E336" t="str">
            <v>ml</v>
          </cell>
          <cell r="F336">
            <v>2174</v>
          </cell>
          <cell r="G336" t="str">
            <v>LPU FO</v>
          </cell>
        </row>
        <row r="337">
          <cell r="A337">
            <v>8828119114</v>
          </cell>
          <cell r="C337" t="str">
            <v>192 hilos ADSS, SPAN 100</v>
          </cell>
          <cell r="D337" t="str">
            <v>192H Tendido aereo</v>
          </cell>
          <cell r="E337" t="str">
            <v>ml</v>
          </cell>
          <cell r="F337">
            <v>2550</v>
          </cell>
          <cell r="G337" t="str">
            <v>LPU FO</v>
          </cell>
        </row>
        <row r="338">
          <cell r="A338">
            <v>8828119124</v>
          </cell>
          <cell r="C338" t="str">
            <v>192 hilos ADSS, SPAN 200</v>
          </cell>
          <cell r="D338" t="str">
            <v>192H Tendido aereo</v>
          </cell>
          <cell r="E338" t="str">
            <v>ml</v>
          </cell>
          <cell r="F338">
            <v>2550</v>
          </cell>
          <cell r="G338" t="str">
            <v>LPU FO</v>
          </cell>
        </row>
        <row r="339">
          <cell r="A339">
            <v>8828119133</v>
          </cell>
          <cell r="C339" t="str">
            <v>192 hilos Armado</v>
          </cell>
          <cell r="D339" t="str">
            <v>192H Tendido aereo</v>
          </cell>
          <cell r="E339" t="str">
            <v>ml</v>
          </cell>
          <cell r="F339">
            <v>2550</v>
          </cell>
          <cell r="G339" t="str">
            <v>LPU FO</v>
          </cell>
        </row>
        <row r="340">
          <cell r="A340">
            <v>8828119143</v>
          </cell>
          <cell r="C340" t="str">
            <v>192 hilos terminal</v>
          </cell>
          <cell r="D340" t="str">
            <v>192H Tendido aereo</v>
          </cell>
          <cell r="E340" t="str">
            <v>ml</v>
          </cell>
          <cell r="F340">
            <v>2550</v>
          </cell>
          <cell r="G340" t="str">
            <v>LPU FO</v>
          </cell>
        </row>
        <row r="341">
          <cell r="A341">
            <v>8828118816</v>
          </cell>
          <cell r="C341" t="str">
            <v>192 hilos ADSS, SPAN 100</v>
          </cell>
          <cell r="D341" t="str">
            <v>192H Tendido canalizado</v>
          </cell>
          <cell r="E341" t="str">
            <v>ml</v>
          </cell>
          <cell r="F341">
            <v>2550</v>
          </cell>
          <cell r="G341" t="str">
            <v>LPU FO</v>
          </cell>
        </row>
        <row r="342">
          <cell r="A342">
            <v>8828118817</v>
          </cell>
          <cell r="C342" t="str">
            <v>192 hilos ADSS, SPAN 200</v>
          </cell>
          <cell r="D342" t="str">
            <v>192H Tendido canalizado</v>
          </cell>
          <cell r="E342" t="str">
            <v>ml</v>
          </cell>
          <cell r="F342">
            <v>2550</v>
          </cell>
          <cell r="G342" t="str">
            <v>LPU FO</v>
          </cell>
        </row>
        <row r="343">
          <cell r="A343">
            <v>8828118818</v>
          </cell>
          <cell r="C343" t="str">
            <v>192 hilos Armado</v>
          </cell>
          <cell r="D343" t="str">
            <v>192H Tendido canalizado</v>
          </cell>
          <cell r="E343" t="str">
            <v>ml</v>
          </cell>
          <cell r="F343">
            <v>2550</v>
          </cell>
          <cell r="G343" t="str">
            <v>LPU FO</v>
          </cell>
        </row>
        <row r="344">
          <cell r="A344">
            <v>8828118819</v>
          </cell>
          <cell r="C344" t="str">
            <v>192 hilos terminal</v>
          </cell>
          <cell r="D344" t="str">
            <v>192H Tendido canalizado</v>
          </cell>
          <cell r="E344" t="str">
            <v>ml</v>
          </cell>
          <cell r="F344">
            <v>2550</v>
          </cell>
          <cell r="G344" t="str">
            <v>LPU FO</v>
          </cell>
        </row>
        <row r="345">
          <cell r="A345">
            <v>8828118820</v>
          </cell>
          <cell r="C345" t="str">
            <v>288 hilos ADSS, SPAN 100</v>
          </cell>
          <cell r="D345" t="str">
            <v>288H Tendido aereo</v>
          </cell>
          <cell r="E345" t="str">
            <v>ml</v>
          </cell>
          <cell r="F345">
            <v>2604</v>
          </cell>
          <cell r="G345" t="str">
            <v>LPU FO</v>
          </cell>
        </row>
        <row r="346">
          <cell r="A346">
            <v>8828118821</v>
          </cell>
          <cell r="C346" t="str">
            <v>288 hilos ADSS, SPAN 200</v>
          </cell>
          <cell r="D346" t="str">
            <v>288H Tendido aereo</v>
          </cell>
          <cell r="E346" t="str">
            <v>ml</v>
          </cell>
          <cell r="F346">
            <v>2604</v>
          </cell>
          <cell r="G346" t="str">
            <v>LPU FO</v>
          </cell>
        </row>
        <row r="347">
          <cell r="A347">
            <v>8828118822</v>
          </cell>
          <cell r="C347" t="str">
            <v>288 hilos Armado</v>
          </cell>
          <cell r="D347" t="str">
            <v>288H Tendido aereo</v>
          </cell>
          <cell r="E347" t="str">
            <v>ml</v>
          </cell>
          <cell r="F347">
            <v>2604</v>
          </cell>
          <cell r="G347" t="str">
            <v>LPU FO</v>
          </cell>
        </row>
        <row r="348">
          <cell r="A348">
            <v>8828118823</v>
          </cell>
          <cell r="C348" t="str">
            <v>288 hilos terminal</v>
          </cell>
          <cell r="D348" t="str">
            <v>288H Tendido aereo</v>
          </cell>
          <cell r="E348" t="str">
            <v>ml</v>
          </cell>
          <cell r="F348">
            <v>2604</v>
          </cell>
          <cell r="G348" t="str">
            <v>LPU FO</v>
          </cell>
        </row>
        <row r="349">
          <cell r="A349">
            <v>8828119151</v>
          </cell>
          <cell r="C349" t="str">
            <v>288 hilos ADSS, SPAN 100</v>
          </cell>
          <cell r="D349" t="str">
            <v>288H Tendido canalizado</v>
          </cell>
          <cell r="E349" t="str">
            <v>ml</v>
          </cell>
          <cell r="F349">
            <v>2604</v>
          </cell>
          <cell r="G349" t="str">
            <v>LPU FO</v>
          </cell>
        </row>
        <row r="350">
          <cell r="A350">
            <v>8828119161</v>
          </cell>
          <cell r="C350" t="str">
            <v>288 hilos ADSS, SPAN 200</v>
          </cell>
          <cell r="D350" t="str">
            <v>288H Tendido canalizado</v>
          </cell>
          <cell r="E350" t="str">
            <v>ml</v>
          </cell>
          <cell r="F350">
            <v>2604</v>
          </cell>
          <cell r="G350" t="str">
            <v>LPU FO</v>
          </cell>
        </row>
        <row r="351">
          <cell r="A351">
            <v>8828119171</v>
          </cell>
          <cell r="C351" t="str">
            <v>288 hilos Armado</v>
          </cell>
          <cell r="D351" t="str">
            <v>288H Tendido canalizado</v>
          </cell>
          <cell r="E351" t="str">
            <v>ml</v>
          </cell>
          <cell r="F351">
            <v>2604</v>
          </cell>
          <cell r="G351" t="str">
            <v>LPU FO</v>
          </cell>
        </row>
        <row r="352">
          <cell r="A352">
            <v>8828119180</v>
          </cell>
          <cell r="C352" t="str">
            <v>288 hilos terminal</v>
          </cell>
          <cell r="D352" t="str">
            <v>288H Tendido canalizado</v>
          </cell>
          <cell r="E352" t="str">
            <v>ml</v>
          </cell>
          <cell r="F352">
            <v>2604</v>
          </cell>
          <cell r="G352" t="str">
            <v>LPU FO</v>
          </cell>
        </row>
        <row r="353">
          <cell r="A353">
            <v>8828119189</v>
          </cell>
          <cell r="C353" t="str">
            <v>24 hilos ADSS, SPAN 100/200 entre 1 - 3 Km</v>
          </cell>
          <cell r="D353" t="str">
            <v>24H Tendido aereo</v>
          </cell>
          <cell r="E353" t="str">
            <v>ml</v>
          </cell>
          <cell r="F353">
            <v>2231</v>
          </cell>
          <cell r="G353" t="str">
            <v>LPU FO</v>
          </cell>
        </row>
        <row r="354">
          <cell r="A354">
            <v>8828119199</v>
          </cell>
          <cell r="C354" t="str">
            <v>24 hilos Armado entre 1 - 3 Km</v>
          </cell>
          <cell r="D354" t="str">
            <v>24H Tendido aereo</v>
          </cell>
          <cell r="E354" t="str">
            <v>ml</v>
          </cell>
          <cell r="F354">
            <v>2231</v>
          </cell>
          <cell r="G354" t="str">
            <v>LPU FO</v>
          </cell>
        </row>
        <row r="355">
          <cell r="A355">
            <v>8828119209</v>
          </cell>
          <cell r="C355" t="str">
            <v>24 hilos ADSS, SPAN 100/200 de 3 km en adelante</v>
          </cell>
          <cell r="D355" t="str">
            <v>24H Tendido aereo</v>
          </cell>
          <cell r="E355" t="str">
            <v>ml</v>
          </cell>
          <cell r="F355">
            <v>2210</v>
          </cell>
          <cell r="G355" t="str">
            <v>LPU FO</v>
          </cell>
        </row>
        <row r="356">
          <cell r="A356">
            <v>8828119216</v>
          </cell>
          <cell r="C356" t="str">
            <v>24 hilos Armado de 3 km en adelante</v>
          </cell>
          <cell r="D356" t="str">
            <v>24H Tendido aereo</v>
          </cell>
          <cell r="E356" t="str">
            <v>ml</v>
          </cell>
          <cell r="F356">
            <v>2210</v>
          </cell>
          <cell r="G356" t="str">
            <v>LPU FO</v>
          </cell>
        </row>
        <row r="357">
          <cell r="A357">
            <v>8828119226</v>
          </cell>
          <cell r="C357" t="str">
            <v>48 hilos ADSS, SPAN 100/200 entre 1 - 3 Km</v>
          </cell>
          <cell r="D357" t="str">
            <v>48H Tendido aereo</v>
          </cell>
          <cell r="E357" t="str">
            <v>ml</v>
          </cell>
          <cell r="F357">
            <v>2359</v>
          </cell>
          <cell r="G357" t="str">
            <v>LPU FO</v>
          </cell>
        </row>
        <row r="358">
          <cell r="A358">
            <v>8828119236</v>
          </cell>
          <cell r="C358" t="str">
            <v>48 hilos Armado entre 1 - 3 Km</v>
          </cell>
          <cell r="D358" t="str">
            <v>48H Tendido aereo</v>
          </cell>
          <cell r="E358" t="str">
            <v>ml</v>
          </cell>
          <cell r="F358">
            <v>2359</v>
          </cell>
          <cell r="G358" t="str">
            <v>LPU FO</v>
          </cell>
        </row>
        <row r="359">
          <cell r="A359">
            <v>8828119246</v>
          </cell>
          <cell r="C359" t="str">
            <v>48 hilos ADSS, SPAN 100/200 de 3 km en adelante</v>
          </cell>
          <cell r="D359" t="str">
            <v>48H Tendido aereo</v>
          </cell>
          <cell r="E359" t="str">
            <v>ml</v>
          </cell>
          <cell r="F359">
            <v>2327</v>
          </cell>
          <cell r="G359" t="str">
            <v>LPU FO</v>
          </cell>
        </row>
        <row r="360">
          <cell r="A360">
            <v>8828119255</v>
          </cell>
          <cell r="C360" t="str">
            <v>48 hilos Armado de 3 km en adelante</v>
          </cell>
          <cell r="D360" t="str">
            <v>48H Tendido aereo</v>
          </cell>
          <cell r="E360" t="str">
            <v>ml</v>
          </cell>
          <cell r="F360">
            <v>2327</v>
          </cell>
          <cell r="G360" t="str">
            <v>LPU FO</v>
          </cell>
        </row>
        <row r="361">
          <cell r="A361">
            <v>8828119273</v>
          </cell>
          <cell r="C361" t="str">
            <v>96 hilos ADSS, SPAN 100/200 entre 1 - 3 Km</v>
          </cell>
          <cell r="D361" t="str">
            <v>96H Tendido aereo</v>
          </cell>
          <cell r="E361" t="str">
            <v>ml</v>
          </cell>
          <cell r="F361">
            <v>2423</v>
          </cell>
          <cell r="G361" t="str">
            <v>LPU FO</v>
          </cell>
        </row>
        <row r="362">
          <cell r="A362">
            <v>8828119283</v>
          </cell>
          <cell r="C362" t="str">
            <v>96 hilos Armado entre 1 - 3 Km</v>
          </cell>
          <cell r="D362" t="str">
            <v>96H Tendido aereo</v>
          </cell>
          <cell r="E362" t="str">
            <v>ml</v>
          </cell>
          <cell r="F362">
            <v>2423</v>
          </cell>
          <cell r="G362" t="str">
            <v>LPU FO</v>
          </cell>
        </row>
        <row r="363">
          <cell r="A363">
            <v>8828119290</v>
          </cell>
          <cell r="C363" t="str">
            <v>96 hilos ADSS, SPAN 100/200 de 3 km en adelante</v>
          </cell>
          <cell r="D363" t="str">
            <v>96H Tendido aereo</v>
          </cell>
          <cell r="E363" t="str">
            <v>ml</v>
          </cell>
          <cell r="F363">
            <v>2391</v>
          </cell>
          <cell r="G363" t="str">
            <v>LPU FO</v>
          </cell>
        </row>
        <row r="364">
          <cell r="A364">
            <v>8828119301</v>
          </cell>
          <cell r="C364" t="str">
            <v>96 hilos Armado de 3 km en adelante</v>
          </cell>
          <cell r="D364" t="str">
            <v>96H Tendido aereo</v>
          </cell>
          <cell r="E364" t="str">
            <v>ml</v>
          </cell>
          <cell r="F364">
            <v>2391</v>
          </cell>
          <cell r="G364" t="str">
            <v>LPU FO</v>
          </cell>
        </row>
        <row r="365">
          <cell r="A365">
            <v>8828119445</v>
          </cell>
          <cell r="C365" t="str">
            <v>144 hilos ADSS, SPAN 100/200 entre 1 - 3 Km</v>
          </cell>
          <cell r="D365" t="str">
            <v>144H Tendido aereo</v>
          </cell>
          <cell r="E365" t="str">
            <v>ml</v>
          </cell>
          <cell r="F365">
            <v>2497</v>
          </cell>
          <cell r="G365" t="str">
            <v>LPU FO</v>
          </cell>
        </row>
        <row r="366">
          <cell r="A366">
            <v>8828119455</v>
          </cell>
          <cell r="C366" t="str">
            <v>144 hilos Armado entre 1 - 3 Km</v>
          </cell>
          <cell r="D366" t="str">
            <v>144H Tendido aereo</v>
          </cell>
          <cell r="E366" t="str">
            <v>ml</v>
          </cell>
          <cell r="F366">
            <v>2497</v>
          </cell>
          <cell r="G366" t="str">
            <v>LPU FO</v>
          </cell>
        </row>
        <row r="367">
          <cell r="A367">
            <v>8828119468</v>
          </cell>
          <cell r="C367" t="str">
            <v>144 hilos ADSS, SPAN 100/200 de 3 km en adelante</v>
          </cell>
          <cell r="D367" t="str">
            <v>144H Tendido aereo</v>
          </cell>
          <cell r="E367" t="str">
            <v>ml</v>
          </cell>
          <cell r="F367">
            <v>2465</v>
          </cell>
          <cell r="G367" t="str">
            <v>LPU FO</v>
          </cell>
        </row>
        <row r="368">
          <cell r="A368">
            <v>8828119477</v>
          </cell>
          <cell r="C368" t="str">
            <v>144 hilos Armado de 3 km en adelante</v>
          </cell>
          <cell r="D368" t="str">
            <v>144H Tendido aereo</v>
          </cell>
          <cell r="E368" t="str">
            <v>ml</v>
          </cell>
          <cell r="F368">
            <v>2465</v>
          </cell>
          <cell r="G368" t="str">
            <v>LPU FO</v>
          </cell>
        </row>
        <row r="369">
          <cell r="A369">
            <v>8828119487</v>
          </cell>
          <cell r="C369" t="str">
            <v>192 hilos ADSS, SPAN 100/200 entre 1 - 3 Km</v>
          </cell>
          <cell r="D369" t="str">
            <v>192H Tendido aereo</v>
          </cell>
          <cell r="E369" t="str">
            <v>ml</v>
          </cell>
          <cell r="F369">
            <v>2550</v>
          </cell>
          <cell r="G369" t="str">
            <v>LPU FO</v>
          </cell>
        </row>
        <row r="370">
          <cell r="A370">
            <v>8828119494</v>
          </cell>
          <cell r="C370" t="str">
            <v>192 hilos Armado entre 1 - 3 Km</v>
          </cell>
          <cell r="D370" t="str">
            <v>192H Tendido aereo</v>
          </cell>
          <cell r="E370" t="str">
            <v>ml</v>
          </cell>
          <cell r="F370">
            <v>2550</v>
          </cell>
          <cell r="G370" t="str">
            <v>LPU FO</v>
          </cell>
        </row>
        <row r="371">
          <cell r="A371">
            <v>8828119504</v>
          </cell>
          <cell r="C371" t="str">
            <v>192 hilos ADSS, SPAN 100/200 de 3 km en adelante</v>
          </cell>
          <cell r="D371" t="str">
            <v>192H Tendido aereo</v>
          </cell>
          <cell r="E371" t="str">
            <v>ml</v>
          </cell>
          <cell r="F371">
            <v>2508</v>
          </cell>
          <cell r="G371" t="str">
            <v>LPU FO</v>
          </cell>
        </row>
        <row r="372">
          <cell r="A372">
            <v>8828119513</v>
          </cell>
          <cell r="C372" t="str">
            <v>192 hilos Armado de 3 km en adelante</v>
          </cell>
          <cell r="D372" t="str">
            <v>192H Tendido aereo</v>
          </cell>
          <cell r="E372" t="str">
            <v>ml</v>
          </cell>
          <cell r="F372">
            <v>2508</v>
          </cell>
          <cell r="G372" t="str">
            <v>LPU FO</v>
          </cell>
        </row>
        <row r="373">
          <cell r="A373">
            <v>8828119523</v>
          </cell>
          <cell r="C373" t="str">
            <v>288 hilos ADSS, SPAN 100/200 entre 1 - 3 Km</v>
          </cell>
          <cell r="D373" t="str">
            <v>288H Tendido aereo</v>
          </cell>
          <cell r="E373" t="str">
            <v>ml</v>
          </cell>
          <cell r="F373">
            <v>2604</v>
          </cell>
          <cell r="G373" t="str">
            <v>LPU FO</v>
          </cell>
        </row>
        <row r="374">
          <cell r="A374">
            <v>8828119532</v>
          </cell>
          <cell r="C374" t="str">
            <v>288 hilos Armado entre 1 - 3 Km</v>
          </cell>
          <cell r="D374" t="str">
            <v>288H Tendido aereo</v>
          </cell>
          <cell r="E374" t="str">
            <v>ml</v>
          </cell>
          <cell r="F374">
            <v>2604</v>
          </cell>
          <cell r="G374" t="str">
            <v>LPU FO</v>
          </cell>
        </row>
        <row r="375">
          <cell r="A375">
            <v>8828119542</v>
          </cell>
          <cell r="C375" t="str">
            <v>288 hilos ADSS, SPAN 100/200 de 3 km en adelante</v>
          </cell>
          <cell r="D375" t="str">
            <v>288H Tendido aereo</v>
          </cell>
          <cell r="E375" t="str">
            <v>ml</v>
          </cell>
          <cell r="F375">
            <v>2550</v>
          </cell>
          <cell r="G375" t="str">
            <v>LPU FO</v>
          </cell>
        </row>
        <row r="376">
          <cell r="A376">
            <v>8828119550</v>
          </cell>
          <cell r="C376" t="str">
            <v>288 hilos Armado de 3 km en adelante</v>
          </cell>
          <cell r="D376" t="str">
            <v>288H Tendido aereo</v>
          </cell>
          <cell r="E376" t="str">
            <v>ml</v>
          </cell>
          <cell r="F376">
            <v>2550</v>
          </cell>
          <cell r="G376" t="str">
            <v>LPU FO</v>
          </cell>
        </row>
        <row r="377">
          <cell r="A377">
            <v>8828119560</v>
          </cell>
          <cell r="C377" t="str">
            <v>288 hilos, tendido de Cables de Fibra Óptica Autoportante</v>
          </cell>
          <cell r="D377" t="str">
            <v>288H Tendido canalizado</v>
          </cell>
          <cell r="E377" t="str">
            <v>ml</v>
          </cell>
          <cell r="F377">
            <v>2550</v>
          </cell>
          <cell r="G377" t="str">
            <v>LPU FO</v>
          </cell>
        </row>
        <row r="378">
          <cell r="A378">
            <v>8828119567</v>
          </cell>
          <cell r="C378" t="str">
            <v>Tendido de cables de fibra optica autoportante con reserva</v>
          </cell>
          <cell r="D378" t="str">
            <v>288H Tendido canalizado</v>
          </cell>
          <cell r="E378" t="str">
            <v>ml</v>
          </cell>
          <cell r="F378">
            <v>2869</v>
          </cell>
          <cell r="G378" t="str">
            <v>LPU FO</v>
          </cell>
        </row>
        <row r="379">
          <cell r="A379">
            <v>8828119577</v>
          </cell>
          <cell r="C379" t="str">
            <v>Tendido provisional del cable sobre párales de madera de 1 m</v>
          </cell>
          <cell r="D379" t="str">
            <v>288H Tendido canalizado</v>
          </cell>
          <cell r="E379" t="str">
            <v>ml</v>
          </cell>
          <cell r="F379">
            <v>2231</v>
          </cell>
          <cell r="G379" t="str">
            <v>LPU FO</v>
          </cell>
        </row>
        <row r="380">
          <cell r="A380">
            <v>8828119586</v>
          </cell>
          <cell r="C380" t="str">
            <v>Tendido de cable patch-cord de fibra optica</v>
          </cell>
          <cell r="D380" t="str">
            <v>Tendido</v>
          </cell>
          <cell r="E380" t="str">
            <v>ml</v>
          </cell>
          <cell r="F380">
            <v>1890</v>
          </cell>
          <cell r="G380" t="str">
            <v>LPU FO</v>
          </cell>
        </row>
        <row r="381">
          <cell r="A381">
            <v>8828119596</v>
          </cell>
          <cell r="C381" t="str">
            <v>Tendido de cable UTP</v>
          </cell>
          <cell r="D381" t="str">
            <v>Tendido</v>
          </cell>
          <cell r="E381" t="str">
            <v>ml</v>
          </cell>
          <cell r="F381">
            <v>1700</v>
          </cell>
          <cell r="G381" t="str">
            <v>LPU FO</v>
          </cell>
        </row>
        <row r="382">
          <cell r="A382">
            <v>8828119606</v>
          </cell>
          <cell r="C382" t="str">
            <v>Tendido de cable STP</v>
          </cell>
          <cell r="D382" t="str">
            <v>Tendido</v>
          </cell>
          <cell r="E382" t="str">
            <v>ml</v>
          </cell>
          <cell r="F382">
            <v>1700</v>
          </cell>
          <cell r="G382" t="str">
            <v>LPU FO</v>
          </cell>
        </row>
        <row r="383">
          <cell r="A383">
            <v>8828119613</v>
          </cell>
          <cell r="C383" t="str">
            <v>Retiro e Instalación de reserva existente en poste</v>
          </cell>
          <cell r="D383" t="str">
            <v>Tendido</v>
          </cell>
          <cell r="E383" t="str">
            <v>ml</v>
          </cell>
          <cell r="F383">
            <v>2040</v>
          </cell>
          <cell r="G383" t="str">
            <v>LPU FO</v>
          </cell>
        </row>
        <row r="384">
          <cell r="A384">
            <v>8828119622</v>
          </cell>
          <cell r="C384" t="str">
            <v>Retiro e Instalación de reserva existente en camara</v>
          </cell>
          <cell r="D384" t="str">
            <v>Tendido</v>
          </cell>
          <cell r="E384" t="str">
            <v>ml</v>
          </cell>
          <cell r="F384">
            <v>2040</v>
          </cell>
          <cell r="G384" t="str">
            <v>LPU FO</v>
          </cell>
        </row>
        <row r="385">
          <cell r="A385">
            <v>8828119631</v>
          </cell>
          <cell r="C385" t="str">
            <v>Retiro e Instalación de reserva existente canalizada</v>
          </cell>
          <cell r="D385" t="str">
            <v>Tendido</v>
          </cell>
          <cell r="E385" t="str">
            <v>ml</v>
          </cell>
          <cell r="F385">
            <v>2040</v>
          </cell>
          <cell r="G385" t="str">
            <v>LPU FO</v>
          </cell>
        </row>
        <row r="386">
          <cell r="A386">
            <v>8828119639</v>
          </cell>
          <cell r="C386" t="str">
            <v>Retiro e Instalación de reserva existente tipo raqueta (con grua canasta)</v>
          </cell>
          <cell r="D386" t="str">
            <v>Tendido</v>
          </cell>
          <cell r="E386" t="str">
            <v>ml</v>
          </cell>
          <cell r="F386">
            <v>3188</v>
          </cell>
          <cell r="G386" t="str">
            <v>LPU FO</v>
          </cell>
        </row>
        <row r="387">
          <cell r="A387">
            <v>8828119647</v>
          </cell>
          <cell r="C387" t="str">
            <v>Retiro e Instalación de reserva existente tipo raqueta (con escalera)</v>
          </cell>
          <cell r="D387" t="str">
            <v>Tendido</v>
          </cell>
          <cell r="E387" t="str">
            <v>ml</v>
          </cell>
          <cell r="F387">
            <v>3230</v>
          </cell>
          <cell r="G387" t="str">
            <v>LPU FO</v>
          </cell>
        </row>
        <row r="388">
          <cell r="A388">
            <v>8828119657</v>
          </cell>
          <cell r="C388" t="str">
            <v>Retiro e Instalación de reserva en poste</v>
          </cell>
          <cell r="D388" t="str">
            <v>Tendido</v>
          </cell>
          <cell r="E388" t="str">
            <v>ml</v>
          </cell>
          <cell r="F388">
            <v>2040</v>
          </cell>
          <cell r="G388" t="str">
            <v>LPU FO</v>
          </cell>
        </row>
        <row r="389">
          <cell r="A389">
            <v>8828118824</v>
          </cell>
          <cell r="C389" t="str">
            <v>Retiro e Instalación de reserva en camara</v>
          </cell>
          <cell r="D389" t="str">
            <v>Tendido</v>
          </cell>
          <cell r="E389" t="str">
            <v>ml</v>
          </cell>
          <cell r="F389">
            <v>2040</v>
          </cell>
          <cell r="G389" t="str">
            <v>LPU FO</v>
          </cell>
        </row>
        <row r="390">
          <cell r="A390">
            <v>8828118826</v>
          </cell>
          <cell r="C390" t="str">
            <v>Retiro e Instalación de reserva canalizada</v>
          </cell>
          <cell r="D390" t="str">
            <v>Tendido</v>
          </cell>
          <cell r="E390" t="str">
            <v>ml</v>
          </cell>
          <cell r="F390">
            <v>2040</v>
          </cell>
          <cell r="G390" t="str">
            <v>LPU FO</v>
          </cell>
        </row>
        <row r="391">
          <cell r="A391">
            <v>8828118830</v>
          </cell>
          <cell r="C391" t="str">
            <v>Retiro e Instalación de reserva tipo raqueta (con grua canasta)</v>
          </cell>
          <cell r="D391" t="str">
            <v>Tendido</v>
          </cell>
          <cell r="E391" t="str">
            <v>ml</v>
          </cell>
          <cell r="F391">
            <v>2040</v>
          </cell>
          <cell r="G391" t="str">
            <v>LPU FO</v>
          </cell>
        </row>
        <row r="392">
          <cell r="A392">
            <v>8828118833</v>
          </cell>
          <cell r="C392" t="str">
            <v>Retiro e Instalación de reserva tipo raqueta (con escalera)</v>
          </cell>
          <cell r="D392" t="str">
            <v>Tendido</v>
          </cell>
          <cell r="E392" t="str">
            <v>ml</v>
          </cell>
          <cell r="F392">
            <v>2040</v>
          </cell>
          <cell r="G392" t="str">
            <v>LPU FO</v>
          </cell>
        </row>
        <row r="393">
          <cell r="A393">
            <v>8828119672</v>
          </cell>
          <cell r="C393" t="str">
            <v>Recuperaciòn de fibra optica aerea</v>
          </cell>
          <cell r="D393" t="str">
            <v>Tendido</v>
          </cell>
          <cell r="E393" t="str">
            <v>ml</v>
          </cell>
          <cell r="F393">
            <v>850</v>
          </cell>
          <cell r="G393" t="str">
            <v>LPU FO</v>
          </cell>
        </row>
        <row r="394">
          <cell r="A394">
            <v>8828119683</v>
          </cell>
          <cell r="C394" t="str">
            <v>Recuperaciòn de fibra optica canalizada</v>
          </cell>
          <cell r="D394" t="str">
            <v>Tendido</v>
          </cell>
          <cell r="E394" t="str">
            <v>ml</v>
          </cell>
          <cell r="F394">
            <v>1041</v>
          </cell>
          <cell r="G394" t="str">
            <v>LPU FO</v>
          </cell>
        </row>
        <row r="395">
          <cell r="A395">
            <v>8828119691</v>
          </cell>
          <cell r="C395" t="str">
            <v>Desmonte de cable de 12 hilos</v>
          </cell>
          <cell r="D395" t="str">
            <v>Tendido</v>
          </cell>
          <cell r="E395" t="str">
            <v>ml</v>
          </cell>
          <cell r="F395">
            <v>4400</v>
          </cell>
          <cell r="G395" t="str">
            <v>LPU FO</v>
          </cell>
        </row>
        <row r="396">
          <cell r="A396">
            <v>8828119700</v>
          </cell>
          <cell r="C396" t="str">
            <v>Desmonte de cable de 24 hilos</v>
          </cell>
          <cell r="D396" t="str">
            <v>Tendido</v>
          </cell>
          <cell r="E396" t="str">
            <v>ml</v>
          </cell>
          <cell r="F396">
            <v>4659</v>
          </cell>
          <cell r="G396" t="str">
            <v>LPU FO</v>
          </cell>
        </row>
        <row r="397">
          <cell r="A397">
            <v>8828118838</v>
          </cell>
          <cell r="C397" t="str">
            <v>Desmonte de cable de 48 hilos</v>
          </cell>
          <cell r="D397" t="str">
            <v>Tendido</v>
          </cell>
          <cell r="E397" t="str">
            <v>ml</v>
          </cell>
          <cell r="F397">
            <v>4917</v>
          </cell>
          <cell r="G397" t="str">
            <v>LPU FO</v>
          </cell>
        </row>
        <row r="398">
          <cell r="A398">
            <v>8828118845</v>
          </cell>
          <cell r="C398" t="str">
            <v>Desmonte de cable de 96 hilos</v>
          </cell>
          <cell r="D398" t="str">
            <v>Tendido</v>
          </cell>
          <cell r="E398" t="str">
            <v>ml</v>
          </cell>
          <cell r="F398">
            <v>5177</v>
          </cell>
          <cell r="G398" t="str">
            <v>LPU FO</v>
          </cell>
        </row>
        <row r="399">
          <cell r="A399">
            <v>8828118854</v>
          </cell>
          <cell r="C399" t="str">
            <v>Desmonte de cable de 144 hilos</v>
          </cell>
          <cell r="D399" t="str">
            <v>Tendido</v>
          </cell>
          <cell r="E399" t="str">
            <v>ml</v>
          </cell>
          <cell r="F399">
            <v>5177</v>
          </cell>
          <cell r="G399" t="str">
            <v>LPU FO</v>
          </cell>
        </row>
        <row r="400">
          <cell r="A400">
            <v>8828118862</v>
          </cell>
          <cell r="C400" t="str">
            <v>Desmonte de cable de 192 hilos</v>
          </cell>
          <cell r="D400" t="str">
            <v>Tendido</v>
          </cell>
          <cell r="E400" t="str">
            <v>ml</v>
          </cell>
          <cell r="F400">
            <v>5177</v>
          </cell>
          <cell r="G400" t="str">
            <v>LPU FO</v>
          </cell>
        </row>
        <row r="401">
          <cell r="A401">
            <v>8828118880</v>
          </cell>
          <cell r="C401" t="str">
            <v>Desmonte de cable de 288 hilos</v>
          </cell>
          <cell r="D401" t="str">
            <v>Tendido</v>
          </cell>
          <cell r="E401" t="str">
            <v>ml</v>
          </cell>
          <cell r="F401">
            <v>5177</v>
          </cell>
          <cell r="G401" t="str">
            <v>LPU FO</v>
          </cell>
        </row>
        <row r="402">
          <cell r="A402">
            <v>8828118890</v>
          </cell>
          <cell r="C402" t="str">
            <v>Carro canasta</v>
          </cell>
          <cell r="D402" t="str">
            <v>Tendido</v>
          </cell>
          <cell r="E402" t="str">
            <v>Día</v>
          </cell>
          <cell r="F402">
            <v>0</v>
          </cell>
          <cell r="G402" t="str">
            <v>LPU FO</v>
          </cell>
        </row>
        <row r="403">
          <cell r="C403" t="str">
            <v>EMPALME (Incluye preparación de cable)</v>
          </cell>
          <cell r="G403" t="str">
            <v>LPU FO</v>
          </cell>
        </row>
        <row r="404">
          <cell r="A404">
            <v>8828118905</v>
          </cell>
          <cell r="C404" t="str">
            <v>Empalme de hilo de fibra óptica en interiores</v>
          </cell>
          <cell r="D404" t="str">
            <v>Empalme</v>
          </cell>
          <cell r="E404" t="str">
            <v>Unidad</v>
          </cell>
          <cell r="F404">
            <v>19539</v>
          </cell>
          <cell r="G404" t="str">
            <v>LPU FO</v>
          </cell>
        </row>
        <row r="405">
          <cell r="A405">
            <v>8828118913</v>
          </cell>
          <cell r="C405" t="str">
            <v>Empalme en caja terminal de 1 hilo, 1 cable</v>
          </cell>
          <cell r="D405" t="str">
            <v>Empalme</v>
          </cell>
          <cell r="E405" t="str">
            <v>Unidad</v>
          </cell>
          <cell r="F405">
            <v>24660</v>
          </cell>
          <cell r="G405" t="str">
            <v>LPU FO</v>
          </cell>
        </row>
        <row r="406">
          <cell r="A406">
            <v>8828118928</v>
          </cell>
          <cell r="C406" t="str">
            <v>Empalme en caja terminal de 2 hilos 1 cable</v>
          </cell>
          <cell r="D406" t="str">
            <v>Empalme</v>
          </cell>
          <cell r="E406" t="str">
            <v>Unidad</v>
          </cell>
          <cell r="F406">
            <v>32881</v>
          </cell>
          <cell r="G406" t="str">
            <v>LPU FO</v>
          </cell>
        </row>
        <row r="407">
          <cell r="A407">
            <v>8828118936</v>
          </cell>
          <cell r="C407" t="str">
            <v>Empalme en caja terminal de 3-6 hilos, 1 cable</v>
          </cell>
          <cell r="D407" t="str">
            <v>Empalme</v>
          </cell>
          <cell r="E407" t="str">
            <v>Unidad</v>
          </cell>
          <cell r="F407">
            <v>41101</v>
          </cell>
          <cell r="G407" t="str">
            <v>LPU FO</v>
          </cell>
        </row>
        <row r="408">
          <cell r="A408">
            <v>8828118944</v>
          </cell>
          <cell r="C408" t="str">
            <v>Empalme en caja terminal de 7-12 hilos, 1 cable</v>
          </cell>
          <cell r="D408" t="str">
            <v>Empalme</v>
          </cell>
          <cell r="E408" t="str">
            <v>Unidad</v>
          </cell>
          <cell r="F408">
            <v>49320</v>
          </cell>
          <cell r="G408" t="str">
            <v>LPU FO</v>
          </cell>
        </row>
        <row r="409">
          <cell r="A409">
            <v>8828118955</v>
          </cell>
          <cell r="C409" t="str">
            <v>Empalme en ODF de 1 hilo, 1 Cable</v>
          </cell>
          <cell r="D409" t="str">
            <v>Empalme</v>
          </cell>
          <cell r="E409" t="str">
            <v>Unidad</v>
          </cell>
          <cell r="F409">
            <v>21493</v>
          </cell>
          <cell r="G409" t="str">
            <v>LPU FO</v>
          </cell>
        </row>
        <row r="410">
          <cell r="A410">
            <v>8828118964</v>
          </cell>
          <cell r="C410" t="str">
            <v>Empalme en ODF de 2 hilos, 1 Cable</v>
          </cell>
          <cell r="D410" t="str">
            <v>Empalme</v>
          </cell>
          <cell r="E410" t="str">
            <v>Unidad</v>
          </cell>
          <cell r="F410">
            <v>32881</v>
          </cell>
          <cell r="G410" t="str">
            <v>LPU FO</v>
          </cell>
        </row>
        <row r="411">
          <cell r="A411">
            <v>8828118973</v>
          </cell>
          <cell r="C411" t="str">
            <v>Empalme en ODF de 3-6 hilos, 1 Cable</v>
          </cell>
          <cell r="D411" t="str">
            <v>Empalme</v>
          </cell>
          <cell r="E411" t="str">
            <v>Unidad</v>
          </cell>
          <cell r="F411">
            <v>41101</v>
          </cell>
          <cell r="G411" t="str">
            <v>LPU FO</v>
          </cell>
        </row>
        <row r="412">
          <cell r="A412">
            <v>8828118983</v>
          </cell>
          <cell r="C412" t="str">
            <v>Empalme en ODF de 7-12 hilos, 1 Cable</v>
          </cell>
          <cell r="D412" t="str">
            <v>Empalme</v>
          </cell>
          <cell r="E412" t="str">
            <v>Unidad</v>
          </cell>
          <cell r="F412">
            <v>98642</v>
          </cell>
          <cell r="G412" t="str">
            <v>LPU FO</v>
          </cell>
        </row>
        <row r="413">
          <cell r="A413">
            <v>8828118991</v>
          </cell>
          <cell r="C413" t="str">
            <v>Empalme en ODF de 24 hilos, 1 Cable</v>
          </cell>
          <cell r="D413" t="str">
            <v>Empalme</v>
          </cell>
          <cell r="E413" t="str">
            <v>Unidad</v>
          </cell>
          <cell r="F413">
            <v>128234</v>
          </cell>
          <cell r="G413" t="str">
            <v>LPU FO</v>
          </cell>
        </row>
        <row r="414">
          <cell r="A414">
            <v>8828119001</v>
          </cell>
          <cell r="C414" t="str">
            <v>Empalme en ODF de 36 hilos, 1 Cable</v>
          </cell>
          <cell r="D414" t="str">
            <v>Empalme</v>
          </cell>
          <cell r="E414" t="str">
            <v>Unidad</v>
          </cell>
          <cell r="F414">
            <v>197282</v>
          </cell>
          <cell r="G414" t="str">
            <v>LPU FO</v>
          </cell>
        </row>
        <row r="415">
          <cell r="A415">
            <v>8828119009</v>
          </cell>
          <cell r="C415" t="str">
            <v>Empalme en ODF de 48 hilos, 1 Cable</v>
          </cell>
          <cell r="D415" t="str">
            <v>Empalme</v>
          </cell>
          <cell r="E415" t="str">
            <v>Unidad</v>
          </cell>
          <cell r="F415">
            <v>226875</v>
          </cell>
          <cell r="G415" t="str">
            <v>LPU FO</v>
          </cell>
        </row>
        <row r="416">
          <cell r="A416">
            <v>8828119019</v>
          </cell>
          <cell r="C416" t="str">
            <v>Empalme en ODF de 72 hilos, 1 Cable</v>
          </cell>
          <cell r="D416" t="str">
            <v>Empalme</v>
          </cell>
          <cell r="E416" t="str">
            <v>Unidad</v>
          </cell>
          <cell r="F416">
            <v>295924</v>
          </cell>
          <cell r="G416" t="str">
            <v>LPU FO</v>
          </cell>
        </row>
        <row r="417">
          <cell r="A417">
            <v>8828119030</v>
          </cell>
          <cell r="C417" t="str">
            <v>Empalme en ODF de 96 hilos, 1 Cable</v>
          </cell>
          <cell r="D417" t="str">
            <v>Empalme</v>
          </cell>
          <cell r="E417" t="str">
            <v>Unidad</v>
          </cell>
          <cell r="F417">
            <v>345245</v>
          </cell>
          <cell r="G417" t="str">
            <v>LPU FO</v>
          </cell>
        </row>
        <row r="418">
          <cell r="A418">
            <v>8828119039</v>
          </cell>
          <cell r="C418" t="str">
            <v>Empalme en ODF de 144 hilos, 1 Cable</v>
          </cell>
          <cell r="D418" t="str">
            <v>Empalme</v>
          </cell>
          <cell r="E418" t="str">
            <v>Unidad</v>
          </cell>
          <cell r="F418">
            <v>493207</v>
          </cell>
          <cell r="G418" t="str">
            <v>LPU FO</v>
          </cell>
        </row>
        <row r="419">
          <cell r="A419">
            <v>8828119048</v>
          </cell>
          <cell r="C419" t="str">
            <v>Empalme en ODF de 192 hilos, 1 Cable</v>
          </cell>
          <cell r="D419" t="str">
            <v>Empalme</v>
          </cell>
          <cell r="E419" t="str">
            <v>Unidad</v>
          </cell>
          <cell r="F419">
            <v>591848</v>
          </cell>
          <cell r="G419" t="str">
            <v>LPU FO</v>
          </cell>
        </row>
        <row r="420">
          <cell r="A420">
            <v>8828119058</v>
          </cell>
          <cell r="C420" t="str">
            <v>Empalme en ODF de 288 hilos, 1 Cable</v>
          </cell>
          <cell r="D420" t="str">
            <v>Empalme</v>
          </cell>
          <cell r="E420" t="str">
            <v>Unidad</v>
          </cell>
          <cell r="F420">
            <v>1183696</v>
          </cell>
          <cell r="G420" t="str">
            <v>LPU FO</v>
          </cell>
        </row>
        <row r="421">
          <cell r="A421">
            <v>8828119067</v>
          </cell>
          <cell r="C421" t="str">
            <v>Empalme Lineal 1 hilo, 2 Cables</v>
          </cell>
          <cell r="D421" t="str">
            <v>Empalme</v>
          </cell>
          <cell r="E421" t="str">
            <v>Unidad</v>
          </cell>
          <cell r="F421">
            <v>27244</v>
          </cell>
          <cell r="G421" t="str">
            <v>LPU FO</v>
          </cell>
        </row>
        <row r="422">
          <cell r="A422">
            <v>8828119076</v>
          </cell>
          <cell r="C422" t="str">
            <v>Empalme Lineal 2 hilos, 2 Cables</v>
          </cell>
          <cell r="D422" t="str">
            <v>Empalme</v>
          </cell>
          <cell r="E422" t="str">
            <v>Unidad</v>
          </cell>
          <cell r="F422">
            <v>32881</v>
          </cell>
          <cell r="G422" t="str">
            <v>LPU FO</v>
          </cell>
        </row>
        <row r="423">
          <cell r="A423">
            <v>8828119084</v>
          </cell>
          <cell r="C423" t="str">
            <v>Empalme Lineal 3-6 hilos, 2 Cables</v>
          </cell>
          <cell r="D423" t="str">
            <v>Empalme</v>
          </cell>
          <cell r="E423" t="str">
            <v>Unidad</v>
          </cell>
          <cell r="F423">
            <v>41101</v>
          </cell>
          <cell r="G423" t="str">
            <v>LPU FO</v>
          </cell>
        </row>
        <row r="424">
          <cell r="A424">
            <v>8828119093</v>
          </cell>
          <cell r="C424" t="str">
            <v>Empalme Lineal 7-12 hilos, 2 Cables</v>
          </cell>
          <cell r="D424" t="str">
            <v>Empalme</v>
          </cell>
          <cell r="E424" t="str">
            <v>Unidad</v>
          </cell>
          <cell r="F424">
            <v>98642</v>
          </cell>
          <cell r="G424" t="str">
            <v>LPU FO</v>
          </cell>
        </row>
        <row r="425">
          <cell r="A425">
            <v>8828119101</v>
          </cell>
          <cell r="C425" t="str">
            <v>Empalme Lineal 24 hilos, 2 Cables</v>
          </cell>
          <cell r="D425" t="str">
            <v>Empalme</v>
          </cell>
          <cell r="E425" t="str">
            <v>Unidad</v>
          </cell>
          <cell r="F425">
            <v>128234</v>
          </cell>
          <cell r="G425" t="str">
            <v>LPU FO</v>
          </cell>
        </row>
        <row r="426">
          <cell r="A426">
            <v>8828119115</v>
          </cell>
          <cell r="C426" t="str">
            <v>Empalme Lineal 36 hilos, 2 Cables</v>
          </cell>
          <cell r="D426" t="str">
            <v>Empalme</v>
          </cell>
          <cell r="E426" t="str">
            <v>Unidad</v>
          </cell>
          <cell r="F426">
            <v>197282</v>
          </cell>
          <cell r="G426" t="str">
            <v>LPU FO</v>
          </cell>
        </row>
        <row r="427">
          <cell r="A427">
            <v>8828119126</v>
          </cell>
          <cell r="C427" t="str">
            <v>Empalme Lineal 48 hilos, 2 Cables</v>
          </cell>
          <cell r="D427" t="str">
            <v>Empalme</v>
          </cell>
          <cell r="E427" t="str">
            <v>Unidad</v>
          </cell>
          <cell r="F427">
            <v>226875</v>
          </cell>
          <cell r="G427" t="str">
            <v>LPU FO</v>
          </cell>
        </row>
        <row r="428">
          <cell r="A428">
            <v>8828119135</v>
          </cell>
          <cell r="C428" t="str">
            <v>Empalme Lineal 72 hilos, 2 Cables</v>
          </cell>
          <cell r="D428" t="str">
            <v>Empalme</v>
          </cell>
          <cell r="E428" t="str">
            <v>Unidad</v>
          </cell>
          <cell r="F428">
            <v>295924</v>
          </cell>
          <cell r="G428" t="str">
            <v>LPU FO</v>
          </cell>
        </row>
        <row r="429">
          <cell r="A429">
            <v>8828119144</v>
          </cell>
          <cell r="C429" t="str">
            <v>Empalme Lineal 96 hilos, 2 Cables</v>
          </cell>
          <cell r="D429" t="str">
            <v>Empalme</v>
          </cell>
          <cell r="E429" t="str">
            <v>Unidad</v>
          </cell>
          <cell r="F429">
            <v>345245</v>
          </cell>
          <cell r="G429" t="str">
            <v>LPU FO</v>
          </cell>
        </row>
        <row r="430">
          <cell r="A430">
            <v>8828119711</v>
          </cell>
          <cell r="C430" t="str">
            <v>Empalme Lineal 144 hilos, 2 Cables</v>
          </cell>
          <cell r="D430" t="str">
            <v>Empalme</v>
          </cell>
          <cell r="E430" t="str">
            <v>Unidad</v>
          </cell>
          <cell r="F430">
            <v>493207</v>
          </cell>
          <cell r="G430" t="str">
            <v>LPU FO</v>
          </cell>
        </row>
        <row r="431">
          <cell r="A431">
            <v>8828119720</v>
          </cell>
          <cell r="C431" t="str">
            <v>Empalme Lineal 192 hilos, 2 Cables</v>
          </cell>
          <cell r="D431" t="str">
            <v>Empalme</v>
          </cell>
          <cell r="E431" t="str">
            <v>Unidad</v>
          </cell>
          <cell r="F431">
            <v>591848</v>
          </cell>
          <cell r="G431" t="str">
            <v>LPU FO</v>
          </cell>
        </row>
        <row r="432">
          <cell r="A432">
            <v>8828119731</v>
          </cell>
          <cell r="C432" t="str">
            <v>Empalme Lineal 288 hilos, 2 Cables</v>
          </cell>
          <cell r="D432" t="str">
            <v>Empalme</v>
          </cell>
          <cell r="E432" t="str">
            <v>Unidad</v>
          </cell>
          <cell r="F432">
            <v>1183696</v>
          </cell>
          <cell r="G432" t="str">
            <v>LPU FO</v>
          </cell>
        </row>
        <row r="433">
          <cell r="A433">
            <v>8828119740</v>
          </cell>
          <cell r="C433" t="str">
            <v>Empalme de transiciòn de acceso en OCEF existente de 1 hilo</v>
          </cell>
          <cell r="D433" t="str">
            <v>Empalme</v>
          </cell>
          <cell r="E433" t="str">
            <v>Unidad</v>
          </cell>
          <cell r="F433">
            <v>24660</v>
          </cell>
          <cell r="G433" t="str">
            <v>LPU FO</v>
          </cell>
        </row>
        <row r="434">
          <cell r="A434">
            <v>8828119748</v>
          </cell>
          <cell r="C434" t="str">
            <v>Empalme de transiciòn de Acceso en OCEF- (Nuevo OCEF Cables en Punta), 2 hilos</v>
          </cell>
          <cell r="D434" t="str">
            <v>Empalme</v>
          </cell>
          <cell r="E434" t="str">
            <v>Unidad</v>
          </cell>
          <cell r="F434">
            <v>49320</v>
          </cell>
          <cell r="G434" t="str">
            <v>LPU FO</v>
          </cell>
        </row>
        <row r="435">
          <cell r="A435">
            <v>8828119758</v>
          </cell>
          <cell r="C435" t="str">
            <v>Empalme de transiciòn de acceso en OCEF- (Sangria cable principal), 3 hilos</v>
          </cell>
          <cell r="D435" t="str">
            <v>Empalme</v>
          </cell>
          <cell r="E435" t="str">
            <v>Unidad</v>
          </cell>
          <cell r="F435">
            <v>98642</v>
          </cell>
          <cell r="G435" t="str">
            <v>LPU FO</v>
          </cell>
        </row>
        <row r="436">
          <cell r="A436">
            <v>8828119767</v>
          </cell>
          <cell r="C436" t="str">
            <v>Preparación e instalación caja empalme para cable de 12 hilos</v>
          </cell>
          <cell r="D436" t="str">
            <v>Empalme</v>
          </cell>
          <cell r="E436" t="str">
            <v>Unidad</v>
          </cell>
          <cell r="F436">
            <v>26350</v>
          </cell>
          <cell r="G436" t="str">
            <v>LPU FO</v>
          </cell>
        </row>
        <row r="437">
          <cell r="A437">
            <v>8828119787</v>
          </cell>
          <cell r="C437" t="str">
            <v>Preparación e instalación caja empalme para cable de 24 hilos</v>
          </cell>
          <cell r="D437" t="str">
            <v>Empalme</v>
          </cell>
          <cell r="E437" t="str">
            <v>Unidad</v>
          </cell>
          <cell r="F437">
            <v>29632</v>
          </cell>
          <cell r="G437" t="str">
            <v>LPU FO</v>
          </cell>
        </row>
        <row r="438">
          <cell r="A438">
            <v>8828119794</v>
          </cell>
          <cell r="C438" t="str">
            <v>Preparación e instalación caja empalme para cable de 48 hilos</v>
          </cell>
          <cell r="D438" t="str">
            <v>Empalme</v>
          </cell>
          <cell r="E438" t="str">
            <v>Unidad</v>
          </cell>
          <cell r="F438">
            <v>30539</v>
          </cell>
          <cell r="G438" t="str">
            <v>LPU FO</v>
          </cell>
        </row>
        <row r="439">
          <cell r="A439">
            <v>8828119803</v>
          </cell>
          <cell r="C439" t="str">
            <v>Preparación e instalación caja empalme para cable de 96 hilos</v>
          </cell>
          <cell r="D439" t="str">
            <v>Empalme</v>
          </cell>
          <cell r="E439" t="str">
            <v>Unidad</v>
          </cell>
          <cell r="F439">
            <v>32471</v>
          </cell>
          <cell r="G439" t="str">
            <v>LPU FO</v>
          </cell>
        </row>
        <row r="440">
          <cell r="A440">
            <v>8828119811</v>
          </cell>
          <cell r="C440" t="str">
            <v>Preparación e instalación caja empalme para cable de 144 hilos</v>
          </cell>
          <cell r="D440" t="str">
            <v>Empalme</v>
          </cell>
          <cell r="E440" t="str">
            <v>Unidad</v>
          </cell>
          <cell r="F440">
            <v>32471</v>
          </cell>
          <cell r="G440" t="str">
            <v>LPU FO</v>
          </cell>
        </row>
        <row r="441">
          <cell r="A441">
            <v>8828119819</v>
          </cell>
          <cell r="C441" t="str">
            <v>Preparación e instalación caja empalme para cable de 192 hilos</v>
          </cell>
          <cell r="D441" t="str">
            <v>Empalme</v>
          </cell>
          <cell r="E441" t="str">
            <v>Unidad</v>
          </cell>
          <cell r="F441">
            <v>32471</v>
          </cell>
          <cell r="G441" t="str">
            <v>LPU FO</v>
          </cell>
        </row>
        <row r="442">
          <cell r="A442">
            <v>8828119828</v>
          </cell>
          <cell r="C442" t="str">
            <v>Preparación e instalación caja empalme para cable de 288 hilos</v>
          </cell>
          <cell r="D442" t="str">
            <v>Empalme</v>
          </cell>
          <cell r="E442" t="str">
            <v>Unidad</v>
          </cell>
          <cell r="F442">
            <v>32471</v>
          </cell>
          <cell r="G442" t="str">
            <v>LPU FO</v>
          </cell>
        </row>
        <row r="443">
          <cell r="A443">
            <v>8828119837</v>
          </cell>
          <cell r="C443" t="str">
            <v>Acceso a empalme existente - 1 hilo, 1 cable</v>
          </cell>
          <cell r="D443" t="str">
            <v>Empalme</v>
          </cell>
          <cell r="E443" t="str">
            <v>Unidad</v>
          </cell>
          <cell r="F443">
            <v>70678</v>
          </cell>
          <cell r="G443" t="str">
            <v>LPU FO</v>
          </cell>
        </row>
        <row r="444">
          <cell r="A444">
            <v>8828119846</v>
          </cell>
          <cell r="C444" t="str">
            <v>Acceso a empalme existente - 2 hilos, 1 cable</v>
          </cell>
          <cell r="D444" t="str">
            <v>Empalme</v>
          </cell>
          <cell r="E444" t="str">
            <v>Unidad</v>
          </cell>
          <cell r="F444">
            <v>116708</v>
          </cell>
          <cell r="G444" t="str">
            <v>LPU FO</v>
          </cell>
        </row>
        <row r="445">
          <cell r="A445">
            <v>8828119854</v>
          </cell>
          <cell r="C445" t="str">
            <v>Acceso a empalme existente - 3-6 hilos, 1 cable</v>
          </cell>
          <cell r="D445" t="str">
            <v>Empalme</v>
          </cell>
          <cell r="E445" t="str">
            <v>Unidad</v>
          </cell>
          <cell r="F445">
            <v>126433</v>
          </cell>
          <cell r="G445" t="str">
            <v>LPU FO</v>
          </cell>
        </row>
        <row r="446">
          <cell r="A446">
            <v>8828119861</v>
          </cell>
          <cell r="C446" t="str">
            <v>Acceso a empalme existente - 7-12 hilos, 1 cable</v>
          </cell>
          <cell r="D446" t="str">
            <v>Empalme</v>
          </cell>
          <cell r="E446" t="str">
            <v>Unidad</v>
          </cell>
          <cell r="F446">
            <v>145884</v>
          </cell>
          <cell r="G446" t="str">
            <v>LPU FO</v>
          </cell>
        </row>
        <row r="447">
          <cell r="A447">
            <v>8828119872</v>
          </cell>
          <cell r="C447" t="str">
            <v>Acceso con Sangrfa a Cable de 1 hilo, 1 Cable</v>
          </cell>
          <cell r="D447" t="str">
            <v>Empalme</v>
          </cell>
          <cell r="E447" t="str">
            <v>Unidad</v>
          </cell>
          <cell r="F447">
            <v>42190</v>
          </cell>
          <cell r="G447" t="str">
            <v>LPU FO</v>
          </cell>
        </row>
        <row r="448">
          <cell r="A448">
            <v>8828119883</v>
          </cell>
          <cell r="C448" t="str">
            <v>Acceso con Sangrfa a Cable de 2 hilos, 1 Cable</v>
          </cell>
          <cell r="D448" t="str">
            <v>Empalme</v>
          </cell>
          <cell r="E448" t="str">
            <v>Unidad</v>
          </cell>
          <cell r="F448">
            <v>84380</v>
          </cell>
          <cell r="G448" t="str">
            <v>LPU FO</v>
          </cell>
        </row>
        <row r="449">
          <cell r="A449">
            <v>8828119889</v>
          </cell>
          <cell r="C449" t="str">
            <v>Acceso con Sangrfa a Cable de 3-6 hilos, 1 Cable</v>
          </cell>
          <cell r="D449" t="str">
            <v>Empalme</v>
          </cell>
          <cell r="E449" t="str">
            <v>Unidad</v>
          </cell>
          <cell r="F449">
            <v>111845</v>
          </cell>
          <cell r="G449" t="str">
            <v>LPU FO</v>
          </cell>
        </row>
        <row r="450">
          <cell r="A450">
            <v>8828119903</v>
          </cell>
          <cell r="C450" t="str">
            <v>Acceso con Sangria a Cable de 7-12 hilos, 1 Cable</v>
          </cell>
          <cell r="D450" t="str">
            <v>Empalme</v>
          </cell>
          <cell r="E450" t="str">
            <v>Unidad</v>
          </cell>
          <cell r="F450">
            <v>116708</v>
          </cell>
          <cell r="G450" t="str">
            <v>LPU FO</v>
          </cell>
        </row>
        <row r="451">
          <cell r="A451">
            <v>8828119913</v>
          </cell>
          <cell r="C451" t="str">
            <v>Acceso con Sangria a Cable 13-24 hilos, 1 Cable</v>
          </cell>
          <cell r="D451" t="str">
            <v>Empalme</v>
          </cell>
          <cell r="E451" t="str">
            <v>Unidad</v>
          </cell>
          <cell r="F451">
            <v>118652</v>
          </cell>
          <cell r="G451" t="str">
            <v>LPU FO</v>
          </cell>
        </row>
        <row r="452">
          <cell r="A452">
            <v>8828119922</v>
          </cell>
          <cell r="C452" t="str">
            <v>Acceso con Sangria a Cable 25-48 Fibras -1 Cable</v>
          </cell>
          <cell r="D452" t="str">
            <v>Empalme</v>
          </cell>
          <cell r="E452" t="str">
            <v>Unidad</v>
          </cell>
          <cell r="F452">
            <v>121570</v>
          </cell>
          <cell r="G452" t="str">
            <v>LPU FO</v>
          </cell>
        </row>
        <row r="453">
          <cell r="A453">
            <v>8828119933</v>
          </cell>
          <cell r="C453" t="str">
            <v>Acceso con Sangria a Cable 49-72 Fibras -1 Cable</v>
          </cell>
          <cell r="D453" t="str">
            <v>Empalme</v>
          </cell>
          <cell r="E453" t="str">
            <v>Unidad</v>
          </cell>
          <cell r="F453">
            <v>126433</v>
          </cell>
          <cell r="G453" t="str">
            <v>LPU FO</v>
          </cell>
        </row>
        <row r="454">
          <cell r="A454">
            <v>8828119942</v>
          </cell>
          <cell r="C454" t="str">
            <v>Acceso con Sangria a Cable 73-96 Fibras -1 Cable</v>
          </cell>
          <cell r="D454" t="str">
            <v>Empalme</v>
          </cell>
          <cell r="E454" t="str">
            <v>Unidad</v>
          </cell>
          <cell r="F454">
            <v>136159</v>
          </cell>
          <cell r="G454" t="str">
            <v>LPU FO</v>
          </cell>
        </row>
        <row r="455">
          <cell r="A455">
            <v>8828119951</v>
          </cell>
          <cell r="C455" t="str">
            <v>Acceso con Sangria a Cable 97-144 Fibras -1 Cable</v>
          </cell>
          <cell r="D455" t="str">
            <v>Empalme</v>
          </cell>
          <cell r="E455" t="str">
            <v>Unidad</v>
          </cell>
          <cell r="F455">
            <v>138104</v>
          </cell>
          <cell r="G455" t="str">
            <v>LPU FO</v>
          </cell>
        </row>
        <row r="456">
          <cell r="A456">
            <v>8828119960</v>
          </cell>
          <cell r="C456" t="str">
            <v>Acceso con Sangria a Cable 145-192 Fibras -1 Cable</v>
          </cell>
          <cell r="D456" t="str">
            <v>Empalme</v>
          </cell>
          <cell r="E456" t="str">
            <v>Unidad</v>
          </cell>
          <cell r="F456">
            <v>141022</v>
          </cell>
          <cell r="G456" t="str">
            <v>LPU FO</v>
          </cell>
        </row>
        <row r="457">
          <cell r="A457">
            <v>8828119969</v>
          </cell>
          <cell r="C457" t="str">
            <v>Acceso con Sangria a Cable 193-288 Fibras -1 Cable</v>
          </cell>
          <cell r="D457" t="str">
            <v>Empalme</v>
          </cell>
          <cell r="E457" t="str">
            <v>Unidad</v>
          </cell>
          <cell r="F457">
            <v>145884</v>
          </cell>
          <cell r="G457" t="str">
            <v>LPU FO</v>
          </cell>
        </row>
        <row r="458">
          <cell r="A458">
            <v>8828119979</v>
          </cell>
          <cell r="C458" t="str">
            <v>Reubicaciòn de Caja terminal</v>
          </cell>
          <cell r="D458" t="str">
            <v>Empalme</v>
          </cell>
          <cell r="E458" t="str">
            <v>Unidad</v>
          </cell>
          <cell r="F458">
            <v>59310</v>
          </cell>
          <cell r="G458" t="str">
            <v>LPU FO</v>
          </cell>
        </row>
        <row r="459">
          <cell r="A459">
            <v>8828119988</v>
          </cell>
          <cell r="C459" t="str">
            <v>Instalacion ODF 12 hilos</v>
          </cell>
          <cell r="D459" t="str">
            <v>Empalme</v>
          </cell>
          <cell r="E459" t="str">
            <v>Unidad</v>
          </cell>
          <cell r="F459">
            <v>83986</v>
          </cell>
          <cell r="G459" t="str">
            <v>LPU FO</v>
          </cell>
        </row>
        <row r="460">
          <cell r="A460">
            <v>8828119999</v>
          </cell>
          <cell r="C460" t="str">
            <v>Instalación ODF 24 hilos</v>
          </cell>
          <cell r="D460" t="str">
            <v>Empalme</v>
          </cell>
          <cell r="E460" t="str">
            <v>Unidad</v>
          </cell>
          <cell r="F460">
            <v>113981</v>
          </cell>
          <cell r="G460" t="str">
            <v>LPU FO</v>
          </cell>
        </row>
        <row r="461">
          <cell r="A461">
            <v>8828120009</v>
          </cell>
          <cell r="C461" t="str">
            <v>Instalación ODF 48 hilos</v>
          </cell>
          <cell r="D461" t="str">
            <v>Empalme</v>
          </cell>
          <cell r="E461" t="str">
            <v>Unidad</v>
          </cell>
          <cell r="F461">
            <v>127500</v>
          </cell>
          <cell r="G461" t="str">
            <v>LPU FO</v>
          </cell>
        </row>
        <row r="462">
          <cell r="A462">
            <v>8828120019</v>
          </cell>
          <cell r="C462" t="str">
            <v>Instalación ODF 96 hilos</v>
          </cell>
          <cell r="D462" t="str">
            <v>Empalme</v>
          </cell>
          <cell r="E462" t="str">
            <v>Unidad</v>
          </cell>
          <cell r="F462">
            <v>127500</v>
          </cell>
          <cell r="G462" t="str">
            <v>LPU FO</v>
          </cell>
        </row>
        <row r="463">
          <cell r="A463">
            <v>8828120028</v>
          </cell>
          <cell r="C463" t="str">
            <v>Instalación ODF 144 hilos</v>
          </cell>
          <cell r="D463" t="str">
            <v>Empalme</v>
          </cell>
          <cell r="E463" t="str">
            <v>Unidad</v>
          </cell>
          <cell r="F463">
            <v>127500</v>
          </cell>
          <cell r="G463" t="str">
            <v>LPU FO</v>
          </cell>
        </row>
        <row r="464">
          <cell r="A464">
            <v>8828120035</v>
          </cell>
          <cell r="C464" t="str">
            <v>Instalacion ODF 192 hilos</v>
          </cell>
          <cell r="D464" t="str">
            <v>Empalme</v>
          </cell>
          <cell r="E464" t="str">
            <v>Unidad</v>
          </cell>
          <cell r="F464">
            <v>127500</v>
          </cell>
          <cell r="G464" t="str">
            <v>LPU FO</v>
          </cell>
        </row>
        <row r="465">
          <cell r="A465">
            <v>8828120043</v>
          </cell>
          <cell r="C465" t="str">
            <v>Instalacion ODF 288 hilos</v>
          </cell>
          <cell r="D465" t="str">
            <v>Empalme</v>
          </cell>
          <cell r="E465" t="str">
            <v>Unidad</v>
          </cell>
          <cell r="F465">
            <v>127500</v>
          </cell>
          <cell r="G465" t="str">
            <v>LPU FO</v>
          </cell>
        </row>
        <row r="466">
          <cell r="A466">
            <v>8828120052</v>
          </cell>
          <cell r="C466" t="str">
            <v>Instalacion rack estándar de piso para interiores, de 20U - Opcion1</v>
          </cell>
          <cell r="D466" t="str">
            <v>Empalme</v>
          </cell>
          <cell r="E466" t="str">
            <v>Unidad</v>
          </cell>
          <cell r="F466">
            <v>166320</v>
          </cell>
          <cell r="G466" t="str">
            <v>LPU FO</v>
          </cell>
        </row>
        <row r="467">
          <cell r="A467">
            <v>8828120061</v>
          </cell>
          <cell r="C467" t="str">
            <v>Instalacion rack estándar de piso para interiores, de 42U - Opción1</v>
          </cell>
          <cell r="D467" t="str">
            <v>Empalme</v>
          </cell>
          <cell r="E467" t="str">
            <v>Unidad</v>
          </cell>
          <cell r="F467">
            <v>166320</v>
          </cell>
          <cell r="G467" t="str">
            <v>LPU FO</v>
          </cell>
        </row>
        <row r="468">
          <cell r="A468">
            <v>8828120069</v>
          </cell>
          <cell r="C468" t="str">
            <v>Instalacion rack estándar de piso para interiores, de 20U - Opción2</v>
          </cell>
          <cell r="D468" t="str">
            <v>Empalme</v>
          </cell>
          <cell r="E468" t="str">
            <v>Unidad</v>
          </cell>
          <cell r="F468">
            <v>124183</v>
          </cell>
          <cell r="G468" t="str">
            <v>LPU FO</v>
          </cell>
        </row>
        <row r="469">
          <cell r="A469">
            <v>8828120077</v>
          </cell>
          <cell r="C469" t="str">
            <v>Instalación rack estándar de piso para interiores, de 42U - Opción2</v>
          </cell>
          <cell r="D469" t="str">
            <v>Empalme</v>
          </cell>
          <cell r="E469" t="str">
            <v>Unidad</v>
          </cell>
          <cell r="F469">
            <v>124183</v>
          </cell>
          <cell r="G469" t="str">
            <v>LPU FO</v>
          </cell>
        </row>
        <row r="470">
          <cell r="A470">
            <v>8828120086</v>
          </cell>
          <cell r="C470" t="str">
            <v>Instalacion rack estándar de pared para interiores, de 10U</v>
          </cell>
          <cell r="D470" t="str">
            <v>Empalme</v>
          </cell>
          <cell r="E470" t="str">
            <v>Unidad</v>
          </cell>
          <cell r="F470">
            <v>75650</v>
          </cell>
          <cell r="G470" t="str">
            <v>LPU FO</v>
          </cell>
        </row>
        <row r="471">
          <cell r="A471">
            <v>8828120095</v>
          </cell>
          <cell r="C471" t="str">
            <v>Instalacion raqueta para reserva de fibra optica</v>
          </cell>
          <cell r="D471" t="str">
            <v>Empalme</v>
          </cell>
          <cell r="E471" t="str">
            <v>Unidad</v>
          </cell>
          <cell r="F471">
            <v>26563</v>
          </cell>
          <cell r="G471" t="str">
            <v>LPU FO</v>
          </cell>
        </row>
        <row r="472">
          <cell r="C472" t="str">
            <v>VARIABLES</v>
          </cell>
          <cell r="G472" t="str">
            <v>LPU FO</v>
          </cell>
        </row>
        <row r="473">
          <cell r="A473">
            <v>8828120104</v>
          </cell>
          <cell r="C473" t="str">
            <v>Almacenamiento de cable de fibra (No aplica para cable asociado a ordenes de trabajo)</v>
          </cell>
          <cell r="D473" t="str">
            <v>Variables</v>
          </cell>
          <cell r="E473" t="str">
            <v>ml</v>
          </cell>
          <cell r="F473">
            <v>34</v>
          </cell>
          <cell r="G473" t="str">
            <v>LPU FO</v>
          </cell>
        </row>
        <row r="474">
          <cell r="A474">
            <v>8828120118</v>
          </cell>
          <cell r="C474" t="str">
            <v>Suministro e Instalación de Cruce americano con una derivación</v>
          </cell>
          <cell r="D474" t="str">
            <v>Variables</v>
          </cell>
          <cell r="E474" t="str">
            <v>ml</v>
          </cell>
          <cell r="F474">
            <v>95852</v>
          </cell>
          <cell r="G474" t="str">
            <v>LPU FO</v>
          </cell>
        </row>
        <row r="475">
          <cell r="A475">
            <v>8828120124</v>
          </cell>
          <cell r="C475" t="str">
            <v>Suministro e Instalación de Cruce americano con dos derivaciones</v>
          </cell>
          <cell r="D475" t="str">
            <v>Variables</v>
          </cell>
          <cell r="E475" t="str">
            <v>ml</v>
          </cell>
          <cell r="F475">
            <v>153844</v>
          </cell>
          <cell r="G475" t="str">
            <v>LPU FO</v>
          </cell>
        </row>
        <row r="476">
          <cell r="A476">
            <v>8828120138</v>
          </cell>
          <cell r="C476" t="str">
            <v>Suministro e Instalación de Poste de 9 m por 510 Kg.</v>
          </cell>
          <cell r="D476" t="str">
            <v>Variables</v>
          </cell>
          <cell r="E476" t="str">
            <v>Unidad</v>
          </cell>
          <cell r="F476">
            <v>1540625</v>
          </cell>
          <cell r="G476" t="str">
            <v>LPU FO</v>
          </cell>
        </row>
        <row r="477">
          <cell r="A477">
            <v>8828120148</v>
          </cell>
          <cell r="C477" t="str">
            <v>Suminlstro e Instalación de poste de 10m por 510 Kg.</v>
          </cell>
          <cell r="D477" t="str">
            <v>Variables</v>
          </cell>
          <cell r="E477" t="str">
            <v>Unidad</v>
          </cell>
          <cell r="F477">
            <v>1615000</v>
          </cell>
          <cell r="G477" t="str">
            <v>LPU FO</v>
          </cell>
        </row>
        <row r="478">
          <cell r="A478">
            <v>8828120157</v>
          </cell>
          <cell r="C478" t="str">
            <v>Suministro e Instalación de poste de 12m por 510 Kg.</v>
          </cell>
          <cell r="D478" t="str">
            <v>Variables</v>
          </cell>
          <cell r="E478" t="str">
            <v>Unidad</v>
          </cell>
          <cell r="F478">
            <v>2226809</v>
          </cell>
          <cell r="G478" t="str">
            <v>LPU FO</v>
          </cell>
        </row>
        <row r="479">
          <cell r="A479">
            <v>8828120164</v>
          </cell>
          <cell r="C479" t="str">
            <v>Suministro e lnstalacion de prolongaciòn vertical en Poste</v>
          </cell>
          <cell r="D479" t="str">
            <v>Variables</v>
          </cell>
          <cell r="E479" t="str">
            <v>ml</v>
          </cell>
          <cell r="F479">
            <v>143438</v>
          </cell>
          <cell r="G479" t="str">
            <v>LPU FO</v>
          </cell>
        </row>
        <row r="480">
          <cell r="A480">
            <v>8828120172</v>
          </cell>
          <cell r="C480" t="str">
            <v>Suministro e Instalaci6n de prolongaciòn tipo bandera en poste</v>
          </cell>
          <cell r="D480" t="str">
            <v>Variables</v>
          </cell>
          <cell r="E480" t="str">
            <v>ml</v>
          </cell>
          <cell r="F480">
            <v>62987</v>
          </cell>
          <cell r="G480" t="str">
            <v>LPU FO</v>
          </cell>
        </row>
        <row r="481">
          <cell r="A481">
            <v>8828120180</v>
          </cell>
          <cell r="C481" t="str">
            <v>Suministro e instalación bajante en tuberia de presion PVC de 1 1/2" x 6 mts.</v>
          </cell>
          <cell r="D481" t="str">
            <v>Variables</v>
          </cell>
          <cell r="E481" t="str">
            <v>Unidad</v>
          </cell>
          <cell r="F481">
            <v>46750</v>
          </cell>
          <cell r="G481" t="str">
            <v>LPU FO</v>
          </cell>
        </row>
        <row r="482">
          <cell r="A482">
            <v>8828120189</v>
          </cell>
          <cell r="C482" t="str">
            <v>suministro e instalación bajante en tuberfa de presion PVC de 2" x 6 mts.</v>
          </cell>
          <cell r="D482" t="str">
            <v>Variables</v>
          </cell>
          <cell r="E482" t="str">
            <v>Unidad</v>
          </cell>
          <cell r="F482">
            <v>55250</v>
          </cell>
          <cell r="G482" t="str">
            <v>LPU FO</v>
          </cell>
        </row>
        <row r="483">
          <cell r="A483">
            <v>8828120197</v>
          </cell>
          <cell r="C483" t="str">
            <v>suministro e instalación bajante en tuberfa de presion PVC de 4" x 6 mts.</v>
          </cell>
          <cell r="D483" t="str">
            <v>Variables</v>
          </cell>
          <cell r="E483" t="str">
            <v>Unidad</v>
          </cell>
          <cell r="F483">
            <v>59500</v>
          </cell>
          <cell r="G483" t="str">
            <v>LPU FO</v>
          </cell>
        </row>
        <row r="484">
          <cell r="A484">
            <v>8828120206</v>
          </cell>
          <cell r="C484" t="str">
            <v>Suministro e Instalación de tuberla PVC de 3/4"- Incluye 100% accesorios</v>
          </cell>
          <cell r="D484" t="str">
            <v>Variables</v>
          </cell>
          <cell r="E484" t="str">
            <v>ml</v>
          </cell>
          <cell r="F484">
            <v>17531</v>
          </cell>
          <cell r="G484" t="str">
            <v>LPU FO</v>
          </cell>
        </row>
        <row r="485">
          <cell r="A485">
            <v>8828120215</v>
          </cell>
          <cell r="C485" t="str">
            <v>Suministro e instalaclòn de tuberia PVC de 1" - Incluye 100% accesorios</v>
          </cell>
          <cell r="D485" t="str">
            <v>Variables</v>
          </cell>
          <cell r="E485" t="str">
            <v>ml</v>
          </cell>
          <cell r="F485">
            <v>15320</v>
          </cell>
          <cell r="G485" t="str">
            <v>LPU FO</v>
          </cell>
        </row>
        <row r="486">
          <cell r="A486">
            <v>8828120223</v>
          </cell>
          <cell r="C486" t="str">
            <v>Suministro e instalaclòn de tuberìa PVC de 1 1/4" - Incluye 100% accesorios</v>
          </cell>
          <cell r="D486" t="str">
            <v>Variables</v>
          </cell>
          <cell r="E486" t="str">
            <v>ml</v>
          </cell>
          <cell r="F486">
            <v>19125</v>
          </cell>
          <cell r="G486" t="str">
            <v>LPU FO</v>
          </cell>
        </row>
        <row r="487">
          <cell r="A487">
            <v>8828120232</v>
          </cell>
          <cell r="C487" t="str">
            <v>Suministro e instalaclòn de tuberìa PVC de 1 1/2" - Incluye 100% accesorios</v>
          </cell>
          <cell r="D487" t="str">
            <v>Variables</v>
          </cell>
          <cell r="E487" t="str">
            <v>ml</v>
          </cell>
          <cell r="F487">
            <v>21144</v>
          </cell>
          <cell r="G487" t="str">
            <v>LPU FO</v>
          </cell>
        </row>
        <row r="488">
          <cell r="A488">
            <v>8828118828</v>
          </cell>
          <cell r="C488" t="str">
            <v>Suministro e instalaclòn de tuberìa PVC de 2"- Incluye 100% accesorios</v>
          </cell>
          <cell r="D488" t="str">
            <v>Variables</v>
          </cell>
          <cell r="E488" t="str">
            <v>ml</v>
          </cell>
          <cell r="F488">
            <v>15320</v>
          </cell>
          <cell r="G488" t="str">
            <v>LPU FO</v>
          </cell>
        </row>
        <row r="489">
          <cell r="A489">
            <v>8828118832</v>
          </cell>
          <cell r="C489" t="str">
            <v>Suministro e Instalación de tuberia PVC 4" - Incluye 100% accesorios</v>
          </cell>
          <cell r="D489" t="str">
            <v>Variables</v>
          </cell>
          <cell r="E489" t="str">
            <v>ml</v>
          </cell>
          <cell r="F489">
            <v>40588</v>
          </cell>
          <cell r="G489" t="str">
            <v>LPU FO</v>
          </cell>
        </row>
        <row r="490">
          <cell r="A490">
            <v>8828118837</v>
          </cell>
          <cell r="C490" t="str">
            <v>Subductado por tuberìa PVC de 4"</v>
          </cell>
          <cell r="D490" t="str">
            <v>Variables</v>
          </cell>
          <cell r="E490" t="str">
            <v>ml</v>
          </cell>
          <cell r="F490">
            <v>46750</v>
          </cell>
          <cell r="G490" t="str">
            <v>LPU FO</v>
          </cell>
        </row>
        <row r="491">
          <cell r="A491">
            <v>8828118844</v>
          </cell>
          <cell r="C491" t="str">
            <v>Suministro e Instalación de un monotubo desnudo</v>
          </cell>
          <cell r="D491" t="str">
            <v>Variables</v>
          </cell>
          <cell r="E491" t="str">
            <v>ml</v>
          </cell>
          <cell r="F491">
            <v>6290</v>
          </cell>
          <cell r="G491" t="str">
            <v>LPU FO</v>
          </cell>
        </row>
        <row r="492">
          <cell r="A492">
            <v>8828118853</v>
          </cell>
          <cell r="C492" t="str">
            <v>Suministro e Instalación de un tritubo ò tres monotubos desnudos</v>
          </cell>
          <cell r="D492" t="str">
            <v>Variables</v>
          </cell>
          <cell r="E492" t="str">
            <v>rnl</v>
          </cell>
          <cell r="F492">
            <v>10413</v>
          </cell>
          <cell r="G492" t="str">
            <v>LPU FO</v>
          </cell>
        </row>
        <row r="493">
          <cell r="A493">
            <v>8828118861</v>
          </cell>
          <cell r="C493" t="str">
            <v>Sondeo de tuberìa</v>
          </cell>
          <cell r="D493" t="str">
            <v>Variables</v>
          </cell>
          <cell r="E493" t="str">
            <v>rnl</v>
          </cell>
          <cell r="F493">
            <v>1020</v>
          </cell>
          <cell r="G493" t="str">
            <v>LPU FO</v>
          </cell>
        </row>
        <row r="494">
          <cell r="A494">
            <v>8828118870</v>
          </cell>
          <cell r="C494" t="str">
            <v>Encamisado de tuberias</v>
          </cell>
          <cell r="D494" t="str">
            <v>Variables</v>
          </cell>
          <cell r="E494" t="str">
            <v>ml</v>
          </cell>
          <cell r="F494">
            <v>1160</v>
          </cell>
          <cell r="G494" t="str">
            <v>LPU FO</v>
          </cell>
        </row>
        <row r="495">
          <cell r="A495">
            <v>8828119152</v>
          </cell>
          <cell r="C495" t="str">
            <v>Suministro e Instalaciónn de canaleta PIastica de 4cm x 2cm - Incluye 100% accesorios</v>
          </cell>
          <cell r="D495" t="str">
            <v>Variables</v>
          </cell>
          <cell r="E495" t="str">
            <v>ml</v>
          </cell>
          <cell r="F495">
            <v>17000</v>
          </cell>
          <cell r="G495" t="str">
            <v>LPU FO</v>
          </cell>
        </row>
        <row r="496">
          <cell r="A496">
            <v>8828119162</v>
          </cell>
          <cell r="C496" t="str">
            <v>Suministro e Instalación de canaleta PIastica de 6cm x 4cm - Incluye 100% accesorios</v>
          </cell>
          <cell r="D496" t="str">
            <v>Variables</v>
          </cell>
          <cell r="E496" t="str">
            <v>ml</v>
          </cell>
          <cell r="F496">
            <v>12750</v>
          </cell>
          <cell r="G496" t="str">
            <v>LPU FO</v>
          </cell>
        </row>
        <row r="497">
          <cell r="A497">
            <v>8828119174</v>
          </cell>
          <cell r="C497" t="str">
            <v>Suministro e Instalación de canaleta metalica de 10cm x 4cm - Incluye 100% accesorios</v>
          </cell>
          <cell r="D497" t="str">
            <v>Variables</v>
          </cell>
          <cell r="E497" t="str">
            <v>ml</v>
          </cell>
          <cell r="F497">
            <v>29750</v>
          </cell>
          <cell r="G497" t="str">
            <v>LPU FO</v>
          </cell>
        </row>
        <row r="498">
          <cell r="A498">
            <v>8828119187</v>
          </cell>
          <cell r="C498" t="str">
            <v>Suministro e instalación canaleta Plástica 20x20 - Incluye 100% accesorios</v>
          </cell>
          <cell r="D498" t="str">
            <v>Variables</v>
          </cell>
          <cell r="E498" t="str">
            <v>ml</v>
          </cell>
          <cell r="F498">
            <v>18700</v>
          </cell>
          <cell r="G498" t="str">
            <v>LPU FO</v>
          </cell>
        </row>
        <row r="499">
          <cell r="A499">
            <v>8828119195</v>
          </cell>
          <cell r="C499" t="str">
            <v>Suministro e instalación canaleta plástica 40x40 - Incluye 100% accesorios</v>
          </cell>
          <cell r="D499" t="str">
            <v>Variables</v>
          </cell>
          <cell r="E499" t="str">
            <v>ml</v>
          </cell>
          <cell r="F499">
            <v>21250</v>
          </cell>
          <cell r="G499" t="str">
            <v>LPU FO</v>
          </cell>
        </row>
        <row r="500">
          <cell r="A500">
            <v>8828119205</v>
          </cell>
          <cell r="C500" t="str">
            <v>Suministro e instalación coraza americana de 3/8" - Incluye 100% accesorios</v>
          </cell>
          <cell r="D500" t="str">
            <v>Variables</v>
          </cell>
          <cell r="E500" t="str">
            <v>ml</v>
          </cell>
          <cell r="F500">
            <v>9925</v>
          </cell>
          <cell r="G500" t="str">
            <v>LPU FO</v>
          </cell>
        </row>
        <row r="501">
          <cell r="A501">
            <v>8828119222</v>
          </cell>
          <cell r="C501" t="str">
            <v>Suministro e instalación coraza americana de 1/2" - Incluye 100% accesorios</v>
          </cell>
          <cell r="D501" t="str">
            <v>Variables</v>
          </cell>
          <cell r="E501" t="str">
            <v>ml</v>
          </cell>
          <cell r="F501">
            <v>12750</v>
          </cell>
          <cell r="G501" t="str">
            <v>LPU FO</v>
          </cell>
        </row>
        <row r="502">
          <cell r="A502">
            <v>8828119232</v>
          </cell>
          <cell r="C502" t="str">
            <v>Suministro e instalación coraza americana de 3/4" - Incluye 100% accesorios</v>
          </cell>
          <cell r="D502" t="str">
            <v>Variables</v>
          </cell>
          <cell r="E502" t="str">
            <v>ml</v>
          </cell>
          <cell r="F502">
            <v>15300</v>
          </cell>
          <cell r="G502" t="str">
            <v>LPU FO</v>
          </cell>
        </row>
        <row r="503">
          <cell r="A503">
            <v>8828119242</v>
          </cell>
          <cell r="C503" t="str">
            <v>Suministro e instalación coraza americana de 1" - Incluye 100% accesorios</v>
          </cell>
          <cell r="D503" t="str">
            <v>Variables</v>
          </cell>
          <cell r="E503" t="str">
            <v>ml</v>
          </cell>
          <cell r="F503">
            <v>11493</v>
          </cell>
          <cell r="G503" t="str">
            <v>LPU FO</v>
          </cell>
        </row>
        <row r="504">
          <cell r="A504">
            <v>8828119250</v>
          </cell>
          <cell r="C504" t="str">
            <v>Suministro e instalación coraza americana de 1 1/2" - Incluye 100% accesorios</v>
          </cell>
          <cell r="D504" t="str">
            <v>Variables</v>
          </cell>
          <cell r="E504" t="str">
            <v>ml</v>
          </cell>
          <cell r="F504">
            <v>12410</v>
          </cell>
          <cell r="G504" t="str">
            <v>LPU FO</v>
          </cell>
        </row>
        <row r="505">
          <cell r="A505">
            <v>8828119259</v>
          </cell>
          <cell r="C505" t="str">
            <v>Suministro e instalación coraza americana de 2" - Incluye 100% accesorios</v>
          </cell>
          <cell r="D505" t="str">
            <v>Variables</v>
          </cell>
          <cell r="E505" t="str">
            <v>ml</v>
          </cell>
          <cell r="F505">
            <v>17219</v>
          </cell>
          <cell r="G505" t="str">
            <v>LPU FO</v>
          </cell>
        </row>
        <row r="506">
          <cell r="A506">
            <v>8828119268</v>
          </cell>
          <cell r="C506" t="str">
            <v>Suministro e instalación coraza Plástica de 3/8" - Incluye 100% accesorios</v>
          </cell>
          <cell r="D506" t="str">
            <v>Variables</v>
          </cell>
          <cell r="E506" t="str">
            <v>ml</v>
          </cell>
          <cell r="F506">
            <v>4241</v>
          </cell>
          <cell r="G506" t="str">
            <v>LPU FO</v>
          </cell>
        </row>
        <row r="507">
          <cell r="A507">
            <v>8828119278</v>
          </cell>
          <cell r="C507" t="str">
            <v>Suministro e instalación coraza Plástica de 1/2" - Incluye 100% accesorios</v>
          </cell>
          <cell r="D507" t="str">
            <v>Variables</v>
          </cell>
          <cell r="E507" t="str">
            <v>ml</v>
          </cell>
          <cell r="F507">
            <v>4250</v>
          </cell>
          <cell r="G507" t="str">
            <v>LPU FO</v>
          </cell>
        </row>
        <row r="508">
          <cell r="A508">
            <v>8828119288</v>
          </cell>
          <cell r="C508" t="str">
            <v>Suministro e instalación coraza Plástica de 3/4" - Incluye 100% accesorios</v>
          </cell>
          <cell r="D508" t="str">
            <v>Variables</v>
          </cell>
          <cell r="E508" t="str">
            <v>ml</v>
          </cell>
          <cell r="F508">
            <v>5233</v>
          </cell>
          <cell r="G508" t="str">
            <v>LPU FO</v>
          </cell>
        </row>
        <row r="509">
          <cell r="A509">
            <v>8828119304</v>
          </cell>
          <cell r="C509" t="str">
            <v>Suministro e instalación coraza Plástica de 1" - Incluye 100% accesorios</v>
          </cell>
          <cell r="D509" t="str">
            <v>Variables</v>
          </cell>
          <cell r="E509" t="str">
            <v>ml</v>
          </cell>
          <cell r="F509">
            <v>6800</v>
          </cell>
          <cell r="G509" t="str">
            <v>LPU FO</v>
          </cell>
        </row>
        <row r="510">
          <cell r="A510">
            <v>8828119313</v>
          </cell>
          <cell r="C510" t="str">
            <v>Suministro e instalación coraza Plástica de 1 1/2" - Incluye 100% accesorios</v>
          </cell>
          <cell r="D510" t="str">
            <v>Variables</v>
          </cell>
          <cell r="E510" t="str">
            <v>ml</v>
          </cell>
          <cell r="F510">
            <v>8500</v>
          </cell>
          <cell r="G510" t="str">
            <v>LPU FO</v>
          </cell>
        </row>
        <row r="511">
          <cell r="A511">
            <v>8828119321</v>
          </cell>
          <cell r="C511" t="str">
            <v>Suministro e instalación coraza Plástica de 2" - Incluye 100% accesorios</v>
          </cell>
          <cell r="D511" t="str">
            <v>Variables</v>
          </cell>
          <cell r="E511" t="str">
            <v>ml</v>
          </cell>
          <cell r="F511">
            <v>10200</v>
          </cell>
          <cell r="G511" t="str">
            <v>LPU FO</v>
          </cell>
        </row>
        <row r="512">
          <cell r="A512">
            <v>8828119330</v>
          </cell>
          <cell r="C512" t="str">
            <v>Suministro e Instalación de tuberla EMT de 1/2"- Incluye 100% accesorios</v>
          </cell>
          <cell r="D512" t="str">
            <v>Variables</v>
          </cell>
          <cell r="E512" t="str">
            <v>ml</v>
          </cell>
          <cell r="F512">
            <v>24544</v>
          </cell>
          <cell r="G512" t="str">
            <v>LPU FO</v>
          </cell>
        </row>
        <row r="513">
          <cell r="A513">
            <v>8828119338</v>
          </cell>
          <cell r="C513" t="str">
            <v>Suministro e Instalación de tuberla EMT de 3/4"- Incluye 100% accesorios</v>
          </cell>
          <cell r="D513" t="str">
            <v>Variables</v>
          </cell>
          <cell r="E513" t="str">
            <v>ml</v>
          </cell>
          <cell r="F513">
            <v>24544</v>
          </cell>
          <cell r="G513" t="str">
            <v>LPU FO</v>
          </cell>
        </row>
        <row r="514">
          <cell r="A514">
            <v>8828119347</v>
          </cell>
          <cell r="C514" t="str">
            <v>Suministro e Instalación de tuberla EMT de 1"- Incluye 100% accesorios</v>
          </cell>
          <cell r="D514" t="str">
            <v>Variables</v>
          </cell>
          <cell r="E514" t="str">
            <v>ml</v>
          </cell>
          <cell r="F514">
            <v>29113</v>
          </cell>
          <cell r="G514" t="str">
            <v>LPU FO</v>
          </cell>
        </row>
        <row r="515">
          <cell r="A515">
            <v>8828119354</v>
          </cell>
          <cell r="C515" t="str">
            <v>Suministro e Instalación de tuberla EMT de 1 1/2"- Incluye 100% accesorios</v>
          </cell>
          <cell r="D515" t="str">
            <v>Variables</v>
          </cell>
          <cell r="E515" t="str">
            <v>ml</v>
          </cell>
          <cell r="F515">
            <v>33150</v>
          </cell>
          <cell r="G515" t="str">
            <v>LPU FO</v>
          </cell>
        </row>
        <row r="516">
          <cell r="A516">
            <v>8828119362</v>
          </cell>
          <cell r="C516" t="str">
            <v>Suministro e Instalación de tuberla EMT de 2"- Incluye 100% accesorios</v>
          </cell>
          <cell r="D516" t="str">
            <v>Variables</v>
          </cell>
          <cell r="E516" t="str">
            <v>ml</v>
          </cell>
          <cell r="F516">
            <v>36763</v>
          </cell>
          <cell r="G516" t="str">
            <v>LPU FO</v>
          </cell>
        </row>
        <row r="517">
          <cell r="A517">
            <v>8828119373</v>
          </cell>
          <cell r="C517" t="str">
            <v>Suministro e Instalación de tuberla EMT de 4"- Incluye 100% accesorios</v>
          </cell>
          <cell r="D517" t="str">
            <v>Variables</v>
          </cell>
          <cell r="E517" t="str">
            <v>ml</v>
          </cell>
          <cell r="F517">
            <v>52381</v>
          </cell>
          <cell r="G517" t="str">
            <v>LPU FO</v>
          </cell>
        </row>
        <row r="518">
          <cell r="A518">
            <v>8828119393</v>
          </cell>
          <cell r="C518" t="str">
            <v>Tuberia IMC de 2"</v>
          </cell>
          <cell r="D518" t="str">
            <v>Variables</v>
          </cell>
          <cell r="E518" t="str">
            <v>ml</v>
          </cell>
          <cell r="F518">
            <v>47813</v>
          </cell>
          <cell r="G518" t="str">
            <v>LPU FO</v>
          </cell>
        </row>
        <row r="519">
          <cell r="A519">
            <v>8828119408</v>
          </cell>
          <cell r="C519" t="str">
            <v>Tuberia IMC de 4"</v>
          </cell>
          <cell r="D519" t="str">
            <v>Variables</v>
          </cell>
          <cell r="E519" t="str">
            <v>ml</v>
          </cell>
          <cell r="F519">
            <v>95625</v>
          </cell>
          <cell r="G519" t="str">
            <v>LPU FO</v>
          </cell>
        </row>
        <row r="520">
          <cell r="A520">
            <v>8828119416</v>
          </cell>
          <cell r="C520" t="str">
            <v>Suministro e Instalación de tuberia galvanizada de 1/2" - Incluye 100% accesorios</v>
          </cell>
          <cell r="D520" t="str">
            <v>Variables</v>
          </cell>
          <cell r="E520" t="str">
            <v>ml</v>
          </cell>
          <cell r="F520">
            <v>12750</v>
          </cell>
          <cell r="G520" t="str">
            <v>LPU FO</v>
          </cell>
        </row>
        <row r="521">
          <cell r="A521">
            <v>8828119426</v>
          </cell>
          <cell r="C521" t="str">
            <v>Suministro e Instalación de tuberia galvanizada de 3/4" - Incluye 100% accesorios</v>
          </cell>
          <cell r="D521" t="str">
            <v>Variables</v>
          </cell>
          <cell r="E521" t="str">
            <v>ml</v>
          </cell>
          <cell r="F521">
            <v>17000</v>
          </cell>
          <cell r="G521" t="str">
            <v>LPU FO</v>
          </cell>
        </row>
        <row r="522">
          <cell r="A522">
            <v>8828119436</v>
          </cell>
          <cell r="C522" t="str">
            <v>Suministro e Instalaeiòn de tuberia galvanizada de 1" - Incluye 100% accesorios</v>
          </cell>
          <cell r="D522" t="str">
            <v>Variables</v>
          </cell>
          <cell r="E522" t="str">
            <v>ml</v>
          </cell>
          <cell r="F522">
            <v>21250</v>
          </cell>
          <cell r="G522" t="str">
            <v>LPU FO</v>
          </cell>
        </row>
        <row r="523">
          <cell r="A523">
            <v>8828119444</v>
          </cell>
          <cell r="C523" t="str">
            <v>Suministro e Instalaeiòn de tuberia galvanizada de 1 1/2" - Incluye 100% accesorios</v>
          </cell>
          <cell r="D523" t="str">
            <v>Variables</v>
          </cell>
          <cell r="E523" t="str">
            <v>ml</v>
          </cell>
          <cell r="F523">
            <v>25500</v>
          </cell>
          <cell r="G523" t="str">
            <v>LPU FO</v>
          </cell>
        </row>
        <row r="524">
          <cell r="A524">
            <v>8828119454</v>
          </cell>
          <cell r="C524" t="str">
            <v>Suministro e Instalaeiòn de tuberia galvanizada de 2" - Incluye 100% accesorios</v>
          </cell>
          <cell r="D524" t="str">
            <v>Variables</v>
          </cell>
          <cell r="E524" t="str">
            <v>ml</v>
          </cell>
          <cell r="F524">
            <v>27200</v>
          </cell>
          <cell r="G524" t="str">
            <v>LPU FO</v>
          </cell>
        </row>
        <row r="525">
          <cell r="A525">
            <v>8828119462</v>
          </cell>
          <cell r="C525" t="str">
            <v>Suministro e Instalaeiòn de tuberia galvanizada de 4" - Incluye 100% accesorios</v>
          </cell>
          <cell r="D525" t="str">
            <v>Variables</v>
          </cell>
          <cell r="E525" t="str">
            <v>ml</v>
          </cell>
          <cell r="F525">
            <v>55569</v>
          </cell>
          <cell r="G525" t="str">
            <v>LPU FO</v>
          </cell>
        </row>
        <row r="526">
          <cell r="A526">
            <v>8828119476</v>
          </cell>
          <cell r="C526" t="str">
            <v>Suministro e instalación conduleta de 1" - Incluye 100% accesorios</v>
          </cell>
          <cell r="D526" t="str">
            <v>Variables</v>
          </cell>
          <cell r="E526" t="str">
            <v>Unidad</v>
          </cell>
          <cell r="F526">
            <v>14450</v>
          </cell>
          <cell r="G526" t="str">
            <v>LPU FO</v>
          </cell>
        </row>
        <row r="527">
          <cell r="A527">
            <v>8828119485</v>
          </cell>
          <cell r="C527" t="str">
            <v>Suministro e instalación conduleta recta de 1" - Incluye 100% accesorios</v>
          </cell>
          <cell r="D527" t="str">
            <v>Variables</v>
          </cell>
          <cell r="E527" t="str">
            <v>Unidad</v>
          </cell>
          <cell r="F527">
            <v>14450</v>
          </cell>
          <cell r="G527" t="str">
            <v>LPU FO</v>
          </cell>
        </row>
        <row r="528">
          <cell r="A528">
            <v>8828119503</v>
          </cell>
          <cell r="C528" t="str">
            <v>Suministro e instalación conduleta de 1 1/2" - Incluye 100% accesorios</v>
          </cell>
          <cell r="D528" t="str">
            <v>Variables</v>
          </cell>
          <cell r="E528" t="str">
            <v>Unidad</v>
          </cell>
          <cell r="F528">
            <v>26563</v>
          </cell>
          <cell r="G528" t="str">
            <v>LPU FO</v>
          </cell>
        </row>
        <row r="529">
          <cell r="A529">
            <v>8828119514</v>
          </cell>
          <cell r="C529" t="str">
            <v>Suministro e instalación conduleta recta de 1 1/2" - Incluye 100% accesorios</v>
          </cell>
          <cell r="D529" t="str">
            <v>Variables</v>
          </cell>
          <cell r="E529" t="str">
            <v>Unidad</v>
          </cell>
          <cell r="F529">
            <v>21250</v>
          </cell>
          <cell r="G529" t="str">
            <v>LPU FO</v>
          </cell>
        </row>
        <row r="530">
          <cell r="A530">
            <v>8828119522</v>
          </cell>
          <cell r="C530" t="str">
            <v>Suministro e instalacion de escalerilla</v>
          </cell>
          <cell r="D530" t="str">
            <v>Variables</v>
          </cell>
          <cell r="E530" t="str">
            <v>ml</v>
          </cell>
          <cell r="F530">
            <v>42500</v>
          </cell>
          <cell r="G530" t="str">
            <v>LPU FO</v>
          </cell>
        </row>
        <row r="531">
          <cell r="A531">
            <v>8828119530</v>
          </cell>
          <cell r="C531" t="str">
            <v>Suministro e instalacion de canastilla</v>
          </cell>
          <cell r="D531" t="str">
            <v>Variables</v>
          </cell>
          <cell r="E531" t="str">
            <v>ml</v>
          </cell>
          <cell r="F531">
            <v>42500</v>
          </cell>
          <cell r="G531" t="str">
            <v>LPU FO</v>
          </cell>
        </row>
        <row r="532">
          <cell r="A532">
            <v>8828119539</v>
          </cell>
          <cell r="C532" t="str">
            <v>Suministro e instalación Unión galvanizada de 2"</v>
          </cell>
          <cell r="D532" t="str">
            <v>Variables</v>
          </cell>
          <cell r="E532" t="str">
            <v>Unidad</v>
          </cell>
          <cell r="F532">
            <v>8500</v>
          </cell>
          <cell r="G532" t="str">
            <v>LPU FO</v>
          </cell>
        </row>
        <row r="533">
          <cell r="A533">
            <v>8828119551</v>
          </cell>
          <cell r="C533" t="str">
            <v>Suministro e Instalacion de Curva Galvanizada de 1"</v>
          </cell>
          <cell r="D533" t="str">
            <v>Variables</v>
          </cell>
          <cell r="E533" t="str">
            <v>Unidad</v>
          </cell>
          <cell r="F533">
            <v>23694</v>
          </cell>
          <cell r="G533" t="str">
            <v>LPU FO</v>
          </cell>
        </row>
        <row r="534">
          <cell r="A534">
            <v>8828119561</v>
          </cell>
          <cell r="C534" t="str">
            <v>Suministro e Instalación de Rienda normal</v>
          </cell>
          <cell r="D534" t="str">
            <v>Variables</v>
          </cell>
          <cell r="E534" t="str">
            <v>ml</v>
          </cell>
          <cell r="F534">
            <v>30494</v>
          </cell>
          <cell r="G534" t="str">
            <v>LPU FO</v>
          </cell>
        </row>
        <row r="535">
          <cell r="A535">
            <v>8828119570</v>
          </cell>
          <cell r="C535" t="str">
            <v>Suministro e Instalación de Rienda con brazo portal</v>
          </cell>
          <cell r="D535" t="str">
            <v>Variables</v>
          </cell>
          <cell r="E535" t="str">
            <v>ml</v>
          </cell>
          <cell r="F535">
            <v>34638</v>
          </cell>
          <cell r="G535" t="str">
            <v>LPU FO</v>
          </cell>
        </row>
        <row r="536">
          <cell r="A536">
            <v>8828119581</v>
          </cell>
          <cell r="C536" t="str">
            <v>Suministro e instalaclon manguera de Protecciòn en neopreno</v>
          </cell>
          <cell r="D536" t="str">
            <v>Variables</v>
          </cell>
          <cell r="E536" t="str">
            <v>ml</v>
          </cell>
          <cell r="F536">
            <v>21781</v>
          </cell>
          <cell r="G536" t="str">
            <v>LPU FO</v>
          </cell>
        </row>
        <row r="537">
          <cell r="A537">
            <v>8828119591</v>
          </cell>
          <cell r="C537" t="str">
            <v>Construcción de muro de concreto armado (espesor 25 cm)</v>
          </cell>
          <cell r="D537" t="str">
            <v>Variables</v>
          </cell>
          <cell r="E537" t="str">
            <v>m2</v>
          </cell>
          <cell r="F537">
            <v>135470</v>
          </cell>
          <cell r="G537" t="str">
            <v>LPU FO</v>
          </cell>
        </row>
        <row r="538">
          <cell r="A538">
            <v>8828119600</v>
          </cell>
          <cell r="C538" t="str">
            <v>Construcción de muro de ladrillo (espesor 25 cm)</v>
          </cell>
          <cell r="D538" t="str">
            <v>Variables</v>
          </cell>
          <cell r="E538" t="str">
            <v>m2</v>
          </cell>
          <cell r="F538">
            <v>119830</v>
          </cell>
          <cell r="G538" t="str">
            <v>LPU FO</v>
          </cell>
        </row>
        <row r="539">
          <cell r="A539">
            <v>8828119610</v>
          </cell>
          <cell r="C539" t="str">
            <v>Construcción pasante muro con extractor de nucleo 1"</v>
          </cell>
          <cell r="D539" t="str">
            <v>Variables</v>
          </cell>
          <cell r="E539" t="str">
            <v>m2</v>
          </cell>
          <cell r="F539">
            <v>112547</v>
          </cell>
          <cell r="G539" t="str">
            <v>LPU FO</v>
          </cell>
        </row>
        <row r="540">
          <cell r="A540">
            <v>8828119619</v>
          </cell>
          <cell r="C540" t="str">
            <v>Construccion pasante muro con extractor de nucleo 4"</v>
          </cell>
          <cell r="D540" t="str">
            <v>Variables</v>
          </cell>
          <cell r="E540" t="str">
            <v>m2</v>
          </cell>
          <cell r="F540">
            <v>208250</v>
          </cell>
          <cell r="G540" t="str">
            <v>LPU FO</v>
          </cell>
        </row>
        <row r="541">
          <cell r="A541">
            <v>8828119629</v>
          </cell>
          <cell r="C541" t="str">
            <v>Construccion pasante muro de 0.15 x 0.15</v>
          </cell>
          <cell r="D541" t="str">
            <v>Variables</v>
          </cell>
          <cell r="E541" t="str">
            <v>m2</v>
          </cell>
          <cell r="F541">
            <v>51638</v>
          </cell>
          <cell r="G541" t="str">
            <v>LPU FO</v>
          </cell>
        </row>
        <row r="542">
          <cell r="A542">
            <v>8828119641</v>
          </cell>
          <cell r="C542" t="str">
            <v>Construccion pasa muro</v>
          </cell>
          <cell r="D542" t="str">
            <v>Variables</v>
          </cell>
          <cell r="E542" t="str">
            <v>m2</v>
          </cell>
          <cell r="F542">
            <v>31497</v>
          </cell>
          <cell r="G542" t="str">
            <v>LPU FO</v>
          </cell>
        </row>
        <row r="543">
          <cell r="A543">
            <v>8828119654</v>
          </cell>
          <cell r="C543" t="str">
            <v>Construccion pasa placa</v>
          </cell>
          <cell r="D543" t="str">
            <v>Variables</v>
          </cell>
          <cell r="E543" t="str">
            <v>m2</v>
          </cell>
          <cell r="F543">
            <v>40881</v>
          </cell>
          <cell r="G543" t="str">
            <v>LPU FO</v>
          </cell>
        </row>
        <row r="544">
          <cell r="A544">
            <v>8828119663</v>
          </cell>
          <cell r="C544" t="str">
            <v>Desmontaje y reInstalación de adoquines (varios tormatos)</v>
          </cell>
          <cell r="D544" t="str">
            <v>Variables</v>
          </cell>
          <cell r="E544" t="str">
            <v>m2</v>
          </cell>
          <cell r="F544">
            <v>35308</v>
          </cell>
          <cell r="G544" t="str">
            <v>LPU FO</v>
          </cell>
        </row>
        <row r="545">
          <cell r="A545">
            <v>8828119671</v>
          </cell>
          <cell r="C545" t="str">
            <v>Desmonte y reInstalación de cielo raso</v>
          </cell>
          <cell r="D545" t="str">
            <v>Variables</v>
          </cell>
          <cell r="E545" t="str">
            <v>m2</v>
          </cell>
          <cell r="F545">
            <v>25683</v>
          </cell>
          <cell r="G545" t="str">
            <v>LPU FO</v>
          </cell>
        </row>
        <row r="546">
          <cell r="A546">
            <v>8828119681</v>
          </cell>
          <cell r="C546" t="str">
            <v>Suministro e Instalación de cielo falso</v>
          </cell>
          <cell r="D546" t="str">
            <v>Variables</v>
          </cell>
          <cell r="E546" t="str">
            <v>m2</v>
          </cell>
          <cell r="F546">
            <v>36685</v>
          </cell>
          <cell r="G546" t="str">
            <v>LPU FO</v>
          </cell>
        </row>
        <row r="547">
          <cell r="A547">
            <v>8828119688</v>
          </cell>
          <cell r="C547" t="str">
            <v>Aplicación estuco</v>
          </cell>
          <cell r="D547" t="str">
            <v>Variables</v>
          </cell>
          <cell r="E547" t="str">
            <v>m2</v>
          </cell>
          <cell r="F547">
            <v>5844</v>
          </cell>
          <cell r="G547" t="str">
            <v>LPU FO</v>
          </cell>
        </row>
        <row r="548">
          <cell r="A548">
            <v>8828119697</v>
          </cell>
          <cell r="C548" t="str">
            <v>Aplicación pañete</v>
          </cell>
          <cell r="D548" t="str">
            <v>Variables</v>
          </cell>
          <cell r="E548" t="str">
            <v>m2</v>
          </cell>
          <cell r="F548">
            <v>11060</v>
          </cell>
          <cell r="G548" t="str">
            <v>LPU FO</v>
          </cell>
        </row>
        <row r="549">
          <cell r="A549">
            <v>8828119707</v>
          </cell>
          <cell r="C549" t="str">
            <v>Suministro y aplicaciòn de glaniplast</v>
          </cell>
          <cell r="D549" t="str">
            <v>Variables</v>
          </cell>
          <cell r="E549" t="str">
            <v>m2</v>
          </cell>
          <cell r="F549">
            <v>16788</v>
          </cell>
          <cell r="G549" t="str">
            <v>LPU FO</v>
          </cell>
        </row>
        <row r="550">
          <cell r="A550">
            <v>8828119717</v>
          </cell>
          <cell r="C550" t="str">
            <v>Suministro e instalación de tableta de fachada</v>
          </cell>
          <cell r="D550" t="str">
            <v>Variables</v>
          </cell>
          <cell r="E550" t="str">
            <v>m2</v>
          </cell>
          <cell r="F550">
            <v>76185</v>
          </cell>
          <cell r="G550" t="str">
            <v>LPU FO</v>
          </cell>
        </row>
        <row r="551">
          <cell r="A551">
            <v>8828119736</v>
          </cell>
          <cell r="C551" t="str">
            <v>Construcción mamposterìa en bloque de Concreto de 0.10m</v>
          </cell>
          <cell r="D551" t="str">
            <v>Variables</v>
          </cell>
          <cell r="E551" t="str">
            <v>m2</v>
          </cell>
          <cell r="F551">
            <v>74584</v>
          </cell>
          <cell r="G551" t="str">
            <v>LPU FO</v>
          </cell>
        </row>
        <row r="552">
          <cell r="A552">
            <v>8828119744</v>
          </cell>
          <cell r="C552" t="str">
            <v>Construccion pedestal en concreto de 3000 psi para protección ductos de subida a p</v>
          </cell>
          <cell r="D552" t="str">
            <v>Variables</v>
          </cell>
          <cell r="E552" t="str">
            <v>m2</v>
          </cell>
          <cell r="F552">
            <v>67341</v>
          </cell>
          <cell r="G552" t="str">
            <v>LPU FO</v>
          </cell>
        </row>
        <row r="553">
          <cell r="A553">
            <v>8828119753</v>
          </cell>
          <cell r="C553" t="str">
            <v>Perfilaciòn vlas y andenes</v>
          </cell>
          <cell r="D553" t="str">
            <v>Variables</v>
          </cell>
          <cell r="E553" t="str">
            <v>ml</v>
          </cell>
          <cell r="F553">
            <v>16104</v>
          </cell>
          <cell r="G553" t="str">
            <v>LPU FO</v>
          </cell>
        </row>
        <row r="554">
          <cell r="A554">
            <v>8828119762</v>
          </cell>
          <cell r="C554" t="str">
            <v>Regata en muro para Instalación de tuberia con resane</v>
          </cell>
          <cell r="D554" t="str">
            <v>Variables</v>
          </cell>
          <cell r="E554" t="str">
            <v>ml</v>
          </cell>
          <cell r="F554">
            <v>12538</v>
          </cell>
          <cell r="G554" t="str">
            <v>LPU FO</v>
          </cell>
        </row>
        <row r="555">
          <cell r="A555">
            <v>8828119770</v>
          </cell>
          <cell r="C555" t="str">
            <v>Relleno con material seleccionado de cantera al 95% P.M.</v>
          </cell>
          <cell r="D555" t="str">
            <v>Variables</v>
          </cell>
          <cell r="E555" t="str">
            <v>m3</v>
          </cell>
          <cell r="F555">
            <v>59500</v>
          </cell>
          <cell r="G555" t="str">
            <v>LPU FO</v>
          </cell>
        </row>
        <row r="556">
          <cell r="A556">
            <v>8828119780</v>
          </cell>
          <cell r="C556" t="str">
            <v>Relleno con material seleecionado del sitio al 95% P.M.</v>
          </cell>
          <cell r="D556" t="str">
            <v>Variables</v>
          </cell>
          <cell r="E556" t="str">
            <v>rn3</v>
          </cell>
          <cell r="F556">
            <v>27625</v>
          </cell>
          <cell r="G556" t="str">
            <v>LPU FO</v>
          </cell>
        </row>
        <row r="557">
          <cell r="A557">
            <v>8828119793</v>
          </cell>
          <cell r="C557" t="str">
            <v>Relleno mortero fluido</v>
          </cell>
          <cell r="D557" t="str">
            <v>Variables</v>
          </cell>
          <cell r="E557" t="str">
            <v>m3</v>
          </cell>
          <cell r="F557">
            <v>16641</v>
          </cell>
          <cell r="G557" t="str">
            <v>LPU FO</v>
          </cell>
        </row>
        <row r="558">
          <cell r="A558">
            <v>8828119802</v>
          </cell>
          <cell r="C558" t="str">
            <v>Reposiciónn de bordillos en concreto</v>
          </cell>
          <cell r="D558" t="str">
            <v>Variables</v>
          </cell>
          <cell r="E558" t="str">
            <v>rnl</v>
          </cell>
          <cell r="F558">
            <v>42781</v>
          </cell>
          <cell r="G558" t="str">
            <v>LPU FO</v>
          </cell>
        </row>
        <row r="559">
          <cell r="A559">
            <v>8828119827</v>
          </cell>
          <cell r="C559" t="str">
            <v>Reposición de concreto 7cm - 3000 PSI</v>
          </cell>
          <cell r="D559" t="str">
            <v>Variables</v>
          </cell>
          <cell r="E559" t="str">
            <v>m2</v>
          </cell>
          <cell r="F559">
            <v>83214</v>
          </cell>
          <cell r="G559" t="str">
            <v>LPU FO</v>
          </cell>
        </row>
        <row r="560">
          <cell r="A560">
            <v>8828119834</v>
          </cell>
          <cell r="C560" t="str">
            <v>Reposición en concreto asfalto de 15 cm</v>
          </cell>
          <cell r="D560" t="str">
            <v>Variables</v>
          </cell>
          <cell r="E560" t="str">
            <v>m2</v>
          </cell>
          <cell r="F560">
            <v>98289</v>
          </cell>
          <cell r="G560" t="str">
            <v>LPU FO</v>
          </cell>
        </row>
        <row r="561">
          <cell r="A561">
            <v>8828119843</v>
          </cell>
          <cell r="C561" t="str">
            <v>Reposición en concreto asfalto espesor 10 cm</v>
          </cell>
          <cell r="D561" t="str">
            <v>Variables</v>
          </cell>
          <cell r="E561" t="str">
            <v>rn2</v>
          </cell>
          <cell r="F561">
            <v>92137</v>
          </cell>
          <cell r="G561" t="str">
            <v>LPU FO</v>
          </cell>
        </row>
        <row r="562">
          <cell r="A562">
            <v>8828119851</v>
          </cell>
          <cell r="C562" t="str">
            <v>Construcción suelo cemento 1:10</v>
          </cell>
          <cell r="D562" t="str">
            <v>Variables</v>
          </cell>
          <cell r="E562" t="str">
            <v>rn3</v>
          </cell>
          <cell r="F562">
            <v>204918</v>
          </cell>
          <cell r="G562" t="str">
            <v>LPU FO</v>
          </cell>
        </row>
        <row r="563">
          <cell r="A563">
            <v>8828119860</v>
          </cell>
          <cell r="C563" t="str">
            <v>Acero de refuerzo</v>
          </cell>
          <cell r="D563" t="str">
            <v>Variables</v>
          </cell>
          <cell r="E563" t="str">
            <v>Kg</v>
          </cell>
          <cell r="F563">
            <v>5100</v>
          </cell>
          <cell r="G563" t="str">
            <v>LPU FO</v>
          </cell>
        </row>
        <row r="564">
          <cell r="A564">
            <v>8828119868</v>
          </cell>
          <cell r="C564" t="str">
            <v>Suministro e Instalación de hitos o mojones en concreto</v>
          </cell>
          <cell r="D564" t="str">
            <v>Variables</v>
          </cell>
          <cell r="E564" t="str">
            <v>EA</v>
          </cell>
          <cell r="F564">
            <v>45778</v>
          </cell>
          <cell r="G564" t="str">
            <v>LPU FO</v>
          </cell>
        </row>
        <row r="565">
          <cell r="A565">
            <v>8828119876</v>
          </cell>
          <cell r="C565" t="str">
            <v>Suministro e Instalación de hitos o mojones en PVC</v>
          </cell>
          <cell r="D565" t="str">
            <v>Variables</v>
          </cell>
          <cell r="E565" t="str">
            <v>EA</v>
          </cell>
          <cell r="F565">
            <v>46856</v>
          </cell>
          <cell r="G565" t="str">
            <v>LPU FO</v>
          </cell>
        </row>
        <row r="566">
          <cell r="A566">
            <v>8828119886</v>
          </cell>
          <cell r="C566" t="str">
            <v>Suministro e Instalacion de Perno de Ojo - Extensor de 14"</v>
          </cell>
          <cell r="D566" t="str">
            <v>Variables</v>
          </cell>
          <cell r="E566" t="str">
            <v>EA</v>
          </cell>
          <cell r="F566">
            <v>17831</v>
          </cell>
          <cell r="G566" t="str">
            <v>LPU FO</v>
          </cell>
        </row>
        <row r="567">
          <cell r="A567">
            <v>8828119895</v>
          </cell>
          <cell r="C567" t="str">
            <v>Excavacion</v>
          </cell>
          <cell r="D567" t="str">
            <v>Variables</v>
          </cell>
          <cell r="E567" t="str">
            <v>m3</v>
          </cell>
          <cell r="F567">
            <v>29329</v>
          </cell>
          <cell r="G567" t="str">
            <v>LPU FO</v>
          </cell>
        </row>
        <row r="568">
          <cell r="A568">
            <v>8828119905</v>
          </cell>
          <cell r="C568" t="str">
            <v>Excavación en piedra con compresor</v>
          </cell>
          <cell r="D568" t="str">
            <v>Variables</v>
          </cell>
          <cell r="E568" t="str">
            <v>m3</v>
          </cell>
          <cell r="F568">
            <v>89828</v>
          </cell>
          <cell r="G568" t="str">
            <v>LPU FO</v>
          </cell>
        </row>
        <row r="569">
          <cell r="A569">
            <v>8828119914</v>
          </cell>
          <cell r="C569" t="str">
            <v>Rotura de o pisos con espesor &gt; a 15 cm.</v>
          </cell>
          <cell r="D569" t="str">
            <v>Variables</v>
          </cell>
          <cell r="E569" t="str">
            <v>m2</v>
          </cell>
          <cell r="F569">
            <v>38780</v>
          </cell>
          <cell r="G569" t="str">
            <v>LPU FO</v>
          </cell>
        </row>
        <row r="570">
          <cell r="A570">
            <v>8828119923</v>
          </cell>
          <cell r="C570" t="str">
            <v>Rotura de placas o pisos :S 7 cm de espesor</v>
          </cell>
          <cell r="D570" t="str">
            <v>Variables</v>
          </cell>
          <cell r="E570" t="str">
            <v>m2</v>
          </cell>
          <cell r="F570">
            <v>27774</v>
          </cell>
          <cell r="G570" t="str">
            <v>LPU FO</v>
          </cell>
        </row>
        <row r="571">
          <cell r="A571">
            <v>8828119932</v>
          </cell>
          <cell r="C571" t="str">
            <v>Rotura de placas 0 pisos &gt; de 7 cm y :S de 15 cm</v>
          </cell>
          <cell r="D571" t="str">
            <v>Variables</v>
          </cell>
          <cell r="E571" t="str">
            <v>m2</v>
          </cell>
          <cell r="F571">
            <v>31657</v>
          </cell>
          <cell r="G571" t="str">
            <v>LPU FO</v>
          </cell>
        </row>
        <row r="572">
          <cell r="A572">
            <v>8828119943</v>
          </cell>
          <cell r="C572" t="str">
            <v>Pintura de postes existentes</v>
          </cell>
          <cell r="D572" t="str">
            <v>Variables</v>
          </cell>
          <cell r="E572" t="str">
            <v>m2</v>
          </cell>
          <cell r="F572">
            <v>19550</v>
          </cell>
          <cell r="G572" t="str">
            <v>LPU FO</v>
          </cell>
        </row>
        <row r="573">
          <cell r="A573">
            <v>8828119953</v>
          </cell>
          <cell r="C573" t="str">
            <v>Pintura vinilo tipo1</v>
          </cell>
          <cell r="D573" t="str">
            <v>Variables</v>
          </cell>
          <cell r="E573" t="str">
            <v>m2</v>
          </cell>
          <cell r="F573">
            <v>13069</v>
          </cell>
          <cell r="G573" t="str">
            <v>LPU FO</v>
          </cell>
        </row>
        <row r="574">
          <cell r="A574">
            <v>8828119966</v>
          </cell>
          <cell r="C574" t="str">
            <v>Impermeabilizaciòn con manto EDIL 3 mm (Diferentes tipos)</v>
          </cell>
          <cell r="D574" t="str">
            <v>Variables</v>
          </cell>
          <cell r="E574" t="str">
            <v>m2</v>
          </cell>
          <cell r="F574">
            <v>41993</v>
          </cell>
          <cell r="G574" t="str">
            <v>LPU FO</v>
          </cell>
        </row>
        <row r="575">
          <cell r="A575">
            <v>8828119977</v>
          </cell>
          <cell r="C575" t="str">
            <v>Instalación de Balizas</v>
          </cell>
          <cell r="D575" t="str">
            <v>Variables</v>
          </cell>
          <cell r="E575" t="str">
            <v>Unidad</v>
          </cell>
          <cell r="F575">
            <v>14515</v>
          </cell>
          <cell r="G575" t="str">
            <v>LPU FO</v>
          </cell>
        </row>
        <row r="576">
          <cell r="A576">
            <v>8828119987</v>
          </cell>
          <cell r="C576" t="str">
            <v>Chazo expansivo 5/16"</v>
          </cell>
          <cell r="D576" t="str">
            <v>Variables</v>
          </cell>
          <cell r="E576" t="str">
            <v>Unidad</v>
          </cell>
          <cell r="F576">
            <v>425</v>
          </cell>
          <cell r="G576" t="str">
            <v>LPU FO</v>
          </cell>
        </row>
        <row r="577">
          <cell r="A577">
            <v>8828119997</v>
          </cell>
          <cell r="C577" t="str">
            <v>Chazo Hembra de 3/8"</v>
          </cell>
          <cell r="D577" t="str">
            <v>Variables</v>
          </cell>
          <cell r="E577" t="str">
            <v>Unidad</v>
          </cell>
          <cell r="F577">
            <v>680</v>
          </cell>
          <cell r="G577" t="str">
            <v>LPU FO</v>
          </cell>
        </row>
        <row r="578">
          <cell r="A578">
            <v>8828120007</v>
          </cell>
          <cell r="C578" t="str">
            <v>Chazo Tensor de 1/2"</v>
          </cell>
          <cell r="D578" t="str">
            <v>Variables</v>
          </cell>
          <cell r="E578" t="str">
            <v>Unidad</v>
          </cell>
          <cell r="F578">
            <v>4038</v>
          </cell>
          <cell r="G578" t="str">
            <v>LPU FO</v>
          </cell>
        </row>
        <row r="579">
          <cell r="A579">
            <v>8828120017</v>
          </cell>
          <cell r="C579" t="str">
            <v>Varilla Roscada de 3/8"</v>
          </cell>
          <cell r="D579" t="str">
            <v>Variables</v>
          </cell>
          <cell r="E579" t="str">
            <v>ml</v>
          </cell>
          <cell r="F579">
            <v>10200</v>
          </cell>
          <cell r="G579" t="str">
            <v>LPU FO</v>
          </cell>
        </row>
        <row r="580">
          <cell r="A580">
            <v>8828120027</v>
          </cell>
          <cell r="C580" t="str">
            <v>Tuercas de 3/8"</v>
          </cell>
          <cell r="D580" t="str">
            <v>Variables</v>
          </cell>
          <cell r="E580">
            <v>1</v>
          </cell>
          <cell r="F580">
            <v>160</v>
          </cell>
          <cell r="G580" t="str">
            <v>LPU FO</v>
          </cell>
        </row>
        <row r="581">
          <cell r="A581">
            <v>8828120036</v>
          </cell>
          <cell r="C581" t="str">
            <v>Abrazadera de una ò dos salidas 7"-8" hasta 9"-10"</v>
          </cell>
          <cell r="D581" t="str">
            <v>Variables</v>
          </cell>
          <cell r="E581" t="str">
            <v>Unidad</v>
          </cell>
          <cell r="F581">
            <v>17000</v>
          </cell>
          <cell r="G581" t="str">
            <v>LPU FO</v>
          </cell>
        </row>
        <row r="582">
          <cell r="A582">
            <v>8828120051</v>
          </cell>
          <cell r="C582" t="str">
            <v>Abrazadera de Cremallera</v>
          </cell>
          <cell r="D582" t="str">
            <v>Variables</v>
          </cell>
          <cell r="E582" t="str">
            <v>Unidad</v>
          </cell>
          <cell r="F582">
            <v>956</v>
          </cell>
          <cell r="G582" t="str">
            <v>LPU FO</v>
          </cell>
        </row>
        <row r="583">
          <cell r="A583">
            <v>8828120060</v>
          </cell>
          <cell r="C583" t="str">
            <v>Abrazadera de Orquidea de 1 1/2"</v>
          </cell>
          <cell r="D583" t="str">
            <v>Variables</v>
          </cell>
          <cell r="E583" t="str">
            <v>Unidad</v>
          </cell>
          <cell r="F583">
            <v>956</v>
          </cell>
          <cell r="G583" t="str">
            <v>LPU FO</v>
          </cell>
        </row>
        <row r="584">
          <cell r="A584">
            <v>8828120070</v>
          </cell>
          <cell r="C584" t="str">
            <v>Amarre Plásticos de 30 cm</v>
          </cell>
          <cell r="D584" t="str">
            <v>Variables</v>
          </cell>
          <cell r="E584" t="str">
            <v>Unidad</v>
          </cell>
          <cell r="F584">
            <v>97</v>
          </cell>
          <cell r="G584" t="str">
            <v>LPU FO</v>
          </cell>
        </row>
        <row r="585">
          <cell r="A585">
            <v>8828120084</v>
          </cell>
          <cell r="C585" t="str">
            <v>Bolsa Plástica para marquillado estándar</v>
          </cell>
          <cell r="D585" t="str">
            <v>Variables</v>
          </cell>
          <cell r="E585" t="str">
            <v>Unidad</v>
          </cell>
          <cell r="F585">
            <v>146</v>
          </cell>
          <cell r="G585" t="str">
            <v>LPU FO</v>
          </cell>
        </row>
        <row r="586">
          <cell r="A586">
            <v>8828120094</v>
          </cell>
          <cell r="C586" t="str">
            <v>Cinta Bandi-It de 5/8"</v>
          </cell>
          <cell r="D586" t="str">
            <v>Variables</v>
          </cell>
          <cell r="E586" t="str">
            <v>ml</v>
          </cell>
          <cell r="F586">
            <v>2710</v>
          </cell>
          <cell r="G586" t="str">
            <v>LPU FO</v>
          </cell>
        </row>
        <row r="587">
          <cell r="A587">
            <v>8828120103</v>
          </cell>
          <cell r="C587" t="str">
            <v>Multitoma con protección de picos de voltaje y/o corriente, tipo industrial</v>
          </cell>
          <cell r="D587" t="str">
            <v>Variables</v>
          </cell>
          <cell r="E587" t="str">
            <v>Unidad</v>
          </cell>
          <cell r="F587">
            <v>111563</v>
          </cell>
          <cell r="G587" t="str">
            <v>LPU FO</v>
          </cell>
        </row>
        <row r="588">
          <cell r="A588">
            <v>8828120110</v>
          </cell>
          <cell r="C588" t="str">
            <v>Extensión eléctrica 20 metros, tipo industrial</v>
          </cell>
          <cell r="D588" t="str">
            <v>Variables</v>
          </cell>
          <cell r="E588" t="str">
            <v>Unidad</v>
          </cell>
          <cell r="F588">
            <v>63750</v>
          </cell>
          <cell r="G588" t="str">
            <v>LPU FO</v>
          </cell>
        </row>
        <row r="589">
          <cell r="A589">
            <v>8828120117</v>
          </cell>
          <cell r="C589" t="str">
            <v>Extensión eléctrica 10 metros, tipo industrial</v>
          </cell>
          <cell r="D589" t="str">
            <v>Variables</v>
          </cell>
          <cell r="E589" t="str">
            <v>Unidad</v>
          </cell>
          <cell r="F589">
            <v>39962</v>
          </cell>
          <cell r="G589" t="str">
            <v>LPU FO</v>
          </cell>
        </row>
        <row r="590">
          <cell r="A590">
            <v>8828120125</v>
          </cell>
          <cell r="C590" t="str">
            <v>Toma de Caucho Tripolar</v>
          </cell>
          <cell r="D590" t="str">
            <v>Variables</v>
          </cell>
          <cell r="E590" t="str">
            <v>Unidad</v>
          </cell>
          <cell r="F590">
            <v>4830</v>
          </cell>
          <cell r="G590" t="str">
            <v>LPU FO</v>
          </cell>
        </row>
        <row r="591">
          <cell r="A591">
            <v>8828120139</v>
          </cell>
          <cell r="C591" t="str">
            <v>Cable de Tierra # 12</v>
          </cell>
          <cell r="D591" t="str">
            <v>Variables</v>
          </cell>
          <cell r="E591" t="str">
            <v>ml</v>
          </cell>
          <cell r="F591">
            <v>3105</v>
          </cell>
          <cell r="G591" t="str">
            <v>LPU FO</v>
          </cell>
        </row>
        <row r="592">
          <cell r="A592">
            <v>8828120146</v>
          </cell>
          <cell r="C592" t="str">
            <v>Cable Tripolar 3x14</v>
          </cell>
          <cell r="D592" t="str">
            <v>Variables</v>
          </cell>
          <cell r="E592" t="str">
            <v>ml</v>
          </cell>
          <cell r="F592">
            <v>5844</v>
          </cell>
          <cell r="G592" t="str">
            <v>LPU FO</v>
          </cell>
        </row>
        <row r="593">
          <cell r="A593">
            <v>8828120154</v>
          </cell>
          <cell r="C593" t="str">
            <v>Breaker de Inserción</v>
          </cell>
          <cell r="D593" t="str">
            <v>Variables</v>
          </cell>
          <cell r="E593" t="str">
            <v>Unidad</v>
          </cell>
          <cell r="F593">
            <v>11730</v>
          </cell>
          <cell r="G593" t="str">
            <v>LPU FO</v>
          </cell>
        </row>
        <row r="594">
          <cell r="A594">
            <v>8828120163</v>
          </cell>
          <cell r="C594" t="str">
            <v>Breaker de Riel</v>
          </cell>
          <cell r="D594" t="str">
            <v>Variables</v>
          </cell>
          <cell r="E594" t="str">
            <v>Unidad</v>
          </cell>
          <cell r="F594">
            <v>18084</v>
          </cell>
          <cell r="G594" t="str">
            <v>LPU FO</v>
          </cell>
        </row>
        <row r="595">
          <cell r="A595">
            <v>8828120171</v>
          </cell>
          <cell r="C595" t="str">
            <v>Adecuación jardines</v>
          </cell>
          <cell r="D595" t="str">
            <v>Variables</v>
          </cell>
          <cell r="E595" t="str">
            <v>m2</v>
          </cell>
          <cell r="F595">
            <v>6990</v>
          </cell>
          <cell r="G595" t="str">
            <v>LPU FO</v>
          </cell>
        </row>
        <row r="596">
          <cell r="A596">
            <v>8828120179</v>
          </cell>
          <cell r="C596" t="str">
            <v>Suministro de motobomba para actividades diferentes a mantenimiento</v>
          </cell>
          <cell r="D596" t="str">
            <v>Variables</v>
          </cell>
          <cell r="E596" t="str">
            <v>Hora</v>
          </cell>
          <cell r="F596">
            <v>20787</v>
          </cell>
          <cell r="G596" t="str">
            <v>LPU FO</v>
          </cell>
        </row>
        <row r="597">
          <cell r="A597">
            <v>8828120188</v>
          </cell>
          <cell r="C597" t="str">
            <v>Suministro de planta electrica de 2 KVA</v>
          </cell>
          <cell r="D597" t="str">
            <v>Variables</v>
          </cell>
          <cell r="E597" t="str">
            <v>Hora</v>
          </cell>
          <cell r="F597">
            <v>31962</v>
          </cell>
          <cell r="G597" t="str">
            <v>LPU FO</v>
          </cell>
        </row>
        <row r="598">
          <cell r="A598">
            <v>8828120196</v>
          </cell>
          <cell r="C598" t="str">
            <v>Hombre hora ayudante</v>
          </cell>
          <cell r="D598" t="str">
            <v>Variables</v>
          </cell>
          <cell r="E598" t="str">
            <v>Hora</v>
          </cell>
          <cell r="F598">
            <v>25500</v>
          </cell>
          <cell r="G598" t="str">
            <v>LPU FO</v>
          </cell>
        </row>
        <row r="599">
          <cell r="A599">
            <v>8828120204</v>
          </cell>
          <cell r="C599" t="str">
            <v>Hombre hora Oficial</v>
          </cell>
          <cell r="D599" t="str">
            <v>Variables</v>
          </cell>
          <cell r="E599" t="str">
            <v>Hora</v>
          </cell>
          <cell r="F599">
            <v>27625</v>
          </cell>
          <cell r="G599" t="str">
            <v>LPU FO</v>
          </cell>
        </row>
        <row r="600">
          <cell r="A600">
            <v>8828120214</v>
          </cell>
          <cell r="C600" t="str">
            <v>Hombre hora Inspector de obra</v>
          </cell>
          <cell r="D600" t="str">
            <v>Variables</v>
          </cell>
          <cell r="E600" t="str">
            <v>Hora</v>
          </cell>
          <cell r="F600">
            <v>31875</v>
          </cell>
          <cell r="G600" t="str">
            <v>LPU FO</v>
          </cell>
        </row>
        <row r="603">
          <cell r="A603">
            <v>8828120222</v>
          </cell>
          <cell r="C603" t="str">
            <v>Cable de 288 hilos ADSS, SPAN 100</v>
          </cell>
          <cell r="D603" t="str">
            <v>Item Critico</v>
          </cell>
          <cell r="E603" t="str">
            <v>m</v>
          </cell>
          <cell r="F603">
            <v>9757</v>
          </cell>
          <cell r="G603" t="str">
            <v>LPU FO Propia</v>
          </cell>
        </row>
        <row r="604">
          <cell r="A604">
            <v>8828120230</v>
          </cell>
          <cell r="C604" t="str">
            <v>Cable de 288 hilos ADSS, SPAN 200</v>
          </cell>
          <cell r="D604" t="str">
            <v>Item Critico</v>
          </cell>
          <cell r="E604" t="str">
            <v>m</v>
          </cell>
          <cell r="F604">
            <v>10451</v>
          </cell>
          <cell r="G604" t="str">
            <v>LPU FO Propia</v>
          </cell>
        </row>
        <row r="605">
          <cell r="A605">
            <v>8828120238</v>
          </cell>
          <cell r="C605" t="str">
            <v>Cable de 288 hilos Armado</v>
          </cell>
          <cell r="D605" t="str">
            <v>Item Critico</v>
          </cell>
          <cell r="E605" t="str">
            <v>m</v>
          </cell>
          <cell r="F605">
            <v>10668</v>
          </cell>
          <cell r="G605" t="str">
            <v>LPU FO Propia</v>
          </cell>
        </row>
        <row r="606">
          <cell r="A606">
            <v>8828120245</v>
          </cell>
          <cell r="C606" t="str">
            <v>Cable de 288 hilos Terminal</v>
          </cell>
          <cell r="D606" t="str">
            <v>Item No Critico</v>
          </cell>
          <cell r="E606" t="str">
            <v>m</v>
          </cell>
          <cell r="F606">
            <v>10668</v>
          </cell>
          <cell r="G606" t="str">
            <v>LPU FO Propia</v>
          </cell>
        </row>
        <row r="607">
          <cell r="A607">
            <v>8828120251</v>
          </cell>
          <cell r="C607" t="str">
            <v>Cable de 192 Hilos ADSS, SPAN 100</v>
          </cell>
          <cell r="D607" t="str">
            <v>Item No Critico</v>
          </cell>
          <cell r="E607" t="str">
            <v>m</v>
          </cell>
          <cell r="F607">
            <v>8724</v>
          </cell>
          <cell r="G607" t="str">
            <v>LPU FO Propia</v>
          </cell>
        </row>
        <row r="608">
          <cell r="A608">
            <v>8828120257</v>
          </cell>
          <cell r="C608" t="str">
            <v>Cable de 192 Hilos ADSS, SPAN 200</v>
          </cell>
          <cell r="D608" t="str">
            <v>Item No Critico</v>
          </cell>
          <cell r="E608" t="str">
            <v>m</v>
          </cell>
          <cell r="F608">
            <v>9603</v>
          </cell>
          <cell r="G608" t="str">
            <v>LPU FO Propia</v>
          </cell>
        </row>
        <row r="609">
          <cell r="A609">
            <v>8828120262</v>
          </cell>
          <cell r="C609" t="str">
            <v>Cable de 192 hilos Armado</v>
          </cell>
          <cell r="D609" t="str">
            <v>Item No Critico</v>
          </cell>
          <cell r="E609" t="str">
            <v>m</v>
          </cell>
          <cell r="F609">
            <v>9603</v>
          </cell>
          <cell r="G609" t="str">
            <v>LPU FO Propia</v>
          </cell>
        </row>
        <row r="610">
          <cell r="A610">
            <v>8828120268</v>
          </cell>
          <cell r="C610" t="str">
            <v>Cable de 192 hilos Terminal</v>
          </cell>
          <cell r="D610" t="str">
            <v>Item No Critico</v>
          </cell>
          <cell r="E610" t="str">
            <v>m</v>
          </cell>
          <cell r="F610">
            <v>9603</v>
          </cell>
          <cell r="G610" t="str">
            <v>LPU FO Propia</v>
          </cell>
        </row>
        <row r="611">
          <cell r="A611">
            <v>8828118825</v>
          </cell>
          <cell r="C611" t="str">
            <v>Cable de 144 hilos ADSS, SPAN 100</v>
          </cell>
          <cell r="D611" t="str">
            <v>Item Critico</v>
          </cell>
          <cell r="E611" t="str">
            <v>m</v>
          </cell>
          <cell r="F611">
            <v>8176</v>
          </cell>
          <cell r="G611" t="str">
            <v>LPU FO Propia</v>
          </cell>
        </row>
        <row r="612">
          <cell r="A612">
            <v>8828118827</v>
          </cell>
          <cell r="C612" t="str">
            <v>Cable de 144 hilos ADSS, SPAN 200</v>
          </cell>
          <cell r="D612" t="str">
            <v>Item Critico</v>
          </cell>
          <cell r="E612" t="str">
            <v>m</v>
          </cell>
          <cell r="F612">
            <v>8971</v>
          </cell>
          <cell r="G612" t="str">
            <v>LPU FO Propia</v>
          </cell>
        </row>
        <row r="613">
          <cell r="A613">
            <v>8828118831</v>
          </cell>
          <cell r="C613" t="str">
            <v>Cable de 144 hilos Armado</v>
          </cell>
          <cell r="D613" t="str">
            <v>Item Critico</v>
          </cell>
          <cell r="E613" t="str">
            <v>m</v>
          </cell>
          <cell r="F613">
            <v>8971</v>
          </cell>
          <cell r="G613" t="str">
            <v>LPU FO Propia</v>
          </cell>
        </row>
        <row r="614">
          <cell r="A614">
            <v>8828118836</v>
          </cell>
          <cell r="C614" t="str">
            <v>Cable de 144 hilos Terminal</v>
          </cell>
          <cell r="D614" t="str">
            <v>Item Critico</v>
          </cell>
          <cell r="E614" t="str">
            <v>m</v>
          </cell>
          <cell r="F614">
            <v>8971</v>
          </cell>
          <cell r="G614" t="str">
            <v>LPU FO Propia</v>
          </cell>
        </row>
        <row r="615">
          <cell r="A615">
            <v>8828118842</v>
          </cell>
          <cell r="C615" t="str">
            <v>Cable de 96 Hilos ADSS, SPAN 100</v>
          </cell>
          <cell r="D615" t="str">
            <v>Item Critico</v>
          </cell>
          <cell r="E615" t="str">
            <v>m</v>
          </cell>
          <cell r="F615">
            <v>7691</v>
          </cell>
          <cell r="G615" t="str">
            <v>LPU FO Propia</v>
          </cell>
        </row>
        <row r="616">
          <cell r="A616">
            <v>8828118849</v>
          </cell>
          <cell r="C616" t="str">
            <v>Cable de 96 Hilos ADSS, SPAN 200</v>
          </cell>
          <cell r="D616" t="str">
            <v>Item Critico</v>
          </cell>
          <cell r="E616" t="str">
            <v>m</v>
          </cell>
          <cell r="F616">
            <v>8413</v>
          </cell>
          <cell r="G616" t="str">
            <v>LPU FO Propia</v>
          </cell>
        </row>
        <row r="617">
          <cell r="A617">
            <v>8828118860</v>
          </cell>
          <cell r="C617" t="str">
            <v>Cable de 96 hilos Armado</v>
          </cell>
          <cell r="D617" t="str">
            <v>Item Critico</v>
          </cell>
          <cell r="E617" t="str">
            <v>m</v>
          </cell>
          <cell r="F617">
            <v>8413</v>
          </cell>
          <cell r="G617" t="str">
            <v>LPU FO Propia</v>
          </cell>
        </row>
        <row r="618">
          <cell r="A618">
            <v>8828118869</v>
          </cell>
          <cell r="C618" t="str">
            <v>Cable de 96 hilos Terminal</v>
          </cell>
          <cell r="D618" t="str">
            <v>Item Critico</v>
          </cell>
          <cell r="E618" t="str">
            <v>m</v>
          </cell>
          <cell r="F618">
            <v>8413</v>
          </cell>
          <cell r="G618" t="str">
            <v>LPU FO Propia</v>
          </cell>
        </row>
        <row r="619">
          <cell r="A619">
            <v>8828118878</v>
          </cell>
          <cell r="C619" t="str">
            <v>Cable de 48 Hilos ADSS, SPAN 100</v>
          </cell>
          <cell r="D619" t="str">
            <v>Item Critico</v>
          </cell>
          <cell r="E619" t="str">
            <v>m</v>
          </cell>
          <cell r="F619">
            <v>7189</v>
          </cell>
          <cell r="G619" t="str">
            <v>LPU FO Propia</v>
          </cell>
        </row>
        <row r="620">
          <cell r="A620">
            <v>8828118887</v>
          </cell>
          <cell r="C620" t="str">
            <v>Cable de 48 Hilos ADSS, SPAN 200</v>
          </cell>
          <cell r="D620" t="str">
            <v>Item Critico</v>
          </cell>
          <cell r="E620" t="str">
            <v>m</v>
          </cell>
          <cell r="F620">
            <v>7061</v>
          </cell>
          <cell r="G620" t="str">
            <v>LPU FO Propia</v>
          </cell>
        </row>
        <row r="621">
          <cell r="A621">
            <v>8828118896</v>
          </cell>
          <cell r="C621" t="str">
            <v>Cable de 48 hilos Armado</v>
          </cell>
          <cell r="D621" t="str">
            <v>Item Critico</v>
          </cell>
          <cell r="E621" t="str">
            <v>m</v>
          </cell>
          <cell r="F621">
            <v>7427</v>
          </cell>
          <cell r="G621" t="str">
            <v>LPU FO Propia</v>
          </cell>
        </row>
        <row r="622">
          <cell r="A622">
            <v>8828118909</v>
          </cell>
          <cell r="C622" t="str">
            <v>Cable de 48 hilos Terminal</v>
          </cell>
          <cell r="D622" t="str">
            <v>Item Critico</v>
          </cell>
          <cell r="E622" t="str">
            <v>m</v>
          </cell>
          <cell r="F622">
            <v>6534</v>
          </cell>
          <cell r="G622" t="str">
            <v>LPU FO Propia</v>
          </cell>
        </row>
        <row r="623">
          <cell r="A623">
            <v>8828118921</v>
          </cell>
          <cell r="C623" t="str">
            <v>Cable de 24 Hilos ADSS, SPAN 100</v>
          </cell>
          <cell r="D623" t="str">
            <v>Item Critico</v>
          </cell>
          <cell r="E623" t="str">
            <v>m</v>
          </cell>
          <cell r="F623">
            <v>5131</v>
          </cell>
          <cell r="G623" t="str">
            <v>LPU FO Propia</v>
          </cell>
        </row>
        <row r="624">
          <cell r="A624">
            <v>8828118933</v>
          </cell>
          <cell r="C624" t="str">
            <v>Cable de 24 Hilos ADSS, SPAN 200</v>
          </cell>
          <cell r="D624" t="str">
            <v>Item Critico</v>
          </cell>
          <cell r="E624" t="str">
            <v>m</v>
          </cell>
          <cell r="F624">
            <v>5774</v>
          </cell>
          <cell r="G624" t="str">
            <v>LPU FO Propia</v>
          </cell>
        </row>
        <row r="625">
          <cell r="A625">
            <v>8828119357</v>
          </cell>
          <cell r="C625" t="str">
            <v>Cable de 24 hilos Armado</v>
          </cell>
          <cell r="D625" t="str">
            <v>Item Critico</v>
          </cell>
          <cell r="E625" t="str">
            <v>m</v>
          </cell>
          <cell r="F625">
            <v>6091</v>
          </cell>
          <cell r="G625" t="str">
            <v>LPU FO Propia</v>
          </cell>
        </row>
        <row r="626">
          <cell r="A626">
            <v>8828118856</v>
          </cell>
          <cell r="C626" t="str">
            <v>Cable de 24 hilos Terminal</v>
          </cell>
          <cell r="D626" t="str">
            <v>Item Critico</v>
          </cell>
          <cell r="E626" t="str">
            <v>m</v>
          </cell>
          <cell r="F626">
            <v>5473</v>
          </cell>
          <cell r="G626" t="str">
            <v>LPU FO Propia</v>
          </cell>
        </row>
        <row r="627">
          <cell r="A627">
            <v>8828119369</v>
          </cell>
          <cell r="C627" t="str">
            <v>Cable de 12 Hilos ADSS, SPAN 100</v>
          </cell>
          <cell r="D627" t="str">
            <v>Item No Critico</v>
          </cell>
          <cell r="E627" t="str">
            <v>m</v>
          </cell>
          <cell r="F627">
            <v>5130</v>
          </cell>
          <cell r="G627" t="str">
            <v>LPU FO Propia</v>
          </cell>
        </row>
        <row r="628">
          <cell r="A628">
            <v>8828119380</v>
          </cell>
          <cell r="C628" t="str">
            <v>Cable de 12 Hilos ADSS, SPAN 200</v>
          </cell>
          <cell r="D628" t="str">
            <v>Item No Critico</v>
          </cell>
          <cell r="E628" t="str">
            <v>m</v>
          </cell>
          <cell r="F628">
            <v>4607</v>
          </cell>
          <cell r="G628" t="str">
            <v>LPU FO Propia</v>
          </cell>
        </row>
        <row r="629">
          <cell r="A629">
            <v>8828119388</v>
          </cell>
          <cell r="C629" t="str">
            <v>Cable de 12 hilos Armado</v>
          </cell>
          <cell r="D629" t="str">
            <v>Item No Critico</v>
          </cell>
          <cell r="E629" t="str">
            <v>m</v>
          </cell>
          <cell r="F629">
            <v>4961</v>
          </cell>
          <cell r="G629" t="str">
            <v>LPU FO Propia</v>
          </cell>
        </row>
        <row r="630">
          <cell r="A630">
            <v>8828119397</v>
          </cell>
          <cell r="C630" t="str">
            <v>Cable de 12 hilos Terminal</v>
          </cell>
          <cell r="D630" t="str">
            <v>Item No Critico</v>
          </cell>
          <cell r="E630" t="str">
            <v>m</v>
          </cell>
          <cell r="F630">
            <v>4607</v>
          </cell>
          <cell r="G630" t="str">
            <v>LPU FO Propia</v>
          </cell>
        </row>
        <row r="631">
          <cell r="A631">
            <v>8828119405</v>
          </cell>
          <cell r="C631" t="str">
            <v>Cable tipo Drop de 2 hilos</v>
          </cell>
          <cell r="D631" t="str">
            <v>Item Critico</v>
          </cell>
          <cell r="E631" t="str">
            <v>m</v>
          </cell>
          <cell r="F631">
            <v>3261</v>
          </cell>
          <cell r="G631" t="str">
            <v>LPU FO Propia</v>
          </cell>
        </row>
        <row r="632">
          <cell r="A632">
            <v>8828119415</v>
          </cell>
          <cell r="C632" t="str">
            <v>Cable tipo Drop de 4 hilos</v>
          </cell>
          <cell r="D632" t="str">
            <v>Item Critico</v>
          </cell>
          <cell r="E632" t="str">
            <v>m</v>
          </cell>
          <cell r="F632">
            <v>3310</v>
          </cell>
          <cell r="G632" t="str">
            <v>LPU FO Propia</v>
          </cell>
        </row>
        <row r="633">
          <cell r="A633">
            <v>8828118866</v>
          </cell>
          <cell r="C633" t="str">
            <v>Suministro e instalación de fibra óptica monomodo tipo Drop de 2 hilos</v>
          </cell>
          <cell r="D633" t="str">
            <v>Item Critico</v>
          </cell>
          <cell r="E633" t="str">
            <v>m</v>
          </cell>
          <cell r="F633">
            <v>3973</v>
          </cell>
          <cell r="G633" t="str">
            <v>LPU FO Propia</v>
          </cell>
        </row>
        <row r="634">
          <cell r="A634">
            <v>8828118874</v>
          </cell>
          <cell r="C634" t="str">
            <v>Suministro e instalación de fibra óptica monomodo tipo Drop de 4 hilos</v>
          </cell>
          <cell r="D634" t="str">
            <v>Item Critico</v>
          </cell>
          <cell r="E634" t="str">
            <v>m</v>
          </cell>
          <cell r="F634">
            <v>4945</v>
          </cell>
          <cell r="G634" t="str">
            <v>LPU FO Propia</v>
          </cell>
        </row>
        <row r="635">
          <cell r="A635">
            <v>8828118885</v>
          </cell>
          <cell r="C635" t="str">
            <v>Fibra Óptica ADSS Span 800 (Condiciones capitulo 4B. No se aceptan fibras de fabricación China.)</v>
          </cell>
          <cell r="D635" t="str">
            <v>Item No Critico</v>
          </cell>
          <cell r="E635" t="str">
            <v>m</v>
          </cell>
          <cell r="F635">
            <v>10702</v>
          </cell>
          <cell r="G635" t="str">
            <v>LPU FO Propia</v>
          </cell>
        </row>
        <row r="636">
          <cell r="A636">
            <v>8828118894</v>
          </cell>
          <cell r="C636" t="str">
            <v>Fibra Óptica de 48 hilos, Span 800</v>
          </cell>
          <cell r="D636" t="str">
            <v>Item Critico</v>
          </cell>
          <cell r="E636" t="str">
            <v>m</v>
          </cell>
          <cell r="F636">
            <v>7222</v>
          </cell>
          <cell r="G636" t="str">
            <v>LPU FO Propia</v>
          </cell>
        </row>
        <row r="637">
          <cell r="A637">
            <v>8828118903</v>
          </cell>
          <cell r="C637" t="str">
            <v>Fibra Óptica ADSS Span 1200 (Condiciones capitulo 4B. No se aceptan fibras de fabricación China.)</v>
          </cell>
          <cell r="D637" t="str">
            <v>Item No Critico</v>
          </cell>
          <cell r="E637" t="str">
            <v>m</v>
          </cell>
          <cell r="F637">
            <v>15697</v>
          </cell>
          <cell r="G637" t="str">
            <v>LPU FO Propia</v>
          </cell>
        </row>
        <row r="638">
          <cell r="A638">
            <v>8828118912</v>
          </cell>
          <cell r="C638" t="str">
            <v>Fibra Óptica de 12 hilos, Span 1200</v>
          </cell>
          <cell r="D638" t="str">
            <v>Item Critico</v>
          </cell>
          <cell r="E638" t="str">
            <v>m</v>
          </cell>
          <cell r="F638">
            <v>9875</v>
          </cell>
          <cell r="G638" t="str">
            <v>LPU FO Propia</v>
          </cell>
        </row>
        <row r="639">
          <cell r="A639">
            <v>8828118919</v>
          </cell>
          <cell r="C639" t="str">
            <v>Fibra Óptica ADSS Span 1600 (Condiciones capitulo 4B. No se aceptan fibras de fabricación China.)</v>
          </cell>
          <cell r="D639" t="str">
            <v>Item No Critico</v>
          </cell>
          <cell r="E639" t="str">
            <v>m</v>
          </cell>
          <cell r="F639">
            <v>15711</v>
          </cell>
          <cell r="G639" t="str">
            <v>LPU FO Propia</v>
          </cell>
        </row>
        <row r="640">
          <cell r="A640">
            <v>8828118938</v>
          </cell>
          <cell r="C640" t="str">
            <v>Fibra Óptica de 12 hilos, Span 1600</v>
          </cell>
          <cell r="D640" t="str">
            <v>Item Critico</v>
          </cell>
          <cell r="E640" t="str">
            <v>m</v>
          </cell>
          <cell r="F640">
            <v>11005</v>
          </cell>
          <cell r="G640" t="str">
            <v>LPU FO Propia</v>
          </cell>
        </row>
        <row r="641">
          <cell r="A641">
            <v>8828118948</v>
          </cell>
          <cell r="C641" t="str">
            <v>Cable UTP Categoría 5E, con conectores en sus extremos, certificado</v>
          </cell>
          <cell r="D641" t="str">
            <v>Item Critico</v>
          </cell>
          <cell r="E641" t="str">
            <v>m</v>
          </cell>
          <cell r="F641">
            <v>4600</v>
          </cell>
          <cell r="G641" t="str">
            <v>LPU FO Propia</v>
          </cell>
        </row>
        <row r="642">
          <cell r="A642">
            <v>8828118956</v>
          </cell>
          <cell r="C642" t="str">
            <v>Cable UTP Categoría 6, con conectores en sus extremos, certificado</v>
          </cell>
          <cell r="D642" t="str">
            <v>Item Critico</v>
          </cell>
          <cell r="E642" t="str">
            <v>m</v>
          </cell>
          <cell r="F642">
            <v>4945</v>
          </cell>
          <cell r="G642" t="str">
            <v>LPU FO Propia</v>
          </cell>
        </row>
        <row r="643">
          <cell r="A643">
            <v>8828118972</v>
          </cell>
          <cell r="C643" t="str">
            <v>Cable STP Categoría 5E, con conectores en sus extremos, certificado</v>
          </cell>
          <cell r="D643" t="str">
            <v>Item No Critico</v>
          </cell>
          <cell r="E643" t="str">
            <v>m</v>
          </cell>
          <cell r="F643">
            <v>4994</v>
          </cell>
          <cell r="G643" t="str">
            <v>LPU FO Propia</v>
          </cell>
        </row>
        <row r="644">
          <cell r="A644">
            <v>8828118981</v>
          </cell>
          <cell r="C644" t="str">
            <v>Cable STP Categoría 6, con conectores en sus extremos, certificado</v>
          </cell>
          <cell r="D644" t="str">
            <v>Item No Critico</v>
          </cell>
          <cell r="E644" t="str">
            <v>m</v>
          </cell>
          <cell r="F644">
            <v>5359</v>
          </cell>
          <cell r="G644" t="str">
            <v>LPU FO Propia</v>
          </cell>
        </row>
        <row r="645">
          <cell r="A645">
            <v>8828118989</v>
          </cell>
          <cell r="C645" t="str">
            <v>Suministro e instalación de cable UTP Categoría 5E, con conectores en sus extremos, certificado</v>
          </cell>
          <cell r="D645" t="str">
            <v>Item Critico</v>
          </cell>
          <cell r="E645" t="str">
            <v>m</v>
          </cell>
          <cell r="F645">
            <v>5400</v>
          </cell>
          <cell r="G645" t="str">
            <v>LPU FO Propia</v>
          </cell>
        </row>
        <row r="646">
          <cell r="A646">
            <v>8828118999</v>
          </cell>
          <cell r="C646" t="str">
            <v>Suministro e instalación de cable UTP Categoría 6, con conectores en sus extremos, certificado</v>
          </cell>
          <cell r="D646" t="str">
            <v>Item Critico</v>
          </cell>
          <cell r="E646" t="str">
            <v>m</v>
          </cell>
          <cell r="F646">
            <v>5913</v>
          </cell>
          <cell r="G646" t="str">
            <v>LPU FO Propia</v>
          </cell>
        </row>
        <row r="647">
          <cell r="A647">
            <v>8828119008</v>
          </cell>
          <cell r="C647" t="str">
            <v>Suministro e instalación de cable STP Categoría 5E, con conectores en sus extremos, certificado</v>
          </cell>
          <cell r="D647" t="str">
            <v>Item No Critico</v>
          </cell>
          <cell r="E647" t="str">
            <v>m</v>
          </cell>
          <cell r="F647">
            <v>5912</v>
          </cell>
          <cell r="G647" t="str">
            <v>LPU FO Propia</v>
          </cell>
        </row>
        <row r="648">
          <cell r="A648">
            <v>8828119018</v>
          </cell>
          <cell r="C648" t="str">
            <v>Suministro e instalación de cable STP Categoría 6, con conectores en sus extremos, certificado</v>
          </cell>
          <cell r="D648" t="str">
            <v>Item No Critico</v>
          </cell>
          <cell r="E648" t="str">
            <v>m</v>
          </cell>
          <cell r="F648">
            <v>6498</v>
          </cell>
          <cell r="G648" t="str">
            <v>LPU FO Propia</v>
          </cell>
        </row>
        <row r="649">
          <cell r="A649">
            <v>8828119027</v>
          </cell>
          <cell r="C649" t="str">
            <v>Abrazadera perpendicular para tubo de 2" con 100% de accesorios</v>
          </cell>
          <cell r="D649" t="str">
            <v>Item No Critico</v>
          </cell>
          <cell r="E649" t="str">
            <v>Unidad</v>
          </cell>
          <cell r="F649">
            <v>4255</v>
          </cell>
          <cell r="G649" t="str">
            <v>LPU FO Propia</v>
          </cell>
        </row>
        <row r="650">
          <cell r="A650">
            <v>8828119037</v>
          </cell>
          <cell r="C650" t="str">
            <v>Bandeja para rack de 19" autosoportada</v>
          </cell>
          <cell r="D650" t="str">
            <v>Item No Critico</v>
          </cell>
          <cell r="E650" t="str">
            <v>Unidad</v>
          </cell>
          <cell r="F650">
            <v>42205</v>
          </cell>
          <cell r="G650" t="str">
            <v>LPU FO Propia</v>
          </cell>
        </row>
        <row r="651">
          <cell r="A651">
            <v>8828119047</v>
          </cell>
          <cell r="C651" t="str">
            <v>Bandeja para rack de 19" autosoportada con perforaciones</v>
          </cell>
          <cell r="D651" t="str">
            <v>Item No Critico</v>
          </cell>
          <cell r="E651" t="str">
            <v>Unidad</v>
          </cell>
          <cell r="F651">
            <v>52555</v>
          </cell>
          <cell r="G651" t="str">
            <v>LPU FO Propia</v>
          </cell>
        </row>
        <row r="652">
          <cell r="A652">
            <v>8828119057</v>
          </cell>
          <cell r="C652" t="str">
            <v>Bandeja para instalación en pared</v>
          </cell>
          <cell r="D652" t="str">
            <v>Item No Critico</v>
          </cell>
          <cell r="E652" t="str">
            <v>Unidad</v>
          </cell>
          <cell r="F652">
            <v>11840</v>
          </cell>
          <cell r="G652" t="str">
            <v>LPU FO Propia</v>
          </cell>
        </row>
        <row r="653">
          <cell r="A653">
            <v>8828119070</v>
          </cell>
          <cell r="C653" t="str">
            <v>CAJAS DE EMPALME CON 100% DE ACCESORIOS. Marca "YYYY" (Completar la marca)</v>
          </cell>
          <cell r="D653" t="str">
            <v>Item Critico</v>
          </cell>
          <cell r="F653">
            <v>214812</v>
          </cell>
          <cell r="G653" t="str">
            <v>LPU FO Propia</v>
          </cell>
        </row>
        <row r="654">
          <cell r="A654">
            <v>8828119080</v>
          </cell>
          <cell r="C654" t="str">
            <v>Caja empalme alternativa para cable de 12 hilos</v>
          </cell>
          <cell r="D654" t="str">
            <v>Item No Critico</v>
          </cell>
          <cell r="E654" t="str">
            <v>Unidad</v>
          </cell>
          <cell r="F654">
            <v>155466</v>
          </cell>
          <cell r="G654" t="str">
            <v>LPU FO Propia</v>
          </cell>
        </row>
        <row r="655">
          <cell r="A655">
            <v>8828119087</v>
          </cell>
          <cell r="C655" t="str">
            <v>Caja empalme alternativa para cable de 24 hilos</v>
          </cell>
          <cell r="D655" t="str">
            <v>Item Critico</v>
          </cell>
          <cell r="E655" t="str">
            <v>Unidad</v>
          </cell>
          <cell r="F655">
            <v>159223</v>
          </cell>
          <cell r="G655" t="str">
            <v>LPU FO Propia</v>
          </cell>
        </row>
        <row r="656">
          <cell r="A656">
            <v>8828119096</v>
          </cell>
          <cell r="C656" t="str">
            <v>Caja empalme alternativa para cable de 48 hilos</v>
          </cell>
          <cell r="D656" t="str">
            <v>Item Critico</v>
          </cell>
          <cell r="E656" t="str">
            <v>Unidad</v>
          </cell>
          <cell r="F656">
            <v>182769</v>
          </cell>
          <cell r="G656" t="str">
            <v>LPU FO Propia</v>
          </cell>
        </row>
        <row r="657">
          <cell r="A657">
            <v>8828119105</v>
          </cell>
          <cell r="C657" t="str">
            <v>Caja empalme alternativa para cable de 96 hilos</v>
          </cell>
          <cell r="D657" t="str">
            <v>Item Critico</v>
          </cell>
          <cell r="E657" t="str">
            <v>Unidad</v>
          </cell>
          <cell r="F657">
            <v>247043</v>
          </cell>
          <cell r="G657" t="str">
            <v>LPU FO Propia</v>
          </cell>
        </row>
        <row r="658">
          <cell r="A658">
            <v>8828119113</v>
          </cell>
          <cell r="C658" t="str">
            <v>Caja empalme alternativa para cable de 144 hilos</v>
          </cell>
          <cell r="D658" t="str">
            <v>Item Critico</v>
          </cell>
          <cell r="E658" t="str">
            <v>Unidad</v>
          </cell>
          <cell r="F658">
            <v>270796</v>
          </cell>
          <cell r="G658" t="str">
            <v>LPU FO Propia</v>
          </cell>
        </row>
        <row r="659">
          <cell r="A659">
            <v>8828119123</v>
          </cell>
          <cell r="C659" t="str">
            <v>Caja empalme alternativa para cable de 192 hilos</v>
          </cell>
          <cell r="D659" t="str">
            <v>Item No Critico</v>
          </cell>
          <cell r="E659" t="str">
            <v>Unidad</v>
          </cell>
          <cell r="F659">
            <v>309350</v>
          </cell>
          <cell r="G659" t="str">
            <v>LPU FO Propia</v>
          </cell>
        </row>
        <row r="660">
          <cell r="A660">
            <v>8828119134</v>
          </cell>
          <cell r="C660" t="str">
            <v>Caja empalme alternativa para cable de 288 hilos</v>
          </cell>
          <cell r="D660" t="str">
            <v>Item Critico</v>
          </cell>
          <cell r="E660" t="str">
            <v>Unidad</v>
          </cell>
          <cell r="F660">
            <v>441002</v>
          </cell>
          <cell r="G660" t="str">
            <v>LPU FO Propia</v>
          </cell>
        </row>
        <row r="661">
          <cell r="A661">
            <v>8828119145</v>
          </cell>
          <cell r="C661" t="str">
            <v>CAJAS DE EMPALME CON 100% DE ACCESORIOS. Marca "XXXX" (Completar la marca)</v>
          </cell>
          <cell r="D661" t="str">
            <v>Item Critico</v>
          </cell>
          <cell r="F661">
            <v>214812</v>
          </cell>
          <cell r="G661" t="str">
            <v>LPU FO Propia</v>
          </cell>
        </row>
        <row r="662">
          <cell r="A662">
            <v>8828119154</v>
          </cell>
          <cell r="C662" t="str">
            <v>Caja empalme propuesta para cable 12 hilos</v>
          </cell>
          <cell r="D662" t="str">
            <v>Item No Critico</v>
          </cell>
          <cell r="E662" t="str">
            <v>Unidad</v>
          </cell>
          <cell r="F662">
            <v>155466</v>
          </cell>
          <cell r="G662" t="str">
            <v>LPU FO Propia</v>
          </cell>
        </row>
        <row r="663">
          <cell r="A663">
            <v>8828119164</v>
          </cell>
          <cell r="C663" t="str">
            <v>Caja empalme propuesta para cable 24 hilos</v>
          </cell>
          <cell r="D663" t="str">
            <v>Item Critico</v>
          </cell>
          <cell r="E663" t="str">
            <v>Unidad</v>
          </cell>
          <cell r="F663">
            <v>159223</v>
          </cell>
          <cell r="G663" t="str">
            <v>LPU FO Propia</v>
          </cell>
        </row>
        <row r="664">
          <cell r="A664">
            <v>8828119173</v>
          </cell>
          <cell r="C664" t="str">
            <v>Caja empalme propuesta para cable 48 hilos</v>
          </cell>
          <cell r="D664" t="str">
            <v>Item Critico</v>
          </cell>
          <cell r="E664" t="str">
            <v>Unidad</v>
          </cell>
          <cell r="F664">
            <v>167989</v>
          </cell>
          <cell r="G664" t="str">
            <v>LPU FO Propia</v>
          </cell>
        </row>
        <row r="665">
          <cell r="A665">
            <v>8828119182</v>
          </cell>
          <cell r="C665" t="str">
            <v>Caja empalme propuesta para cable 96 hilos</v>
          </cell>
          <cell r="D665" t="str">
            <v>Item Critico</v>
          </cell>
          <cell r="E665" t="str">
            <v>Unidad</v>
          </cell>
          <cell r="F665">
            <v>221841</v>
          </cell>
          <cell r="G665" t="str">
            <v>LPU FO Propia</v>
          </cell>
        </row>
        <row r="666">
          <cell r="A666">
            <v>8828119191</v>
          </cell>
          <cell r="C666" t="str">
            <v>Caja empalme propuesta para cable de 144 hilos</v>
          </cell>
          <cell r="D666" t="str">
            <v>Item Critico</v>
          </cell>
          <cell r="E666" t="str">
            <v>Unidad</v>
          </cell>
          <cell r="F666">
            <v>263168</v>
          </cell>
          <cell r="G666" t="str">
            <v>LPU FO Propia</v>
          </cell>
        </row>
        <row r="667">
          <cell r="A667">
            <v>8828119200</v>
          </cell>
          <cell r="C667" t="str">
            <v>Caja empalme propuesta para cable de 192 hilos</v>
          </cell>
          <cell r="D667" t="str">
            <v>Item No Critico</v>
          </cell>
          <cell r="E667" t="str">
            <v>Unidad</v>
          </cell>
          <cell r="F667">
            <v>309350</v>
          </cell>
          <cell r="G667" t="str">
            <v>LPU FO Propia</v>
          </cell>
        </row>
        <row r="668">
          <cell r="A668">
            <v>8828119210</v>
          </cell>
          <cell r="C668" t="str">
            <v>Caja empalme propuesta para cable de 288 hilos</v>
          </cell>
          <cell r="D668" t="str">
            <v>Item Critico</v>
          </cell>
          <cell r="E668" t="str">
            <v>Unidad</v>
          </cell>
          <cell r="F668">
            <v>441002</v>
          </cell>
          <cell r="G668" t="str">
            <v>LPU FO Propia</v>
          </cell>
        </row>
        <row r="669">
          <cell r="A669">
            <v>8828119219</v>
          </cell>
          <cell r="C669" t="str">
            <v>Suministro Cierre FOSC-400-D5 con 100% de accesorios</v>
          </cell>
          <cell r="D669" t="str">
            <v>Item Critico</v>
          </cell>
          <cell r="E669" t="str">
            <v>Unidad</v>
          </cell>
          <cell r="F669">
            <v>309350</v>
          </cell>
          <cell r="G669" t="str">
            <v>LPU FO Propia</v>
          </cell>
        </row>
        <row r="670">
          <cell r="A670">
            <v>8828119229</v>
          </cell>
          <cell r="C670" t="str">
            <v>Bandeja Adicional para FOSC-400 D5</v>
          </cell>
          <cell r="D670" t="str">
            <v>Item Critico</v>
          </cell>
          <cell r="E670" t="str">
            <v>Unidad</v>
          </cell>
          <cell r="F670">
            <v>76475</v>
          </cell>
          <cell r="G670" t="str">
            <v>LPU FO Propia</v>
          </cell>
        </row>
        <row r="671">
          <cell r="A671">
            <v>8828119239</v>
          </cell>
          <cell r="C671" t="str">
            <v>Suministro Cierre FOSC-450-BS con 100% de accesorios</v>
          </cell>
          <cell r="D671" t="str">
            <v>Item Critico</v>
          </cell>
          <cell r="E671" t="str">
            <v>Unidad</v>
          </cell>
          <cell r="F671">
            <v>136850</v>
          </cell>
          <cell r="G671" t="str">
            <v>LPU FO Propia</v>
          </cell>
        </row>
        <row r="672">
          <cell r="A672">
            <v>8828119252</v>
          </cell>
          <cell r="C672" t="str">
            <v>Suministro Cierre FOSC-B3 con 100% de accesorios</v>
          </cell>
          <cell r="D672" t="str">
            <v>Item Critico</v>
          </cell>
          <cell r="E672" t="str">
            <v>Unidad</v>
          </cell>
          <cell r="F672">
            <v>136850</v>
          </cell>
          <cell r="G672" t="str">
            <v>LPU FO Propia</v>
          </cell>
        </row>
        <row r="673">
          <cell r="A673">
            <v>8828119262</v>
          </cell>
          <cell r="C673" t="str">
            <v>Suministro e Instalación de caja de registro tipo 1 (15 x 15 x 10) marea Luminex</v>
          </cell>
          <cell r="D673" t="str">
            <v>Item Critico</v>
          </cell>
          <cell r="E673" t="str">
            <v>Unidad</v>
          </cell>
          <cell r="F673">
            <v>38370</v>
          </cell>
          <cell r="G673" t="str">
            <v>LPU FO Propia</v>
          </cell>
        </row>
        <row r="674">
          <cell r="A674">
            <v>8828119272</v>
          </cell>
          <cell r="C674" t="str">
            <v>Suministro e Instalación de caja de registro tipo 5 (18 x 14 x 7) marea Dexson</v>
          </cell>
          <cell r="D674" t="str">
            <v>Item Critico</v>
          </cell>
          <cell r="E674" t="str">
            <v>Unidad</v>
          </cell>
          <cell r="F674">
            <v>43748</v>
          </cell>
          <cell r="G674" t="str">
            <v>LPU FO Propia</v>
          </cell>
        </row>
        <row r="675">
          <cell r="A675">
            <v>8828119280</v>
          </cell>
          <cell r="C675" t="str">
            <v>Suministro e Instalación de Caja de Registro Tipo 2 (20 x 25 x 15) marca Luminex</v>
          </cell>
          <cell r="D675" t="str">
            <v>Item Critico</v>
          </cell>
          <cell r="E675" t="str">
            <v>Unidad</v>
          </cell>
          <cell r="F675">
            <v>51462</v>
          </cell>
          <cell r="G675" t="str">
            <v>LPU FO Propia</v>
          </cell>
        </row>
        <row r="676">
          <cell r="A676">
            <v>8828119289</v>
          </cell>
          <cell r="C676" t="str">
            <v>Suministro e Instalación de caja de registro tipo 3 (30 x 30 x 15) marea Luminex</v>
          </cell>
          <cell r="D676" t="str">
            <v>Item Critico</v>
          </cell>
          <cell r="E676" t="str">
            <v>Unidad</v>
          </cell>
          <cell r="F676">
            <v>55085</v>
          </cell>
          <cell r="G676" t="str">
            <v>LPU FO Propia</v>
          </cell>
        </row>
        <row r="677">
          <cell r="A677">
            <v>8828119296</v>
          </cell>
          <cell r="C677" t="str">
            <v>Suministro e Instalación de caja de registro tipo 4 (40 x 40 x 20) marea Luminex</v>
          </cell>
          <cell r="D677" t="str">
            <v>Item Critico</v>
          </cell>
          <cell r="E677" t="str">
            <v>Unidad</v>
          </cell>
          <cell r="F677">
            <v>105800</v>
          </cell>
          <cell r="G677" t="str">
            <v>LPU FO Propia</v>
          </cell>
        </row>
        <row r="678">
          <cell r="A678">
            <v>8828119307</v>
          </cell>
          <cell r="C678" t="str">
            <v>Suministro e instalación de caja terminal de 4 ptos</v>
          </cell>
          <cell r="D678" t="str">
            <v>Item Critico</v>
          </cell>
          <cell r="E678" t="str">
            <v>Unidad</v>
          </cell>
          <cell r="F678">
            <v>39560</v>
          </cell>
          <cell r="G678" t="str">
            <v>LPU FO Propia</v>
          </cell>
        </row>
        <row r="679">
          <cell r="A679">
            <v>8828119325</v>
          </cell>
          <cell r="C679" t="str">
            <v>Suministro e instalación de caja terminal de 8 ptos</v>
          </cell>
          <cell r="D679" t="str">
            <v>Item Critico</v>
          </cell>
          <cell r="E679" t="str">
            <v>Unidad</v>
          </cell>
          <cell r="F679">
            <v>59225</v>
          </cell>
          <cell r="G679" t="str">
            <v>LPU FO Propia</v>
          </cell>
        </row>
        <row r="680">
          <cell r="A680">
            <v>8828119334</v>
          </cell>
          <cell r="C680" t="str">
            <v>Caja para conectorización de cable UTP/STP, categoría 5E/6, conector hembra</v>
          </cell>
          <cell r="D680" t="str">
            <v>Item Critico</v>
          </cell>
          <cell r="E680" t="str">
            <v>Unidad</v>
          </cell>
          <cell r="F680">
            <v>35420</v>
          </cell>
          <cell r="G680" t="str">
            <v>LPU FO Propia</v>
          </cell>
        </row>
        <row r="681">
          <cell r="A681">
            <v>8828119343</v>
          </cell>
          <cell r="C681" t="str">
            <v>Caja de Paso 25 X 30</v>
          </cell>
          <cell r="D681" t="str">
            <v>Item Critico</v>
          </cell>
          <cell r="E681" t="str">
            <v>Unidad</v>
          </cell>
          <cell r="F681">
            <v>54443</v>
          </cell>
          <cell r="G681" t="str">
            <v>LPU FO Propia</v>
          </cell>
        </row>
        <row r="682">
          <cell r="A682">
            <v>8828119363</v>
          </cell>
          <cell r="C682" t="str">
            <v>Caja de Paso 20 X 30</v>
          </cell>
          <cell r="D682" t="str">
            <v>Item Critico</v>
          </cell>
          <cell r="E682" t="str">
            <v>Unidad</v>
          </cell>
          <cell r="F682">
            <v>34920</v>
          </cell>
          <cell r="G682" t="str">
            <v>LPU FO Propia</v>
          </cell>
        </row>
        <row r="683">
          <cell r="A683">
            <v>8828119371</v>
          </cell>
          <cell r="C683" t="str">
            <v>Caja de Paso 20 X 25</v>
          </cell>
          <cell r="D683" t="str">
            <v>Item Critico</v>
          </cell>
          <cell r="E683" t="str">
            <v>Unidad</v>
          </cell>
          <cell r="F683">
            <v>31562</v>
          </cell>
          <cell r="G683" t="str">
            <v>LPU FO Propia</v>
          </cell>
        </row>
        <row r="684">
          <cell r="A684">
            <v>8828119379</v>
          </cell>
          <cell r="C684" t="str">
            <v>Caja de Paso 20 X 20</v>
          </cell>
          <cell r="D684" t="str">
            <v>Item Critico</v>
          </cell>
          <cell r="E684" t="str">
            <v>Unidad</v>
          </cell>
          <cell r="F684">
            <v>26729</v>
          </cell>
          <cell r="G684" t="str">
            <v>LPU FO Propia</v>
          </cell>
        </row>
        <row r="685">
          <cell r="A685">
            <v>8828119387</v>
          </cell>
          <cell r="C685" t="str">
            <v>Caja de Paso 15 X 15</v>
          </cell>
          <cell r="D685" t="str">
            <v>Item Critico</v>
          </cell>
          <cell r="E685" t="str">
            <v>Unidad</v>
          </cell>
          <cell r="F685">
            <v>19969</v>
          </cell>
          <cell r="G685" t="str">
            <v>LPU FO Propia</v>
          </cell>
        </row>
        <row r="686">
          <cell r="A686">
            <v>8828119396</v>
          </cell>
          <cell r="C686" t="str">
            <v>Capacete de 2"</v>
          </cell>
          <cell r="D686" t="str">
            <v>Item No Critico</v>
          </cell>
          <cell r="E686" t="str">
            <v>Unidad</v>
          </cell>
          <cell r="F686">
            <v>12741</v>
          </cell>
          <cell r="G686" t="str">
            <v>LPU FO Propia</v>
          </cell>
        </row>
        <row r="687">
          <cell r="A687">
            <v>8828119404</v>
          </cell>
          <cell r="C687" t="str">
            <v>Cinta de 1/2 Acero Inoxidable (Rollo 30.5 mts)</v>
          </cell>
          <cell r="D687" t="str">
            <v>Item No Critico</v>
          </cell>
          <cell r="E687" t="str">
            <v>Unidad</v>
          </cell>
          <cell r="F687">
            <v>30475</v>
          </cell>
          <cell r="G687" t="str">
            <v>LPU FO Propia</v>
          </cell>
        </row>
        <row r="688">
          <cell r="A688">
            <v>8828119412</v>
          </cell>
          <cell r="C688" t="str">
            <v>Conectores recto API de 2"</v>
          </cell>
          <cell r="D688" t="str">
            <v>Item No Critico</v>
          </cell>
          <cell r="E688" t="str">
            <v>Unidad</v>
          </cell>
          <cell r="F688">
            <v>6704</v>
          </cell>
          <cell r="G688" t="str">
            <v>LPU FO Propia</v>
          </cell>
        </row>
        <row r="689">
          <cell r="A689">
            <v>8828119425</v>
          </cell>
          <cell r="C689" t="str">
            <v>Hebilla de 1/2 Acero Inoxidable</v>
          </cell>
          <cell r="D689" t="str">
            <v>Item Critico</v>
          </cell>
          <cell r="E689" t="str">
            <v>Unidad</v>
          </cell>
          <cell r="F689">
            <v>1636</v>
          </cell>
          <cell r="G689" t="str">
            <v>LPU FO Propia</v>
          </cell>
        </row>
        <row r="690">
          <cell r="A690">
            <v>8828119435</v>
          </cell>
          <cell r="C690" t="str">
            <v>Hebillas de 5/8"</v>
          </cell>
          <cell r="D690" t="str">
            <v>Item Critico</v>
          </cell>
          <cell r="E690" t="str">
            <v>Unidad</v>
          </cell>
          <cell r="F690">
            <v>1650</v>
          </cell>
          <cell r="G690" t="str">
            <v>LPU FO Propia</v>
          </cell>
        </row>
        <row r="691">
          <cell r="A691">
            <v>8828119443</v>
          </cell>
          <cell r="C691" t="str">
            <v>Herraje Retención 12 hilos</v>
          </cell>
          <cell r="D691" t="str">
            <v>Item Critico</v>
          </cell>
          <cell r="E691" t="str">
            <v>Unidad</v>
          </cell>
          <cell r="F691">
            <v>19252</v>
          </cell>
          <cell r="G691" t="str">
            <v>LPU FO Propia</v>
          </cell>
        </row>
        <row r="692">
          <cell r="A692">
            <v>8828119451</v>
          </cell>
          <cell r="C692" t="str">
            <v>Herraje Retención 24 hilos</v>
          </cell>
          <cell r="D692" t="str">
            <v>Item Critico</v>
          </cell>
          <cell r="E692" t="str">
            <v>Unidad</v>
          </cell>
          <cell r="F692">
            <v>19252</v>
          </cell>
          <cell r="G692" t="str">
            <v>LPU FO Propia</v>
          </cell>
        </row>
        <row r="693">
          <cell r="A693">
            <v>8828119460</v>
          </cell>
          <cell r="C693" t="str">
            <v>Herraje Retención 48 hilos</v>
          </cell>
          <cell r="D693" t="str">
            <v>Item Critico</v>
          </cell>
          <cell r="E693" t="str">
            <v>Unidad</v>
          </cell>
          <cell r="F693">
            <v>19252</v>
          </cell>
          <cell r="G693" t="str">
            <v>LPU FO Propia</v>
          </cell>
        </row>
        <row r="694">
          <cell r="A694">
            <v>8828119470</v>
          </cell>
          <cell r="C694" t="str">
            <v>Herraje Retención 96 hilos</v>
          </cell>
          <cell r="D694" t="str">
            <v>Item Critico</v>
          </cell>
          <cell r="E694" t="str">
            <v>Unidad</v>
          </cell>
          <cell r="F694">
            <v>19252</v>
          </cell>
          <cell r="G694" t="str">
            <v>LPU FO Propia</v>
          </cell>
        </row>
        <row r="695">
          <cell r="A695">
            <v>8828119479</v>
          </cell>
          <cell r="C695" t="str">
            <v>Herraje Retención 144 hilos</v>
          </cell>
          <cell r="D695" t="str">
            <v>Item Critico</v>
          </cell>
          <cell r="E695" t="str">
            <v>Unidad</v>
          </cell>
          <cell r="F695">
            <v>19252</v>
          </cell>
          <cell r="G695" t="str">
            <v>LPU FO Propia</v>
          </cell>
        </row>
        <row r="696">
          <cell r="A696">
            <v>8828119489</v>
          </cell>
          <cell r="C696" t="str">
            <v>Herraje Retención 192 hilos</v>
          </cell>
          <cell r="D696" t="str">
            <v>Item Critico</v>
          </cell>
          <cell r="E696" t="str">
            <v>Unidad</v>
          </cell>
          <cell r="F696">
            <v>19252</v>
          </cell>
          <cell r="G696" t="str">
            <v>LPU FO Propia</v>
          </cell>
        </row>
        <row r="697">
          <cell r="A697">
            <v>8828119499</v>
          </cell>
          <cell r="C697" t="str">
            <v>Herraje Retención 288 hilos</v>
          </cell>
          <cell r="D697" t="str">
            <v>Item Critico</v>
          </cell>
          <cell r="E697" t="str">
            <v>Unidad</v>
          </cell>
          <cell r="F697">
            <v>22758</v>
          </cell>
          <cell r="G697" t="str">
            <v>LPU FO Propia</v>
          </cell>
        </row>
        <row r="698">
          <cell r="A698">
            <v>8828119507</v>
          </cell>
          <cell r="C698" t="str">
            <v>Herraje Suspensión 12 hilos</v>
          </cell>
          <cell r="D698" t="str">
            <v>Item Critico</v>
          </cell>
          <cell r="E698" t="str">
            <v>Unidad</v>
          </cell>
          <cell r="F698">
            <v>19453</v>
          </cell>
          <cell r="G698" t="str">
            <v>LPU FO Propia</v>
          </cell>
        </row>
        <row r="699">
          <cell r="A699">
            <v>8828119516</v>
          </cell>
          <cell r="C699" t="str">
            <v>Herraje Suspensión 24 hilos</v>
          </cell>
          <cell r="D699" t="str">
            <v>Item Critico</v>
          </cell>
          <cell r="E699" t="str">
            <v>Unidad</v>
          </cell>
          <cell r="F699">
            <v>19628</v>
          </cell>
          <cell r="G699" t="str">
            <v>LPU FO Propia</v>
          </cell>
        </row>
        <row r="700">
          <cell r="A700">
            <v>8828119525</v>
          </cell>
          <cell r="C700" t="str">
            <v>Herraje Suspensión 48 hilos</v>
          </cell>
          <cell r="D700" t="str">
            <v>Item Critico</v>
          </cell>
          <cell r="E700" t="str">
            <v>Unidad</v>
          </cell>
          <cell r="F700">
            <v>19628</v>
          </cell>
          <cell r="G700" t="str">
            <v>LPU FO Propia</v>
          </cell>
        </row>
        <row r="701">
          <cell r="A701">
            <v>8828119533</v>
          </cell>
          <cell r="C701" t="str">
            <v>Herraje Suspensión 96 hilos</v>
          </cell>
          <cell r="D701" t="str">
            <v>Item Critico</v>
          </cell>
          <cell r="E701" t="str">
            <v>Unidad</v>
          </cell>
          <cell r="F701">
            <v>19628</v>
          </cell>
          <cell r="G701" t="str">
            <v>LPU FO Propia</v>
          </cell>
        </row>
        <row r="702">
          <cell r="A702">
            <v>8828119543</v>
          </cell>
          <cell r="C702" t="str">
            <v>Herraje Suspensión 144 hilos</v>
          </cell>
          <cell r="D702" t="str">
            <v>Item Critico</v>
          </cell>
          <cell r="E702" t="str">
            <v>Unidad</v>
          </cell>
          <cell r="F702">
            <v>19628</v>
          </cell>
          <cell r="G702" t="str">
            <v>LPU FO Propia</v>
          </cell>
        </row>
        <row r="703">
          <cell r="A703">
            <v>8828119553</v>
          </cell>
          <cell r="C703" t="str">
            <v>Herraje Suspensión 192 hilos</v>
          </cell>
          <cell r="D703" t="str">
            <v>Item Critico</v>
          </cell>
          <cell r="E703" t="str">
            <v>Unidad</v>
          </cell>
          <cell r="F703">
            <v>19628</v>
          </cell>
          <cell r="G703" t="str">
            <v>LPU FO Propia</v>
          </cell>
        </row>
        <row r="704">
          <cell r="A704">
            <v>8828119563</v>
          </cell>
          <cell r="C704" t="str">
            <v>Herraje Suspensión 288 hilos</v>
          </cell>
          <cell r="D704" t="str">
            <v>Item Critico</v>
          </cell>
          <cell r="E704" t="str">
            <v>Unidad</v>
          </cell>
          <cell r="F704">
            <v>19628</v>
          </cell>
          <cell r="G704" t="str">
            <v>LPU FO Propia</v>
          </cell>
        </row>
        <row r="705">
          <cell r="A705">
            <v>8828119571</v>
          </cell>
          <cell r="C705" t="str">
            <v>Suministro e instalación de Herrajes de Retención para Cable Autoporta</v>
          </cell>
          <cell r="D705" t="str">
            <v>Item Critico</v>
          </cell>
          <cell r="E705" t="str">
            <v>Unidad</v>
          </cell>
          <cell r="F705">
            <v>40825</v>
          </cell>
          <cell r="G705" t="str">
            <v>LPU FO Propia</v>
          </cell>
        </row>
        <row r="706">
          <cell r="A706">
            <v>8828119584</v>
          </cell>
          <cell r="C706" t="str">
            <v>Suministro e instalación de Herrajes de Suspensión para Cable Autopor</v>
          </cell>
          <cell r="D706" t="str">
            <v>Item Critico</v>
          </cell>
          <cell r="E706" t="str">
            <v>Unidad</v>
          </cell>
          <cell r="F706">
            <v>34117</v>
          </cell>
          <cell r="G706" t="str">
            <v>LPU FO Propia</v>
          </cell>
        </row>
        <row r="707">
          <cell r="A707">
            <v>8828119594</v>
          </cell>
          <cell r="C707" t="str">
            <v>Suministro e Instalación de soporte Tipo U para Herraje de retención</v>
          </cell>
          <cell r="D707" t="str">
            <v>Item Critico</v>
          </cell>
          <cell r="E707" t="str">
            <v>Unidad</v>
          </cell>
          <cell r="F707">
            <v>9018</v>
          </cell>
          <cell r="G707" t="str">
            <v>LPU FO Propia</v>
          </cell>
        </row>
        <row r="708">
          <cell r="A708">
            <v>8828119605</v>
          </cell>
          <cell r="C708" t="str">
            <v>Marquillas para cables</v>
          </cell>
          <cell r="D708" t="str">
            <v>Item Critico</v>
          </cell>
          <cell r="E708" t="str">
            <v>Unidad</v>
          </cell>
          <cell r="F708">
            <v>1725</v>
          </cell>
          <cell r="G708" t="str">
            <v>LPU FO Propia</v>
          </cell>
        </row>
        <row r="709">
          <cell r="A709">
            <v>8828119612</v>
          </cell>
          <cell r="C709" t="str">
            <v>Suministro e instalación - Mástil con anclajes 1m</v>
          </cell>
          <cell r="D709" t="str">
            <v>Item No Critico</v>
          </cell>
          <cell r="E709" t="str">
            <v>Unidad</v>
          </cell>
          <cell r="F709">
            <v>120077</v>
          </cell>
          <cell r="G709" t="str">
            <v>LPU FO Propia</v>
          </cell>
        </row>
        <row r="710">
          <cell r="A710">
            <v>8828119621</v>
          </cell>
          <cell r="C710" t="str">
            <v>Suministro e instalación - Mástil con anclajes 2m</v>
          </cell>
          <cell r="D710" t="str">
            <v>Item No Critico</v>
          </cell>
          <cell r="E710" t="str">
            <v>Unidad</v>
          </cell>
          <cell r="F710">
            <v>149120</v>
          </cell>
          <cell r="G710" t="str">
            <v>LPU FO Propia</v>
          </cell>
        </row>
        <row r="711">
          <cell r="A711">
            <v>8828119632</v>
          </cell>
          <cell r="C711" t="str">
            <v>Suministro e instalación - Mástil con anclajes 3m</v>
          </cell>
          <cell r="D711" t="str">
            <v>Item No Critico</v>
          </cell>
          <cell r="E711" t="str">
            <v>Unidad</v>
          </cell>
          <cell r="F711">
            <v>186347</v>
          </cell>
          <cell r="G711" t="str">
            <v>LPU FO Propia</v>
          </cell>
        </row>
        <row r="712">
          <cell r="A712">
            <v>8828119640</v>
          </cell>
          <cell r="C712" t="str">
            <v>Suministro e instalación - Mástil con anclajes 4m</v>
          </cell>
          <cell r="D712" t="str">
            <v>Item No Critico</v>
          </cell>
          <cell r="E712" t="str">
            <v>Unidad</v>
          </cell>
          <cell r="F712">
            <v>243873</v>
          </cell>
          <cell r="G712" t="str">
            <v>LPU FO Propia</v>
          </cell>
        </row>
        <row r="713">
          <cell r="A713">
            <v>8828119648</v>
          </cell>
          <cell r="C713" t="str">
            <v>Patch panel para cableado estructurado categoría 5E/6 de 24 puertos</v>
          </cell>
          <cell r="D713" t="str">
            <v>Item No Critico</v>
          </cell>
          <cell r="E713" t="str">
            <v>Unidad</v>
          </cell>
          <cell r="F713">
            <v>82225</v>
          </cell>
          <cell r="G713" t="str">
            <v>LPU FO Propia</v>
          </cell>
        </row>
        <row r="714">
          <cell r="A714">
            <v>8828119658</v>
          </cell>
          <cell r="C714" t="str">
            <v>ODF 12 hilos - opción1</v>
          </cell>
          <cell r="D714" t="str">
            <v>Item Critico</v>
          </cell>
          <cell r="E714" t="str">
            <v>Unidad</v>
          </cell>
          <cell r="F714">
            <v>281980</v>
          </cell>
          <cell r="G714" t="str">
            <v>LPU FO Propia</v>
          </cell>
        </row>
        <row r="715">
          <cell r="A715">
            <v>8828119666</v>
          </cell>
          <cell r="C715" t="str">
            <v>ODF 24 hilos - opción1</v>
          </cell>
          <cell r="D715" t="str">
            <v>Item Critico</v>
          </cell>
          <cell r="E715" t="str">
            <v>Unidad</v>
          </cell>
          <cell r="F715">
            <v>315100</v>
          </cell>
          <cell r="G715" t="str">
            <v>LPU FO Propia</v>
          </cell>
        </row>
        <row r="716">
          <cell r="A716">
            <v>8828119676</v>
          </cell>
          <cell r="C716" t="str">
            <v>ODF 48 hilos - opción1</v>
          </cell>
          <cell r="D716" t="str">
            <v>Item Critico</v>
          </cell>
          <cell r="E716" t="str">
            <v>Unidad</v>
          </cell>
          <cell r="F716">
            <v>356500</v>
          </cell>
          <cell r="G716" t="str">
            <v>LPU FO Propia</v>
          </cell>
        </row>
        <row r="717">
          <cell r="A717">
            <v>8828119690</v>
          </cell>
          <cell r="C717" t="str">
            <v>ODF 96 hilos - opción1</v>
          </cell>
          <cell r="D717" t="str">
            <v>Item Critico</v>
          </cell>
          <cell r="E717" t="str">
            <v>Unidad</v>
          </cell>
          <cell r="F717">
            <v>552929</v>
          </cell>
          <cell r="G717" t="str">
            <v>LPU FO Propia</v>
          </cell>
        </row>
        <row r="718">
          <cell r="A718">
            <v>8828119699</v>
          </cell>
          <cell r="C718" t="str">
            <v>ODF 144 hilos - opción1</v>
          </cell>
          <cell r="D718" t="str">
            <v>Item Critico</v>
          </cell>
          <cell r="E718" t="str">
            <v>Unidad</v>
          </cell>
          <cell r="F718">
            <v>925750</v>
          </cell>
          <cell r="G718" t="str">
            <v>LPU FO Propia</v>
          </cell>
        </row>
        <row r="719">
          <cell r="A719">
            <v>8828119708</v>
          </cell>
          <cell r="C719" t="str">
            <v>ODF 192 hilos - opción1</v>
          </cell>
          <cell r="D719" t="str">
            <v>Item Critico</v>
          </cell>
          <cell r="E719" t="str">
            <v>Unidad</v>
          </cell>
          <cell r="F719">
            <v>1039600</v>
          </cell>
          <cell r="G719" t="str">
            <v>LPU FO Propia</v>
          </cell>
        </row>
        <row r="720">
          <cell r="A720">
            <v>8828119718</v>
          </cell>
          <cell r="C720" t="str">
            <v>ODF 288 hilos - opción1</v>
          </cell>
          <cell r="D720" t="str">
            <v>Item Critico</v>
          </cell>
          <cell r="E720" t="str">
            <v>Unidad</v>
          </cell>
          <cell r="F720">
            <v>1288000</v>
          </cell>
          <cell r="G720" t="str">
            <v>LPU FO Propia</v>
          </cell>
        </row>
        <row r="721">
          <cell r="A721">
            <v>8828119725</v>
          </cell>
          <cell r="C721" t="str">
            <v>ODF 12 hilos - opción2</v>
          </cell>
          <cell r="D721" t="str">
            <v>Item Critico</v>
          </cell>
          <cell r="E721" t="str">
            <v>Unidad</v>
          </cell>
          <cell r="F721">
            <v>332345</v>
          </cell>
          <cell r="G721" t="str">
            <v>LPU FO Propia</v>
          </cell>
        </row>
        <row r="722">
          <cell r="A722">
            <v>8828119734</v>
          </cell>
          <cell r="C722" t="str">
            <v>ODF 24 hilos - opción2</v>
          </cell>
          <cell r="D722" t="str">
            <v>Item Critico</v>
          </cell>
          <cell r="E722" t="str">
            <v>Unidad</v>
          </cell>
          <cell r="F722">
            <v>363975</v>
          </cell>
          <cell r="G722" t="str">
            <v>LPU FO Propia</v>
          </cell>
        </row>
        <row r="723">
          <cell r="A723">
            <v>8828119743</v>
          </cell>
          <cell r="C723" t="str">
            <v>ODF 48 hilos - opción2</v>
          </cell>
          <cell r="D723" t="str">
            <v>Item Critico</v>
          </cell>
          <cell r="E723" t="str">
            <v>Unidad</v>
          </cell>
          <cell r="F723">
            <v>376050</v>
          </cell>
          <cell r="G723" t="str">
            <v>LPU FO Propia</v>
          </cell>
        </row>
        <row r="724">
          <cell r="A724">
            <v>8828119752</v>
          </cell>
          <cell r="C724" t="str">
            <v>ODF 96 hilos - opción2</v>
          </cell>
          <cell r="D724" t="str">
            <v>Item Critico</v>
          </cell>
          <cell r="E724" t="str">
            <v>Unidad</v>
          </cell>
          <cell r="F724">
            <v>592029</v>
          </cell>
          <cell r="G724" t="str">
            <v>LPU FO Propia</v>
          </cell>
        </row>
        <row r="725">
          <cell r="A725">
            <v>8828119761</v>
          </cell>
          <cell r="C725" t="str">
            <v>ODF 144 hilos - opción2</v>
          </cell>
          <cell r="D725" t="str">
            <v>Item Critico</v>
          </cell>
          <cell r="E725" t="str">
            <v>Unidad</v>
          </cell>
          <cell r="F725">
            <v>974625</v>
          </cell>
          <cell r="G725" t="str">
            <v>LPU FO Propia</v>
          </cell>
        </row>
        <row r="726">
          <cell r="A726">
            <v>8828119771</v>
          </cell>
          <cell r="C726" t="str">
            <v>ODF 192 hilos - opción2</v>
          </cell>
          <cell r="D726" t="str">
            <v>Item Critico</v>
          </cell>
          <cell r="E726" t="str">
            <v>Unidad</v>
          </cell>
          <cell r="F726">
            <v>1332850</v>
          </cell>
          <cell r="G726" t="str">
            <v>LPU FO Propia</v>
          </cell>
        </row>
        <row r="727">
          <cell r="A727">
            <v>8828119779</v>
          </cell>
          <cell r="C727" t="str">
            <v>ODF 288 hilos - opción2</v>
          </cell>
          <cell r="D727" t="str">
            <v>Item Critico</v>
          </cell>
          <cell r="E727" t="str">
            <v>Unidad</v>
          </cell>
          <cell r="F727">
            <v>1874500</v>
          </cell>
          <cell r="G727" t="str">
            <v>LPU FO Propia</v>
          </cell>
        </row>
        <row r="728">
          <cell r="A728">
            <v>8828119789</v>
          </cell>
          <cell r="C728" t="str">
            <v>Patchcord LC/UPC 1 m, 2mm, Monomodo</v>
          </cell>
          <cell r="D728" t="str">
            <v>Item Critico</v>
          </cell>
          <cell r="E728" t="str">
            <v>Unidad</v>
          </cell>
          <cell r="F728">
            <v>14433</v>
          </cell>
          <cell r="G728" t="str">
            <v>LPU FO Propia</v>
          </cell>
        </row>
        <row r="729">
          <cell r="A729">
            <v>8828119795</v>
          </cell>
          <cell r="C729" t="str">
            <v>Patchcord LC/UPC 2 m, 2mm, Monomodo</v>
          </cell>
          <cell r="D729" t="str">
            <v>Item Critico</v>
          </cell>
          <cell r="E729" t="str">
            <v>Unidad</v>
          </cell>
          <cell r="F729">
            <v>17176</v>
          </cell>
          <cell r="G729" t="str">
            <v>LPU FO Propia</v>
          </cell>
        </row>
        <row r="730">
          <cell r="A730">
            <v>8828119804</v>
          </cell>
          <cell r="C730" t="str">
            <v>Patchcord LC/UPC 3 m, 2mm, Monomodo</v>
          </cell>
          <cell r="D730" t="str">
            <v>Item Critico</v>
          </cell>
          <cell r="E730" t="str">
            <v>Unidad</v>
          </cell>
          <cell r="F730">
            <v>17454</v>
          </cell>
          <cell r="G730" t="str">
            <v>LPU FO Propia</v>
          </cell>
        </row>
        <row r="731">
          <cell r="A731">
            <v>8828119812</v>
          </cell>
          <cell r="C731" t="str">
            <v>Patchcord LC/UPC 6 m, 2mm, Monomodo</v>
          </cell>
          <cell r="D731" t="str">
            <v>Item Critico</v>
          </cell>
          <cell r="E731" t="str">
            <v>Unidad</v>
          </cell>
          <cell r="F731">
            <v>24528</v>
          </cell>
          <cell r="G731" t="str">
            <v>LPU FO Propia</v>
          </cell>
        </row>
        <row r="732">
          <cell r="A732">
            <v>8828119836</v>
          </cell>
          <cell r="C732" t="str">
            <v>Pigtails LC/UPC de 1 m, Monomodo</v>
          </cell>
          <cell r="D732" t="str">
            <v>Item Critico</v>
          </cell>
          <cell r="E732" t="str">
            <v>Unidad</v>
          </cell>
          <cell r="F732">
            <v>8185</v>
          </cell>
          <cell r="G732" t="str">
            <v>LPU FO Propia</v>
          </cell>
        </row>
        <row r="733">
          <cell r="A733">
            <v>8828119844</v>
          </cell>
          <cell r="C733" t="str">
            <v>Pigtails LC/UPC de 2 m, Monomodo</v>
          </cell>
          <cell r="D733" t="str">
            <v>Item Critico</v>
          </cell>
          <cell r="E733" t="str">
            <v>Unidad</v>
          </cell>
          <cell r="F733">
            <v>8744</v>
          </cell>
          <cell r="G733" t="str">
            <v>LPU FO Propia</v>
          </cell>
        </row>
        <row r="734">
          <cell r="A734">
            <v>8828119852</v>
          </cell>
          <cell r="C734" t="str">
            <v>Pigtails LC/UPC de 3 m, Monomodo</v>
          </cell>
          <cell r="D734" t="str">
            <v>Item Critico</v>
          </cell>
          <cell r="E734" t="str">
            <v>Unidad</v>
          </cell>
          <cell r="F734">
            <v>9162</v>
          </cell>
          <cell r="G734" t="str">
            <v>LPU FO Propia</v>
          </cell>
        </row>
        <row r="735">
          <cell r="A735">
            <v>8828119858</v>
          </cell>
          <cell r="C735" t="str">
            <v>Pigtails LC/UPC de 6 m, Monomodo</v>
          </cell>
          <cell r="D735" t="str">
            <v>Item Critico</v>
          </cell>
          <cell r="E735" t="str">
            <v>Unidad</v>
          </cell>
          <cell r="F735">
            <v>9581</v>
          </cell>
          <cell r="G735" t="str">
            <v>LPU FO Propia</v>
          </cell>
        </row>
        <row r="736">
          <cell r="A736">
            <v>8828119866</v>
          </cell>
          <cell r="C736" t="str">
            <v>Rack ODF - Opcion1</v>
          </cell>
          <cell r="D736" t="str">
            <v>Item Critico</v>
          </cell>
          <cell r="E736" t="str">
            <v>Unidad</v>
          </cell>
          <cell r="F736">
            <v>1087900</v>
          </cell>
          <cell r="G736" t="str">
            <v>LPU FO Propia</v>
          </cell>
        </row>
        <row r="737">
          <cell r="A737">
            <v>8828119875</v>
          </cell>
          <cell r="C737" t="str">
            <v>Rack ODF - Opcion2</v>
          </cell>
          <cell r="D737" t="str">
            <v>Item Critico</v>
          </cell>
          <cell r="E737" t="str">
            <v>Unidad</v>
          </cell>
          <cell r="F737">
            <v>1301513</v>
          </cell>
          <cell r="G737" t="str">
            <v>LPU FO Propia</v>
          </cell>
        </row>
        <row r="738">
          <cell r="A738">
            <v>8828119885</v>
          </cell>
          <cell r="C738" t="str">
            <v>Rack estándar de piso para interiores, de 20U - Opcion1</v>
          </cell>
          <cell r="D738" t="str">
            <v>Item Critico</v>
          </cell>
          <cell r="E738" t="str">
            <v>Unidad</v>
          </cell>
          <cell r="F738">
            <v>377829</v>
          </cell>
          <cell r="G738" t="str">
            <v>LPU FO Propia</v>
          </cell>
        </row>
        <row r="739">
          <cell r="A739">
            <v>8828119894</v>
          </cell>
          <cell r="C739" t="str">
            <v>Rack estándar de piso para interiores, de 42U - Opción1</v>
          </cell>
          <cell r="D739" t="str">
            <v>Item Critico</v>
          </cell>
          <cell r="E739" t="str">
            <v>Unidad</v>
          </cell>
          <cell r="F739">
            <v>513396</v>
          </cell>
          <cell r="G739" t="str">
            <v>LPU FO Propia</v>
          </cell>
        </row>
        <row r="740">
          <cell r="A740">
            <v>8828119902</v>
          </cell>
          <cell r="C740" t="str">
            <v>Rack estándar de piso para interiores, de 20U - Opción2</v>
          </cell>
          <cell r="D740" t="str">
            <v>Item Critico</v>
          </cell>
          <cell r="E740" t="str">
            <v>Unidad</v>
          </cell>
          <cell r="F740">
            <v>529393</v>
          </cell>
          <cell r="G740" t="str">
            <v>LPU FO Propia</v>
          </cell>
        </row>
        <row r="741">
          <cell r="A741">
            <v>8828119912</v>
          </cell>
          <cell r="C741" t="str">
            <v>Rack estándar de piso para interiores, de 42U - Opción2</v>
          </cell>
          <cell r="D741" t="str">
            <v>Item Critico</v>
          </cell>
          <cell r="E741" t="str">
            <v>Unidad</v>
          </cell>
          <cell r="F741">
            <v>785183</v>
          </cell>
          <cell r="G741" t="str">
            <v>LPU FO Propia</v>
          </cell>
        </row>
        <row r="742">
          <cell r="A742">
            <v>8828119920</v>
          </cell>
          <cell r="C742" t="str">
            <v>Rack estándar de pared para interiores, de 10U</v>
          </cell>
          <cell r="D742" t="str">
            <v>Item Critico</v>
          </cell>
          <cell r="E742" t="str">
            <v>Unidad</v>
          </cell>
          <cell r="F742">
            <v>385393</v>
          </cell>
          <cell r="G742" t="str">
            <v>LPU FO Propia</v>
          </cell>
        </row>
        <row r="743">
          <cell r="A743">
            <v>8828119930</v>
          </cell>
          <cell r="C743" t="str">
            <v>Raqueta Reserva Fibra</v>
          </cell>
          <cell r="D743" t="str">
            <v>Item Critico</v>
          </cell>
          <cell r="E743" t="str">
            <v>Unidad</v>
          </cell>
          <cell r="F743">
            <v>57746</v>
          </cell>
          <cell r="G743" t="str">
            <v>LPU FO Propia</v>
          </cell>
        </row>
        <row r="744">
          <cell r="A744">
            <v>8828119939</v>
          </cell>
          <cell r="C744" t="str">
            <v>Riel mecano por 3m</v>
          </cell>
          <cell r="D744" t="str">
            <v>Item No Critico</v>
          </cell>
          <cell r="E744" t="str">
            <v>3ml</v>
          </cell>
          <cell r="F744">
            <v>48530</v>
          </cell>
          <cell r="G744" t="str">
            <v>LPU FO Propia</v>
          </cell>
        </row>
        <row r="747">
          <cell r="A747">
            <v>8828119949</v>
          </cell>
          <cell r="B747">
            <v>1</v>
          </cell>
          <cell r="C747" t="str">
            <v>CONTROL DE CONDENSACION N2 23</v>
          </cell>
          <cell r="D747" t="str">
            <v>Nivel 2</v>
          </cell>
          <cell r="E747" t="str">
            <v>Uni</v>
          </cell>
          <cell r="F747">
            <v>308377</v>
          </cell>
          <cell r="G747" t="str">
            <v>N2</v>
          </cell>
        </row>
        <row r="748">
          <cell r="A748">
            <v>8828119959</v>
          </cell>
          <cell r="B748">
            <v>2</v>
          </cell>
          <cell r="C748" t="str">
            <v>Control Digital para planta Eléctrica con puerto de comunicación para monitoreo remoto Marca COMAP N2 23</v>
          </cell>
          <cell r="D748" t="str">
            <v>Nivel 2</v>
          </cell>
          <cell r="E748" t="str">
            <v>GL</v>
          </cell>
          <cell r="F748">
            <v>2758080</v>
          </cell>
          <cell r="G748" t="str">
            <v>N2</v>
          </cell>
        </row>
        <row r="749">
          <cell r="A749">
            <v>8828119968</v>
          </cell>
          <cell r="B749">
            <v>3</v>
          </cell>
          <cell r="C749" t="str">
            <v>CORREA BP-42 N2 23</v>
          </cell>
          <cell r="D749" t="str">
            <v>Nivel 2</v>
          </cell>
          <cell r="E749" t="str">
            <v>Uni</v>
          </cell>
          <cell r="F749">
            <v>121032</v>
          </cell>
          <cell r="G749" t="str">
            <v>N2</v>
          </cell>
        </row>
        <row r="750">
          <cell r="A750">
            <v>8828119978</v>
          </cell>
          <cell r="B750">
            <v>4</v>
          </cell>
          <cell r="C750" t="str">
            <v>CORREA BP-48 N2 23</v>
          </cell>
          <cell r="D750" t="str">
            <v>Nivel 2</v>
          </cell>
          <cell r="E750" t="str">
            <v>Uni</v>
          </cell>
          <cell r="F750">
            <v>121032</v>
          </cell>
          <cell r="G750" t="str">
            <v>N2</v>
          </cell>
        </row>
        <row r="751">
          <cell r="A751">
            <v>8828119994</v>
          </cell>
          <cell r="B751">
            <v>5</v>
          </cell>
          <cell r="C751" t="str">
            <v>CORREA DE MOTOR A15 N2 23</v>
          </cell>
          <cell r="D751" t="str">
            <v>Nivel 2</v>
          </cell>
          <cell r="E751" t="str">
            <v>Uni</v>
          </cell>
          <cell r="F751">
            <v>17477</v>
          </cell>
          <cell r="G751" t="str">
            <v>N2</v>
          </cell>
        </row>
        <row r="752">
          <cell r="A752">
            <v>8828120001</v>
          </cell>
          <cell r="B752">
            <v>6</v>
          </cell>
          <cell r="C752" t="str">
            <v>CORREA RADIADOR REFERENCIA S 3311590 CUMMINS MODELO 5453776 DE 88 HP N2 23</v>
          </cell>
          <cell r="D752" t="str">
            <v>Nivel 2</v>
          </cell>
          <cell r="E752" t="str">
            <v>Uni</v>
          </cell>
          <cell r="F752">
            <v>144481</v>
          </cell>
          <cell r="G752" t="str">
            <v>N2</v>
          </cell>
        </row>
        <row r="753">
          <cell r="A753">
            <v>8828120011</v>
          </cell>
          <cell r="B753">
            <v>7</v>
          </cell>
          <cell r="C753" t="str">
            <v>CORREA REF. 15550 / 11A 1395 N2 23</v>
          </cell>
          <cell r="D753" t="str">
            <v>Nivel 2</v>
          </cell>
          <cell r="E753" t="str">
            <v>Uni</v>
          </cell>
          <cell r="F753">
            <v>341190</v>
          </cell>
          <cell r="G753" t="str">
            <v>N2</v>
          </cell>
        </row>
        <row r="754">
          <cell r="A754">
            <v>8828120022</v>
          </cell>
          <cell r="B754">
            <v>8</v>
          </cell>
          <cell r="C754" t="str">
            <v>CORREA REF. 8PK 1535 N2 23</v>
          </cell>
          <cell r="D754" t="str">
            <v>Nivel 2</v>
          </cell>
          <cell r="E754" t="str">
            <v>Uni</v>
          </cell>
          <cell r="F754">
            <v>369057</v>
          </cell>
          <cell r="G754" t="str">
            <v>N2</v>
          </cell>
        </row>
        <row r="755">
          <cell r="A755">
            <v>8828119420</v>
          </cell>
          <cell r="B755">
            <v>9</v>
          </cell>
          <cell r="C755" t="str">
            <v>CORREA REF. 8PK 1590 N2 23</v>
          </cell>
          <cell r="D755" t="str">
            <v>Nivel 2</v>
          </cell>
          <cell r="E755" t="str">
            <v>Uni</v>
          </cell>
          <cell r="F755">
            <v>354128</v>
          </cell>
          <cell r="G755" t="str">
            <v>N2</v>
          </cell>
        </row>
        <row r="756">
          <cell r="A756">
            <v>8828119430</v>
          </cell>
          <cell r="B756">
            <v>10</v>
          </cell>
          <cell r="C756" t="str">
            <v>CORREA REF.13A-0270 /17500 N2 23</v>
          </cell>
          <cell r="D756" t="str">
            <v>Nivel 2</v>
          </cell>
          <cell r="E756" t="str">
            <v>Uni</v>
          </cell>
          <cell r="F756">
            <v>354128</v>
          </cell>
          <cell r="G756" t="str">
            <v>N2</v>
          </cell>
        </row>
        <row r="757">
          <cell r="A757">
            <v>8828119440</v>
          </cell>
          <cell r="B757">
            <v>11</v>
          </cell>
          <cell r="C757" t="str">
            <v>CORREA REF.13A-1525/ 17600 N2 23</v>
          </cell>
          <cell r="D757" t="str">
            <v>Nivel 2</v>
          </cell>
          <cell r="E757" t="str">
            <v>Uni</v>
          </cell>
          <cell r="F757">
            <v>354128</v>
          </cell>
          <cell r="G757" t="str">
            <v>N2</v>
          </cell>
        </row>
        <row r="758">
          <cell r="A758">
            <v>8828119449</v>
          </cell>
          <cell r="B758">
            <v>12</v>
          </cell>
          <cell r="C758" t="str">
            <v>CORREA REF.15485 / 11A1230C N2 23</v>
          </cell>
          <cell r="D758" t="str">
            <v>Nivel 2</v>
          </cell>
          <cell r="E758" t="str">
            <v>Uni</v>
          </cell>
          <cell r="F758">
            <v>354128</v>
          </cell>
          <cell r="G758" t="str">
            <v>N2</v>
          </cell>
        </row>
        <row r="759">
          <cell r="A759">
            <v>8828119459</v>
          </cell>
          <cell r="B759">
            <v>13</v>
          </cell>
          <cell r="C759" t="str">
            <v>CORREA REF.17540 N2 23</v>
          </cell>
          <cell r="D759" t="str">
            <v>Nivel 2</v>
          </cell>
          <cell r="E759" t="str">
            <v>Uni</v>
          </cell>
          <cell r="F759">
            <v>354128</v>
          </cell>
          <cell r="G759" t="str">
            <v>N2</v>
          </cell>
        </row>
        <row r="760">
          <cell r="A760">
            <v>8828119469</v>
          </cell>
          <cell r="B760">
            <v>14</v>
          </cell>
          <cell r="C760" t="str">
            <v>CORREA REF.AX-59 N2 23</v>
          </cell>
          <cell r="D760" t="str">
            <v>Nivel 2</v>
          </cell>
          <cell r="E760" t="str">
            <v>Uni</v>
          </cell>
          <cell r="F760">
            <v>354128</v>
          </cell>
          <cell r="G760" t="str">
            <v>N2</v>
          </cell>
        </row>
        <row r="761">
          <cell r="A761">
            <v>8828119478</v>
          </cell>
          <cell r="B761">
            <v>15</v>
          </cell>
          <cell r="C761" t="str">
            <v>CORREA REF.BX-43 N2 23</v>
          </cell>
          <cell r="D761" t="str">
            <v>Nivel 2</v>
          </cell>
          <cell r="E761" t="str">
            <v>Uni</v>
          </cell>
          <cell r="F761">
            <v>354128</v>
          </cell>
          <cell r="G761" t="str">
            <v>N2</v>
          </cell>
        </row>
        <row r="762">
          <cell r="A762">
            <v>8828119488</v>
          </cell>
          <cell r="B762">
            <v>16</v>
          </cell>
          <cell r="C762" t="str">
            <v>CORREA REPARTICION LISTER N2 23</v>
          </cell>
          <cell r="D762" t="str">
            <v>Nivel 2</v>
          </cell>
          <cell r="E762" t="str">
            <v>Uni</v>
          </cell>
          <cell r="F762">
            <v>354128</v>
          </cell>
          <cell r="G762" t="str">
            <v>N2</v>
          </cell>
        </row>
        <row r="763">
          <cell r="A763">
            <v>8828119496</v>
          </cell>
          <cell r="B763">
            <v>17</v>
          </cell>
          <cell r="C763" t="str">
            <v>CORREA VENTILADOR REF 178708 N2 23</v>
          </cell>
          <cell r="D763" t="str">
            <v>Nivel 2</v>
          </cell>
          <cell r="E763" t="str">
            <v>Uni</v>
          </cell>
          <cell r="F763">
            <v>131978</v>
          </cell>
          <cell r="G763" t="str">
            <v>N2</v>
          </cell>
        </row>
        <row r="764">
          <cell r="A764">
            <v>8828119506</v>
          </cell>
          <cell r="B764">
            <v>18</v>
          </cell>
          <cell r="C764" t="str">
            <v>Corrección de fugas en condensadora Y/O Manejadora N2 23</v>
          </cell>
          <cell r="D764" t="str">
            <v>Nivel 2</v>
          </cell>
          <cell r="E764" t="str">
            <v>GL</v>
          </cell>
          <cell r="F764">
            <v>240653</v>
          </cell>
          <cell r="G764" t="str">
            <v>N2</v>
          </cell>
        </row>
        <row r="765">
          <cell r="A765">
            <v>8828119515</v>
          </cell>
          <cell r="B765">
            <v>19</v>
          </cell>
          <cell r="C765" t="str">
            <v>CORTACIRCUITO 13 2 KV N2 23</v>
          </cell>
          <cell r="D765" t="str">
            <v>Nivel 2</v>
          </cell>
          <cell r="E765" t="str">
            <v>Uni</v>
          </cell>
          <cell r="F765">
            <v>477798</v>
          </cell>
          <cell r="G765" t="str">
            <v>N2</v>
          </cell>
        </row>
        <row r="766">
          <cell r="A766">
            <v>8828119529</v>
          </cell>
          <cell r="B766">
            <v>20</v>
          </cell>
          <cell r="C766" t="str">
            <v>CORTACIRCUITO 13.2 KV N2 23</v>
          </cell>
          <cell r="D766" t="str">
            <v>Nivel 2</v>
          </cell>
          <cell r="E766" t="str">
            <v>Uni</v>
          </cell>
          <cell r="F766">
            <v>112429</v>
          </cell>
          <cell r="G766" t="str">
            <v>N2</v>
          </cell>
        </row>
        <row r="767">
          <cell r="A767">
            <v>8828119538</v>
          </cell>
          <cell r="B767">
            <v>21</v>
          </cell>
          <cell r="C767" t="str">
            <v>CORTACIRCUITO 15KV 100A N2 23</v>
          </cell>
          <cell r="D767" t="str">
            <v>Nivel 2</v>
          </cell>
          <cell r="E767" t="str">
            <v>Uni</v>
          </cell>
          <cell r="F767">
            <v>225713</v>
          </cell>
          <cell r="G767" t="str">
            <v>N2</v>
          </cell>
        </row>
        <row r="768">
          <cell r="A768">
            <v>8828119548</v>
          </cell>
          <cell r="B768">
            <v>22</v>
          </cell>
          <cell r="C768" t="str">
            <v>CORTACIRCUITO 15KV 8A N2 23</v>
          </cell>
          <cell r="D768" t="str">
            <v>Nivel 2</v>
          </cell>
          <cell r="E768" t="str">
            <v>Uni</v>
          </cell>
          <cell r="F768">
            <v>912312</v>
          </cell>
          <cell r="G768" t="str">
            <v>N2</v>
          </cell>
        </row>
        <row r="769">
          <cell r="A769">
            <v>8828119558</v>
          </cell>
          <cell r="B769">
            <v>23</v>
          </cell>
          <cell r="C769" t="str">
            <v>CORTACIRCUITO 15KV N2 23</v>
          </cell>
          <cell r="D769" t="str">
            <v>Nivel 2</v>
          </cell>
          <cell r="E769" t="str">
            <v>Uni</v>
          </cell>
          <cell r="F769">
            <v>151942</v>
          </cell>
          <cell r="G769" t="str">
            <v>N2</v>
          </cell>
        </row>
        <row r="770">
          <cell r="A770">
            <v>8828119568</v>
          </cell>
          <cell r="B770">
            <v>24</v>
          </cell>
          <cell r="C770" t="str">
            <v>CORTACIRCUITO 30KVA N2 23</v>
          </cell>
          <cell r="D770" t="str">
            <v>Nivel 2</v>
          </cell>
          <cell r="E770" t="str">
            <v>Uni</v>
          </cell>
          <cell r="F770">
            <v>592707</v>
          </cell>
          <cell r="G770" t="str">
            <v>N2</v>
          </cell>
        </row>
        <row r="771">
          <cell r="A771">
            <v>8828119578</v>
          </cell>
          <cell r="B771">
            <v>25</v>
          </cell>
          <cell r="C771" t="str">
            <v>CORTACIRCUITO 35KV N2 23</v>
          </cell>
          <cell r="D771" t="str">
            <v>Nivel 2</v>
          </cell>
          <cell r="E771" t="str">
            <v>Uni</v>
          </cell>
          <cell r="F771">
            <v>523063</v>
          </cell>
          <cell r="G771" t="str">
            <v>N2</v>
          </cell>
        </row>
        <row r="772">
          <cell r="A772">
            <v>8828119588</v>
          </cell>
          <cell r="B772">
            <v>26</v>
          </cell>
          <cell r="C772" t="str">
            <v>CORTACIRCUITO DE 15 KVA 200A N2 23</v>
          </cell>
          <cell r="D772" t="str">
            <v>Nivel 2</v>
          </cell>
          <cell r="E772" t="str">
            <v>Uni</v>
          </cell>
          <cell r="F772">
            <v>1299822</v>
          </cell>
          <cell r="G772" t="str">
            <v>N2</v>
          </cell>
        </row>
        <row r="773">
          <cell r="A773">
            <v>8828119601</v>
          </cell>
          <cell r="B773">
            <v>27</v>
          </cell>
          <cell r="C773" t="str">
            <v>CORTACIRCUITO MONOPOLAR ROMPE ARCO N2 23</v>
          </cell>
          <cell r="D773" t="str">
            <v>Nivel 2</v>
          </cell>
          <cell r="E773" t="str">
            <v>Uni</v>
          </cell>
          <cell r="F773">
            <v>1242210</v>
          </cell>
          <cell r="G773" t="str">
            <v>N2</v>
          </cell>
        </row>
        <row r="774">
          <cell r="A774">
            <v>8828119614</v>
          </cell>
          <cell r="B774">
            <v>28</v>
          </cell>
          <cell r="C774" t="str">
            <v>CORTACIRCUITOS 34 5 KV N2 23</v>
          </cell>
          <cell r="D774" t="str">
            <v>Nivel 2</v>
          </cell>
          <cell r="E774" t="str">
            <v>Uni</v>
          </cell>
          <cell r="F774">
            <v>1307411</v>
          </cell>
          <cell r="G774" t="str">
            <v>N2</v>
          </cell>
        </row>
        <row r="775">
          <cell r="A775">
            <v>8828119624</v>
          </cell>
          <cell r="B775">
            <v>29</v>
          </cell>
          <cell r="C775" t="str">
            <v>CORTACIRCUITOS MONOPOLARES 15 KV 100 AMP N2 23</v>
          </cell>
          <cell r="D775" t="str">
            <v>Nivel 2</v>
          </cell>
          <cell r="E775" t="str">
            <v>Uni</v>
          </cell>
          <cell r="F775">
            <v>1304795</v>
          </cell>
          <cell r="G775" t="str">
            <v>N2</v>
          </cell>
        </row>
        <row r="776">
          <cell r="A776">
            <v>8828119634</v>
          </cell>
          <cell r="B776">
            <v>30</v>
          </cell>
          <cell r="C776" t="str">
            <v>CORTACIRCUITOS MONOPOLARES DE 34.5 KV 100 AMP N2 23</v>
          </cell>
          <cell r="D776" t="str">
            <v>Nivel 2</v>
          </cell>
          <cell r="E776" t="str">
            <v>Uni</v>
          </cell>
          <cell r="F776">
            <v>1302192</v>
          </cell>
          <cell r="G776" t="str">
            <v>N2</v>
          </cell>
        </row>
        <row r="777">
          <cell r="A777">
            <v>8828119642</v>
          </cell>
          <cell r="B777">
            <v>31</v>
          </cell>
          <cell r="C777" t="str">
            <v>CRUCETA METALICA DE 2.0 MTS N2 23</v>
          </cell>
          <cell r="D777" t="str">
            <v>Nivel 2</v>
          </cell>
          <cell r="E777" t="str">
            <v>Uni</v>
          </cell>
          <cell r="F777">
            <v>123747</v>
          </cell>
          <cell r="G777" t="str">
            <v>N2</v>
          </cell>
        </row>
        <row r="778">
          <cell r="A778">
            <v>8828119652</v>
          </cell>
          <cell r="B778">
            <v>32</v>
          </cell>
          <cell r="C778" t="str">
            <v>CRUCETA METALICA DE 2.4 MTS N2 23</v>
          </cell>
          <cell r="D778" t="str">
            <v>Nivel 2</v>
          </cell>
          <cell r="E778" t="str">
            <v>Uni</v>
          </cell>
          <cell r="F778">
            <v>123747</v>
          </cell>
          <cell r="G778" t="str">
            <v>N2</v>
          </cell>
        </row>
        <row r="779">
          <cell r="A779">
            <v>8828119661</v>
          </cell>
          <cell r="B779">
            <v>33</v>
          </cell>
          <cell r="C779" t="str">
            <v>CRUCETA METALICA DE 3.0 MTS N2 23</v>
          </cell>
          <cell r="D779" t="str">
            <v>Nivel 2</v>
          </cell>
          <cell r="E779" t="str">
            <v>Uni</v>
          </cell>
          <cell r="F779">
            <v>148497</v>
          </cell>
          <cell r="G779" t="str">
            <v>N2</v>
          </cell>
        </row>
        <row r="780">
          <cell r="A780">
            <v>8828119670</v>
          </cell>
          <cell r="B780">
            <v>34</v>
          </cell>
          <cell r="C780" t="str">
            <v>CRUCETA METALICA DE 4.0 MTS N2 23</v>
          </cell>
          <cell r="D780" t="str">
            <v>Nivel 2</v>
          </cell>
          <cell r="E780" t="str">
            <v>Uni</v>
          </cell>
          <cell r="F780">
            <v>247495</v>
          </cell>
          <cell r="G780" t="str">
            <v>N2</v>
          </cell>
        </row>
        <row r="781">
          <cell r="A781">
            <v>8828119680</v>
          </cell>
          <cell r="B781">
            <v>35</v>
          </cell>
          <cell r="C781" t="str">
            <v>CRUCETA METALICA DE 6.0 MTS N2 23</v>
          </cell>
          <cell r="D781" t="str">
            <v>Nivel 2</v>
          </cell>
          <cell r="E781" t="str">
            <v>Uni</v>
          </cell>
          <cell r="F781">
            <v>296994</v>
          </cell>
          <cell r="G781" t="str">
            <v>N2</v>
          </cell>
        </row>
        <row r="782">
          <cell r="A782">
            <v>8828119692</v>
          </cell>
          <cell r="B782">
            <v>36</v>
          </cell>
          <cell r="C782" t="str">
            <v>CUCHILLA 3 POLOS 60 AMP 250 V N2 23</v>
          </cell>
          <cell r="D782" t="str">
            <v>Nivel 2</v>
          </cell>
          <cell r="E782" t="str">
            <v>Uni</v>
          </cell>
          <cell r="F782">
            <v>661756</v>
          </cell>
          <cell r="G782" t="str">
            <v>N2</v>
          </cell>
        </row>
        <row r="783">
          <cell r="A783">
            <v>8828119703</v>
          </cell>
          <cell r="B783">
            <v>37</v>
          </cell>
          <cell r="C783" t="str">
            <v>CUCHILLA CONMUTABLE DE 30A N2 23</v>
          </cell>
          <cell r="D783" t="str">
            <v>Nivel 2</v>
          </cell>
          <cell r="E783" t="str">
            <v>Uni</v>
          </cell>
          <cell r="F783">
            <v>68798</v>
          </cell>
          <cell r="G783" t="str">
            <v>N2</v>
          </cell>
        </row>
        <row r="784">
          <cell r="A784">
            <v>8828119712</v>
          </cell>
          <cell r="B784">
            <v>38</v>
          </cell>
          <cell r="C784" t="str">
            <v>DESENGRASANTE HIDROSOLUBLE ALFA 67 X GLS Galón N2 23</v>
          </cell>
          <cell r="D784" t="str">
            <v>Nivel 2</v>
          </cell>
          <cell r="E784" t="str">
            <v>Uni</v>
          </cell>
          <cell r="F784">
            <v>78396</v>
          </cell>
          <cell r="G784" t="str">
            <v>N2</v>
          </cell>
        </row>
        <row r="785">
          <cell r="A785">
            <v>8828119727</v>
          </cell>
          <cell r="B785">
            <v>39</v>
          </cell>
          <cell r="C785" t="str">
            <v>Desplazamiento aire acondicionado Zona 1 Centro N2 23</v>
          </cell>
          <cell r="D785" t="str">
            <v>Nivel 2</v>
          </cell>
          <cell r="E785" t="str">
            <v>GL</v>
          </cell>
          <cell r="F785">
            <v>91800</v>
          </cell>
          <cell r="G785" t="str">
            <v>N2</v>
          </cell>
        </row>
        <row r="786">
          <cell r="A786">
            <v>8828119739</v>
          </cell>
          <cell r="B786">
            <v>40</v>
          </cell>
          <cell r="C786" t="str">
            <v>Desplazamiento aire acondicionado Zona 1 Costa N2 23</v>
          </cell>
          <cell r="D786" t="str">
            <v>Nivel 2</v>
          </cell>
          <cell r="E786" t="str">
            <v>GL</v>
          </cell>
          <cell r="F786">
            <v>91800</v>
          </cell>
          <cell r="G786" t="str">
            <v>N2</v>
          </cell>
        </row>
        <row r="787">
          <cell r="A787">
            <v>8828119750</v>
          </cell>
          <cell r="B787">
            <v>41</v>
          </cell>
          <cell r="C787" t="str">
            <v>Desplazamiento aire acondicionado Zona 1 Noroccidente N2 23</v>
          </cell>
          <cell r="D787" t="str">
            <v>Nivel 2</v>
          </cell>
          <cell r="E787" t="str">
            <v>GL</v>
          </cell>
          <cell r="F787">
            <v>91800</v>
          </cell>
          <cell r="G787" t="str">
            <v>N2</v>
          </cell>
        </row>
        <row r="788">
          <cell r="A788">
            <v>8828119759</v>
          </cell>
          <cell r="B788">
            <v>42</v>
          </cell>
          <cell r="C788" t="str">
            <v>Desplazamiento aire acondicionado Zona 1 Oriente N2 23</v>
          </cell>
          <cell r="D788" t="str">
            <v>Nivel 2</v>
          </cell>
          <cell r="E788" t="str">
            <v>GL</v>
          </cell>
          <cell r="F788">
            <v>91800</v>
          </cell>
          <cell r="G788" t="str">
            <v>N2</v>
          </cell>
        </row>
        <row r="789">
          <cell r="A789">
            <v>8828119768</v>
          </cell>
          <cell r="B789">
            <v>43</v>
          </cell>
          <cell r="C789" t="str">
            <v>Desplazamiento aire acondicionado Zona 1 Suroccidente N2 23</v>
          </cell>
          <cell r="D789" t="str">
            <v>Nivel 2</v>
          </cell>
          <cell r="E789" t="str">
            <v>GL</v>
          </cell>
          <cell r="F789">
            <v>91800</v>
          </cell>
          <cell r="G789" t="str">
            <v>N2</v>
          </cell>
        </row>
        <row r="790">
          <cell r="A790">
            <v>8828119777</v>
          </cell>
          <cell r="B790">
            <v>44</v>
          </cell>
          <cell r="C790" t="str">
            <v>Desplazamiento aire acondicionado Zona Satelital Centro N2 23</v>
          </cell>
          <cell r="D790" t="str">
            <v>Nivel 2</v>
          </cell>
          <cell r="E790" t="str">
            <v>GL</v>
          </cell>
          <cell r="F790">
            <v>168300</v>
          </cell>
          <cell r="G790" t="str">
            <v>N2</v>
          </cell>
        </row>
        <row r="791">
          <cell r="A791">
            <v>8828119786</v>
          </cell>
          <cell r="B791">
            <v>45</v>
          </cell>
          <cell r="C791" t="str">
            <v>Desplazamiento aire acondicionado Zona Satelital Costa N2 23</v>
          </cell>
          <cell r="D791" t="str">
            <v>Nivel 2</v>
          </cell>
          <cell r="E791" t="str">
            <v>GL</v>
          </cell>
          <cell r="F791">
            <v>168300</v>
          </cell>
          <cell r="G791" t="str">
            <v>N2</v>
          </cell>
        </row>
        <row r="792">
          <cell r="A792">
            <v>8828119796</v>
          </cell>
          <cell r="B792">
            <v>46</v>
          </cell>
          <cell r="C792" t="str">
            <v>Desplazamiento aire acondicionado Zona Satelital Noroccidente N2 23</v>
          </cell>
          <cell r="D792" t="str">
            <v>Nivel 2</v>
          </cell>
          <cell r="E792" t="str">
            <v>GL</v>
          </cell>
          <cell r="F792">
            <v>168300</v>
          </cell>
          <cell r="G792" t="str">
            <v>N2</v>
          </cell>
        </row>
        <row r="793">
          <cell r="A793">
            <v>8828119808</v>
          </cell>
          <cell r="B793">
            <v>47</v>
          </cell>
          <cell r="C793" t="str">
            <v>Desplazamiento aire acondicionado Zona Satelital Oriente N2 23</v>
          </cell>
          <cell r="D793" t="str">
            <v>Nivel 2</v>
          </cell>
          <cell r="E793" t="str">
            <v>GL</v>
          </cell>
          <cell r="F793">
            <v>168300</v>
          </cell>
          <cell r="G793" t="str">
            <v>N2</v>
          </cell>
        </row>
        <row r="794">
          <cell r="A794">
            <v>8828119817</v>
          </cell>
          <cell r="B794">
            <v>48</v>
          </cell>
          <cell r="C794" t="str">
            <v>Desplazamiento aire acondicionado Zona Satelital Suroccidente N2 23</v>
          </cell>
          <cell r="D794" t="str">
            <v>Nivel 2</v>
          </cell>
          <cell r="E794" t="str">
            <v>GL</v>
          </cell>
          <cell r="F794">
            <v>168300</v>
          </cell>
          <cell r="G794" t="str">
            <v>N2</v>
          </cell>
        </row>
        <row r="795">
          <cell r="A795">
            <v>8828119825</v>
          </cell>
          <cell r="B795">
            <v>49</v>
          </cell>
          <cell r="C795" t="str">
            <v>Desplazmiento aire acondicionado zona centro Zona 2 Centro N2 23</v>
          </cell>
          <cell r="D795" t="str">
            <v>Nivel 2</v>
          </cell>
          <cell r="E795" t="str">
            <v>GL</v>
          </cell>
          <cell r="F795">
            <v>124540</v>
          </cell>
          <cell r="G795" t="str">
            <v>N2</v>
          </cell>
        </row>
        <row r="796">
          <cell r="A796">
            <v>8828119831</v>
          </cell>
          <cell r="B796">
            <v>50</v>
          </cell>
          <cell r="C796" t="str">
            <v>Desplazmiento aire acondicionado zona centro Zona 2 Costa N2 23</v>
          </cell>
          <cell r="D796" t="str">
            <v>Nivel 2</v>
          </cell>
          <cell r="E796" t="str">
            <v>GL</v>
          </cell>
          <cell r="F796">
            <v>124540</v>
          </cell>
          <cell r="G796" t="str">
            <v>N2</v>
          </cell>
        </row>
        <row r="797">
          <cell r="A797">
            <v>8828119840</v>
          </cell>
          <cell r="B797">
            <v>51</v>
          </cell>
          <cell r="C797" t="str">
            <v>Desplazmiento aire acondicionado zona centro Zona 2 Noroccidente N2 23</v>
          </cell>
          <cell r="D797" t="str">
            <v>Nivel 2</v>
          </cell>
          <cell r="E797" t="str">
            <v>GL</v>
          </cell>
          <cell r="F797">
            <v>124540</v>
          </cell>
          <cell r="G797" t="str">
            <v>N2</v>
          </cell>
        </row>
        <row r="798">
          <cell r="A798">
            <v>8828119859</v>
          </cell>
          <cell r="B798">
            <v>52</v>
          </cell>
          <cell r="C798" t="str">
            <v>Desplazmiento aire acondicionado zona centro Zona 2 Oriente N2 23</v>
          </cell>
          <cell r="D798" t="str">
            <v>Nivel 2</v>
          </cell>
          <cell r="E798" t="str">
            <v>GL</v>
          </cell>
          <cell r="F798">
            <v>124540</v>
          </cell>
          <cell r="G798" t="str">
            <v>N2</v>
          </cell>
        </row>
        <row r="799">
          <cell r="A799">
            <v>8828119869</v>
          </cell>
          <cell r="B799">
            <v>53</v>
          </cell>
          <cell r="C799" t="str">
            <v>Desplazmiento aire acondicionado zona centro Zona 2 Suroccidente N2 23</v>
          </cell>
          <cell r="D799" t="str">
            <v>Nivel 2</v>
          </cell>
          <cell r="E799" t="str">
            <v>GL</v>
          </cell>
          <cell r="F799">
            <v>124540</v>
          </cell>
          <cell r="G799" t="str">
            <v>N2</v>
          </cell>
        </row>
        <row r="800">
          <cell r="A800">
            <v>8828119879</v>
          </cell>
          <cell r="B800">
            <v>54</v>
          </cell>
          <cell r="C800" t="str">
            <v>DISEÑO E INSTALACION A TODO COSTO DE SISTEMA DE EMISION DE GASES NORMA DAMA: SILENCIADOR TUBERIA DE 4 Y 5" DE 12MT ALTURA SOPORTES HERRAJES Y SISTEMA RIENDADO N2 23</v>
          </cell>
          <cell r="D800" t="str">
            <v>Nivel 2</v>
          </cell>
          <cell r="E800" t="str">
            <v>#N/D</v>
          </cell>
          <cell r="F800">
            <v>4462248</v>
          </cell>
          <cell r="G800" t="str">
            <v>N2</v>
          </cell>
        </row>
        <row r="801">
          <cell r="A801">
            <v>8828119893</v>
          </cell>
          <cell r="B801">
            <v>55</v>
          </cell>
          <cell r="C801" t="str">
            <v>DIAGONAL EN V PARA CRUCETA METALICA 110 X 40 CMS N2 23</v>
          </cell>
          <cell r="D801" t="str">
            <v>Nivel 2</v>
          </cell>
          <cell r="E801" t="str">
            <v>Uni</v>
          </cell>
          <cell r="F801">
            <v>68798</v>
          </cell>
          <cell r="G801" t="str">
            <v>N2</v>
          </cell>
        </row>
        <row r="802">
          <cell r="A802">
            <v>8828119906</v>
          </cell>
          <cell r="B802">
            <v>56</v>
          </cell>
          <cell r="C802" t="str">
            <v>DIAGONAL RECTA METALICA 68 CMTS DERECHA N2 23</v>
          </cell>
          <cell r="D802" t="str">
            <v>Nivel 2</v>
          </cell>
          <cell r="E802" t="str">
            <v>Uni</v>
          </cell>
          <cell r="F802">
            <v>68798</v>
          </cell>
          <cell r="G802" t="str">
            <v>N2</v>
          </cell>
        </row>
        <row r="803">
          <cell r="A803">
            <v>8828119919</v>
          </cell>
          <cell r="B803">
            <v>57</v>
          </cell>
          <cell r="C803" t="str">
            <v>DIAGONAL RECTA METALICA 68 CMTS IZQUIERDA N2 23</v>
          </cell>
          <cell r="D803" t="str">
            <v>Nivel 2</v>
          </cell>
          <cell r="E803" t="str">
            <v>Uni</v>
          </cell>
          <cell r="F803">
            <v>68798</v>
          </cell>
          <cell r="G803" t="str">
            <v>N2</v>
          </cell>
        </row>
        <row r="804">
          <cell r="A804">
            <v>8828119929</v>
          </cell>
          <cell r="B804">
            <v>58</v>
          </cell>
          <cell r="C804" t="str">
            <v>DIAGONAL RECTA PARA CRUCETA METALICA DE 110 CMS N2 23</v>
          </cell>
          <cell r="D804" t="str">
            <v>Nivel 2</v>
          </cell>
          <cell r="E804" t="str">
            <v>Uni</v>
          </cell>
          <cell r="F804">
            <v>38834</v>
          </cell>
          <cell r="G804" t="str">
            <v>N2</v>
          </cell>
        </row>
        <row r="805">
          <cell r="A805">
            <v>8828119940</v>
          </cell>
          <cell r="B805">
            <v>59</v>
          </cell>
          <cell r="C805" t="str">
            <v>EMBOBINADO DE LA CORONA DE EXCITACION EMBOBINADO DEL ROTOR DE EXITACION CAMBIO DE DIODOS ROTATIVOS CAMBIO DE BALINERAS MANTENIMIENTO DEL ROTOR Y ESTATOR DE GENERADOR DE 16 KVA N2 23</v>
          </cell>
          <cell r="D805" t="str">
            <v>Nivel 2</v>
          </cell>
          <cell r="E805" t="str">
            <v>GL</v>
          </cell>
          <cell r="F805">
            <v>3349476</v>
          </cell>
          <cell r="G805" t="str">
            <v>N2</v>
          </cell>
        </row>
        <row r="806">
          <cell r="A806">
            <v>8828119952</v>
          </cell>
          <cell r="B806">
            <v>60</v>
          </cell>
          <cell r="C806" t="str">
            <v>EMBOBINADO DE LA CORONA DE EXCITACION EMBOBINADO DEL ROTOR DE EXITACION CAMBIO DE DIODOS ROTATIVOS CAMBIO DE BALINERAS MANTENIMIENTO DEL ROTOR Y ESTATOR DE GENERADOR DE 30 KVA N2 23</v>
          </cell>
          <cell r="D806" t="str">
            <v>Nivel 2</v>
          </cell>
          <cell r="E806" t="str">
            <v>GL</v>
          </cell>
          <cell r="F806">
            <v>3734900</v>
          </cell>
          <cell r="G806" t="str">
            <v>N2</v>
          </cell>
        </row>
        <row r="807">
          <cell r="A807">
            <v>8828119970</v>
          </cell>
          <cell r="B807">
            <v>61</v>
          </cell>
          <cell r="C807" t="str">
            <v>ESPARRAGO ROSCADO 4 TUERCAS 5/8 X 10" N2 23</v>
          </cell>
          <cell r="D807" t="str">
            <v>Nivel 2</v>
          </cell>
          <cell r="E807" t="str">
            <v>Uni</v>
          </cell>
          <cell r="F807">
            <v>38834</v>
          </cell>
          <cell r="G807" t="str">
            <v>N2</v>
          </cell>
        </row>
        <row r="808">
          <cell r="A808">
            <v>8828119985</v>
          </cell>
          <cell r="B808">
            <v>62</v>
          </cell>
          <cell r="C808" t="str">
            <v>ESPARRAGO ROSCADO 4 TUERCAS 5/8 X 12" N2 23</v>
          </cell>
          <cell r="D808" t="str">
            <v>Nivel 2</v>
          </cell>
          <cell r="E808" t="str">
            <v>Uni</v>
          </cell>
          <cell r="F808">
            <v>38834</v>
          </cell>
          <cell r="G808" t="str">
            <v>N2</v>
          </cell>
        </row>
        <row r="809">
          <cell r="A809">
            <v>8828120003</v>
          </cell>
          <cell r="B809">
            <v>63</v>
          </cell>
          <cell r="C809" t="str">
            <v>ESPARRAGO ROSCADO 4 TUERCAS 5/8 X 14" N2 23</v>
          </cell>
          <cell r="D809" t="str">
            <v>Nivel 2</v>
          </cell>
          <cell r="E809" t="str">
            <v>Uni</v>
          </cell>
          <cell r="F809">
            <v>38834</v>
          </cell>
          <cell r="G809" t="str">
            <v>N2</v>
          </cell>
        </row>
        <row r="810">
          <cell r="A810">
            <v>8828120013</v>
          </cell>
          <cell r="B810">
            <v>64</v>
          </cell>
          <cell r="C810" t="str">
            <v>ESPARRAGO ROSCADO 5/8 X 12 N2 23</v>
          </cell>
          <cell r="D810" t="str">
            <v>Nivel 2</v>
          </cell>
          <cell r="E810" t="str">
            <v>Uni</v>
          </cell>
          <cell r="F810">
            <v>38834</v>
          </cell>
          <cell r="G810" t="str">
            <v>N2</v>
          </cell>
        </row>
        <row r="811">
          <cell r="A811">
            <v>8828120023</v>
          </cell>
          <cell r="B811">
            <v>65</v>
          </cell>
          <cell r="C811" t="str">
            <v>ESPARRAGO ROSCADO 5/8 X 18 N2 23</v>
          </cell>
          <cell r="D811" t="str">
            <v>Nivel 2</v>
          </cell>
          <cell r="E811" t="str">
            <v>Uni</v>
          </cell>
          <cell r="F811">
            <v>38834</v>
          </cell>
          <cell r="G811" t="str">
            <v>N2</v>
          </cell>
        </row>
        <row r="812">
          <cell r="A812">
            <v>8828120032</v>
          </cell>
          <cell r="B812">
            <v>66</v>
          </cell>
          <cell r="C812" t="str">
            <v>ESPARRAGOS 5/8 X * 8" N2 23</v>
          </cell>
          <cell r="D812" t="str">
            <v>Nivel 2</v>
          </cell>
          <cell r="E812" t="str">
            <v>Uni</v>
          </cell>
          <cell r="F812">
            <v>38834</v>
          </cell>
          <cell r="G812" t="str">
            <v>N2</v>
          </cell>
        </row>
        <row r="813">
          <cell r="A813">
            <v>8828120044</v>
          </cell>
          <cell r="B813">
            <v>67</v>
          </cell>
          <cell r="C813" t="str">
            <v>ESPARRAGOS DE 5/8*16" N2 23</v>
          </cell>
          <cell r="D813" t="str">
            <v>Nivel 2</v>
          </cell>
          <cell r="E813" t="str">
            <v>Uni</v>
          </cell>
          <cell r="F813">
            <v>38834</v>
          </cell>
          <cell r="G813" t="str">
            <v>N2</v>
          </cell>
        </row>
        <row r="814">
          <cell r="A814">
            <v>8828120053</v>
          </cell>
          <cell r="B814">
            <v>68</v>
          </cell>
          <cell r="C814" t="str">
            <v>ESPIGO PIN PARA CRUCETA METALICA 13.2 N2 23</v>
          </cell>
          <cell r="D814" t="str">
            <v>Nivel 2</v>
          </cell>
          <cell r="E814" t="str">
            <v>Uni</v>
          </cell>
          <cell r="F814">
            <v>52192</v>
          </cell>
          <cell r="G814" t="str">
            <v>N2</v>
          </cell>
        </row>
        <row r="815">
          <cell r="A815">
            <v>8828120063</v>
          </cell>
          <cell r="B815">
            <v>69</v>
          </cell>
          <cell r="C815" t="str">
            <v>ESPIGO PIN PARA CRUCETA METALICA 34.5 N2 23</v>
          </cell>
          <cell r="D815" t="str">
            <v>Nivel 2</v>
          </cell>
          <cell r="E815" t="str">
            <v>Uni</v>
          </cell>
          <cell r="F815">
            <v>52192</v>
          </cell>
          <cell r="G815" t="str">
            <v>N2</v>
          </cell>
        </row>
        <row r="816">
          <cell r="A816">
            <v>8828120072</v>
          </cell>
          <cell r="B816">
            <v>70</v>
          </cell>
          <cell r="C816" t="str">
            <v>Estructura externa del tablero de ATS de 15 a 30 KVA (chapa anclaje puerta) reparar y pintar N2 23</v>
          </cell>
          <cell r="D816" t="str">
            <v>Nivel 2</v>
          </cell>
          <cell r="E816" t="str">
            <v>GL</v>
          </cell>
          <cell r="F816">
            <v>1231438</v>
          </cell>
          <cell r="G816" t="str">
            <v>N2</v>
          </cell>
        </row>
        <row r="817">
          <cell r="A817">
            <v>8828120079</v>
          </cell>
          <cell r="B817">
            <v>71</v>
          </cell>
          <cell r="C817" t="str">
            <v>Estructura externa del tablero de ATS de 15 KVA (chapa anclaje puerta) reparar y pintar N2 23</v>
          </cell>
          <cell r="D817" t="str">
            <v>Nivel 2</v>
          </cell>
          <cell r="E817" t="str">
            <v>GL</v>
          </cell>
          <cell r="F817">
            <v>916708</v>
          </cell>
          <cell r="G817" t="str">
            <v>N2</v>
          </cell>
        </row>
        <row r="818">
          <cell r="A818">
            <v>8828120090</v>
          </cell>
          <cell r="B818">
            <v>72</v>
          </cell>
          <cell r="C818" t="str">
            <v>Estructura externa del tablero de ATS de hasta 30 KVA (chapa anclaje puerta) reparar y pintar N2 23</v>
          </cell>
          <cell r="D818" t="str">
            <v>Nivel 2</v>
          </cell>
          <cell r="E818" t="str">
            <v>Uni</v>
          </cell>
          <cell r="F818">
            <v>362950</v>
          </cell>
          <cell r="G818" t="str">
            <v>N2</v>
          </cell>
        </row>
        <row r="819">
          <cell r="A819">
            <v>8828120100</v>
          </cell>
          <cell r="B819">
            <v>73</v>
          </cell>
          <cell r="C819" t="str">
            <v>FARO DE DESTELLO LUZ DE OBSTRUCCION 1 LUZ 110V N2 23</v>
          </cell>
          <cell r="D819" t="str">
            <v>Nivel 2</v>
          </cell>
          <cell r="E819" t="str">
            <v>Uni</v>
          </cell>
          <cell r="F819">
            <v>783802</v>
          </cell>
          <cell r="G819" t="str">
            <v>N2</v>
          </cell>
        </row>
        <row r="820">
          <cell r="A820">
            <v>8828120106</v>
          </cell>
          <cell r="B820">
            <v>74</v>
          </cell>
          <cell r="C820" t="str">
            <v>FARO DE DESTELLO LUZ DE OBSTRUCCION 2 LUCES 110V N2 23</v>
          </cell>
          <cell r="D820" t="str">
            <v>Nivel 2</v>
          </cell>
          <cell r="E820" t="str">
            <v>Uni</v>
          </cell>
          <cell r="F820">
            <v>783802</v>
          </cell>
          <cell r="G820" t="str">
            <v>N2</v>
          </cell>
        </row>
        <row r="821">
          <cell r="A821">
            <v>8828120114</v>
          </cell>
          <cell r="B821">
            <v>75</v>
          </cell>
          <cell r="C821" t="str">
            <v>FARO DE DESTELLO UNA LUZ DE XENON / FARO DE OBSTRUCCION 24 VOLTIOS REF: FX-5 ILURAM N2 23</v>
          </cell>
          <cell r="D821" t="str">
            <v>Nivel 2</v>
          </cell>
          <cell r="E821" t="str">
            <v>Uni</v>
          </cell>
          <cell r="F821">
            <v>783802</v>
          </cell>
          <cell r="G821" t="str">
            <v>N2</v>
          </cell>
        </row>
        <row r="822">
          <cell r="A822">
            <v>8828120122</v>
          </cell>
          <cell r="B822">
            <v>76</v>
          </cell>
          <cell r="C822" t="str">
            <v>CAJA DE 8 CIRCUITOS N2 23</v>
          </cell>
          <cell r="D822" t="str">
            <v>Nivel 2</v>
          </cell>
          <cell r="E822" t="str">
            <v>Uni</v>
          </cell>
          <cell r="F822">
            <v>55020</v>
          </cell>
          <cell r="G822" t="str">
            <v>N2</v>
          </cell>
        </row>
        <row r="823">
          <cell r="A823">
            <v>8828120131</v>
          </cell>
          <cell r="B823">
            <v>77</v>
          </cell>
          <cell r="C823" t="str">
            <v>FARO DE SENALIZACION LUZ DE OBSTRUCCION 100W N2 23</v>
          </cell>
          <cell r="D823" t="str">
            <v>Nivel 2</v>
          </cell>
          <cell r="E823" t="str">
            <v>Uni</v>
          </cell>
          <cell r="F823">
            <v>783802</v>
          </cell>
          <cell r="G823" t="str">
            <v>N2</v>
          </cell>
        </row>
        <row r="824">
          <cell r="A824">
            <v>8828120140</v>
          </cell>
          <cell r="B824">
            <v>78</v>
          </cell>
          <cell r="C824" t="str">
            <v>FARO SENCILLO DE 200W-110V N2 23</v>
          </cell>
          <cell r="D824" t="str">
            <v>Nivel 2</v>
          </cell>
          <cell r="E824" t="str">
            <v>Uni</v>
          </cell>
          <cell r="F824">
            <v>783802</v>
          </cell>
          <cell r="G824" t="str">
            <v>N2</v>
          </cell>
        </row>
        <row r="825">
          <cell r="A825">
            <v>8828120156</v>
          </cell>
          <cell r="B825">
            <v>79</v>
          </cell>
          <cell r="C825" t="str">
            <v>FARO SENCILLO LUZ XENON 24V CON FOTOCONTROL N2 23</v>
          </cell>
          <cell r="D825" t="str">
            <v>Nivel 2</v>
          </cell>
          <cell r="E825" t="str">
            <v>Uni</v>
          </cell>
          <cell r="F825">
            <v>783802</v>
          </cell>
          <cell r="G825" t="str">
            <v>N2</v>
          </cell>
        </row>
        <row r="826">
          <cell r="A826">
            <v>8828120166</v>
          </cell>
          <cell r="B826">
            <v>80</v>
          </cell>
          <cell r="C826" t="str">
            <v>FAVIGEL 25KGR N2 23</v>
          </cell>
          <cell r="D826" t="str">
            <v>Nivel 2</v>
          </cell>
          <cell r="E826" t="str">
            <v>Uni</v>
          </cell>
          <cell r="F826">
            <v>172557</v>
          </cell>
          <cell r="G826" t="str">
            <v>N2</v>
          </cell>
        </row>
        <row r="827">
          <cell r="A827">
            <v>8828120174</v>
          </cell>
          <cell r="B827">
            <v>81</v>
          </cell>
          <cell r="C827" t="str">
            <v>FILTRO SECADOR DE 1/2" N2 23</v>
          </cell>
          <cell r="D827" t="str">
            <v>Nivel 2</v>
          </cell>
          <cell r="E827" t="str">
            <v>Uni</v>
          </cell>
          <cell r="F827">
            <v>44200</v>
          </cell>
          <cell r="G827" t="str">
            <v>N2</v>
          </cell>
        </row>
        <row r="828">
          <cell r="A828">
            <v>8828120182</v>
          </cell>
          <cell r="B828">
            <v>82</v>
          </cell>
          <cell r="C828" t="str">
            <v>FILTRO SECADOR DE 3/8" N2 23</v>
          </cell>
          <cell r="D828" t="str">
            <v>Nivel 2</v>
          </cell>
          <cell r="E828" t="str">
            <v>Uni</v>
          </cell>
          <cell r="F828">
            <v>36605</v>
          </cell>
          <cell r="G828" t="str">
            <v>N2</v>
          </cell>
        </row>
        <row r="829">
          <cell r="A829">
            <v>8828120191</v>
          </cell>
          <cell r="B829">
            <v>83</v>
          </cell>
          <cell r="C829" t="str">
            <v>FOTOCELDA LUCES DE OBSTRUCCION CON BASE N2 23</v>
          </cell>
          <cell r="D829" t="str">
            <v>Nivel 2</v>
          </cell>
          <cell r="E829" t="str">
            <v>Uni</v>
          </cell>
          <cell r="F829">
            <v>266405</v>
          </cell>
          <cell r="G829" t="str">
            <v>N2</v>
          </cell>
        </row>
        <row r="830">
          <cell r="A830">
            <v>8828120199</v>
          </cell>
          <cell r="B830">
            <v>84</v>
          </cell>
          <cell r="C830" t="str">
            <v>FOTOCELDA N2 23</v>
          </cell>
          <cell r="D830" t="str">
            <v>Nivel 2</v>
          </cell>
          <cell r="E830" t="str">
            <v>Uni</v>
          </cell>
          <cell r="F830">
            <v>31559</v>
          </cell>
          <cell r="G830" t="str">
            <v>N2</v>
          </cell>
        </row>
        <row r="831">
          <cell r="A831">
            <v>8828120208</v>
          </cell>
          <cell r="B831">
            <v>85</v>
          </cell>
          <cell r="C831" t="str">
            <v>FOTOCONTROL INTEMITENTE N2 23</v>
          </cell>
          <cell r="D831" t="str">
            <v>Nivel 2</v>
          </cell>
          <cell r="E831" t="str">
            <v>Uni</v>
          </cell>
          <cell r="F831">
            <v>309479</v>
          </cell>
          <cell r="G831" t="str">
            <v>N2</v>
          </cell>
        </row>
        <row r="832">
          <cell r="A832">
            <v>8828120216</v>
          </cell>
          <cell r="B832">
            <v>86</v>
          </cell>
          <cell r="C832" t="str">
            <v>FRENO BORNERA RIEL OMEGA N2 23</v>
          </cell>
          <cell r="D832" t="str">
            <v>Nivel 2</v>
          </cell>
          <cell r="E832" t="str">
            <v>Uni</v>
          </cell>
          <cell r="F832">
            <v>95387</v>
          </cell>
          <cell r="G832" t="str">
            <v>N2</v>
          </cell>
        </row>
        <row r="833">
          <cell r="A833">
            <v>8828120224</v>
          </cell>
          <cell r="B833">
            <v>87</v>
          </cell>
          <cell r="C833" t="str">
            <v>FUSIBLE HH 10A / 24KV N2 23</v>
          </cell>
          <cell r="D833" t="str">
            <v>Nivel 2</v>
          </cell>
          <cell r="E833" t="str">
            <v>Uni</v>
          </cell>
          <cell r="F833">
            <v>71392</v>
          </cell>
          <cell r="G833" t="str">
            <v>N2</v>
          </cell>
        </row>
        <row r="834">
          <cell r="A834">
            <v>8828120239</v>
          </cell>
          <cell r="B834">
            <v>88</v>
          </cell>
          <cell r="C834" t="str">
            <v>FUSIBLE HH 16A / 24KV N2 23</v>
          </cell>
          <cell r="D834" t="str">
            <v>Nivel 2</v>
          </cell>
          <cell r="E834" t="str">
            <v>Uni</v>
          </cell>
          <cell r="F834">
            <v>71392</v>
          </cell>
          <cell r="G834" t="str">
            <v>N2</v>
          </cell>
        </row>
        <row r="835">
          <cell r="A835">
            <v>8828120246</v>
          </cell>
          <cell r="B835">
            <v>89</v>
          </cell>
          <cell r="C835" t="str">
            <v>FUSIBLE HH 25A / 24KV N2 23</v>
          </cell>
          <cell r="D835" t="str">
            <v>Nivel 2</v>
          </cell>
          <cell r="E835" t="str">
            <v>Uni</v>
          </cell>
          <cell r="F835">
            <v>71392</v>
          </cell>
          <cell r="G835" t="str">
            <v>N2</v>
          </cell>
        </row>
        <row r="836">
          <cell r="A836">
            <v>8828120252</v>
          </cell>
          <cell r="B836">
            <v>90</v>
          </cell>
          <cell r="C836" t="str">
            <v>FUSIBLE HH 40A / 24KV N2 23</v>
          </cell>
          <cell r="D836" t="str">
            <v>Nivel 2</v>
          </cell>
          <cell r="E836" t="str">
            <v>Uni</v>
          </cell>
          <cell r="F836">
            <v>71392</v>
          </cell>
          <cell r="G836" t="str">
            <v>N2</v>
          </cell>
        </row>
        <row r="837">
          <cell r="A837">
            <v>8828120258</v>
          </cell>
          <cell r="B837">
            <v>91</v>
          </cell>
          <cell r="C837" t="str">
            <v>FUSIBLE TIPO HILO 13.2 KV 1 AMP N2 23</v>
          </cell>
          <cell r="D837" t="str">
            <v>Nivel 2</v>
          </cell>
          <cell r="E837" t="str">
            <v>Uni</v>
          </cell>
          <cell r="F837">
            <v>23009</v>
          </cell>
          <cell r="G837" t="str">
            <v>N2</v>
          </cell>
        </row>
        <row r="838">
          <cell r="A838">
            <v>8828120264</v>
          </cell>
          <cell r="B838">
            <v>92</v>
          </cell>
          <cell r="C838" t="str">
            <v>FUSIBLE TIPO HILO 13.2 KV 10 AMP N2 23</v>
          </cell>
          <cell r="D838" t="str">
            <v>Nivel 2</v>
          </cell>
          <cell r="E838" t="str">
            <v>Uni</v>
          </cell>
          <cell r="F838">
            <v>23009</v>
          </cell>
          <cell r="G838" t="str">
            <v>N2</v>
          </cell>
        </row>
        <row r="839">
          <cell r="A839">
            <v>8828120271</v>
          </cell>
          <cell r="B839">
            <v>93</v>
          </cell>
          <cell r="C839" t="str">
            <v>FUSIBLE TIPO HILO 13.2 KV 15 AMP N2 23</v>
          </cell>
          <cell r="D839" t="str">
            <v>Nivel 2</v>
          </cell>
          <cell r="E839" t="str">
            <v>Uni</v>
          </cell>
          <cell r="F839">
            <v>23009</v>
          </cell>
          <cell r="G839" t="str">
            <v>N2</v>
          </cell>
        </row>
        <row r="840">
          <cell r="A840">
            <v>8828120275</v>
          </cell>
          <cell r="B840">
            <v>94</v>
          </cell>
          <cell r="C840" t="str">
            <v>FUSIBLE TIPO HILO 13.2 KV 2 AMP N2 23</v>
          </cell>
          <cell r="D840" t="str">
            <v>Nivel 2</v>
          </cell>
          <cell r="E840" t="str">
            <v>Uni</v>
          </cell>
          <cell r="F840">
            <v>23009</v>
          </cell>
          <cell r="G840" t="str">
            <v>N2</v>
          </cell>
        </row>
        <row r="841">
          <cell r="A841">
            <v>8828120279</v>
          </cell>
          <cell r="B841">
            <v>95</v>
          </cell>
          <cell r="C841" t="str">
            <v>FUSIBLE TIPO HILO 13.2 KV 3 AMP N2 23</v>
          </cell>
          <cell r="D841" t="str">
            <v>Nivel 2</v>
          </cell>
          <cell r="E841" t="str">
            <v>Uni</v>
          </cell>
          <cell r="F841">
            <v>23009</v>
          </cell>
          <cell r="G841" t="str">
            <v>N2</v>
          </cell>
        </row>
        <row r="842">
          <cell r="A842">
            <v>8828120282</v>
          </cell>
          <cell r="B842">
            <v>96</v>
          </cell>
          <cell r="C842" t="str">
            <v>FUSIBLE TIPO HILO 13.2 KV 4 AMP N2 23</v>
          </cell>
          <cell r="D842" t="str">
            <v>Nivel 2</v>
          </cell>
          <cell r="E842" t="str">
            <v>Uni</v>
          </cell>
          <cell r="F842">
            <v>23009</v>
          </cell>
          <cell r="G842" t="str">
            <v>N2</v>
          </cell>
        </row>
        <row r="843">
          <cell r="A843">
            <v>8828120285</v>
          </cell>
          <cell r="B843">
            <v>97</v>
          </cell>
          <cell r="C843" t="str">
            <v>FUSIBLE TIPO HILO 13.2 KV 5 AMP N2 23</v>
          </cell>
          <cell r="D843" t="str">
            <v>Nivel 2</v>
          </cell>
          <cell r="E843" t="str">
            <v>Uni</v>
          </cell>
          <cell r="F843">
            <v>23009</v>
          </cell>
          <cell r="G843" t="str">
            <v>N2</v>
          </cell>
        </row>
        <row r="844">
          <cell r="A844">
            <v>8828120289</v>
          </cell>
          <cell r="B844">
            <v>98</v>
          </cell>
          <cell r="C844" t="str">
            <v>FUSIBLE TIPO HILO 13.2 KV 6 AMP N2 23</v>
          </cell>
          <cell r="D844" t="str">
            <v>Nivel 2</v>
          </cell>
          <cell r="E844" t="str">
            <v>Uni</v>
          </cell>
          <cell r="F844">
            <v>23009</v>
          </cell>
          <cell r="G844" t="str">
            <v>N2</v>
          </cell>
        </row>
        <row r="845">
          <cell r="A845">
            <v>8828120291</v>
          </cell>
          <cell r="B845">
            <v>99</v>
          </cell>
          <cell r="C845" t="str">
            <v>FUSIBLE TIPO HILO 13.2 KV 7 AMP N2 23</v>
          </cell>
          <cell r="D845" t="str">
            <v>Nivel 2</v>
          </cell>
          <cell r="E845" t="str">
            <v>Uni</v>
          </cell>
          <cell r="F845">
            <v>23009</v>
          </cell>
          <cell r="G845" t="str">
            <v>N2</v>
          </cell>
        </row>
        <row r="846">
          <cell r="A846">
            <v>8828120293</v>
          </cell>
          <cell r="B846">
            <v>100</v>
          </cell>
          <cell r="C846" t="str">
            <v>FUSIBLE TIPO HILO 13.2 KV 85 AMP N2 23</v>
          </cell>
          <cell r="D846" t="str">
            <v>Nivel 2</v>
          </cell>
          <cell r="E846" t="str">
            <v>Uni</v>
          </cell>
          <cell r="F846">
            <v>23009</v>
          </cell>
          <cell r="G846" t="str">
            <v>N2</v>
          </cell>
        </row>
        <row r="847">
          <cell r="A847">
            <v>8828120294</v>
          </cell>
          <cell r="B847">
            <v>101</v>
          </cell>
          <cell r="C847" t="str">
            <v>FUSIBLE TIPO HILO 34.5 KV 3 AMP N2 23</v>
          </cell>
          <cell r="D847" t="str">
            <v>Nivel 2</v>
          </cell>
          <cell r="E847" t="str">
            <v>Uni</v>
          </cell>
          <cell r="F847">
            <v>23009</v>
          </cell>
          <cell r="G847" t="str">
            <v>N2</v>
          </cell>
        </row>
        <row r="848">
          <cell r="A848">
            <v>8828118851</v>
          </cell>
          <cell r="B848">
            <v>102</v>
          </cell>
          <cell r="C848" t="str">
            <v>FUSIBLES DE EXPULSIÓN DE 20 AMP N2 23</v>
          </cell>
          <cell r="D848" t="str">
            <v>Nivel 2</v>
          </cell>
          <cell r="E848" t="str">
            <v>Uni</v>
          </cell>
          <cell r="F848">
            <v>787174</v>
          </cell>
          <cell r="G848" t="str">
            <v>N2</v>
          </cell>
        </row>
        <row r="849">
          <cell r="A849">
            <v>8828118864</v>
          </cell>
          <cell r="B849">
            <v>103</v>
          </cell>
          <cell r="C849" t="str">
            <v>GRAPA DE CONEXION EN CALIENTE N2 23</v>
          </cell>
          <cell r="D849" t="str">
            <v>Nivel 2</v>
          </cell>
          <cell r="E849" t="str">
            <v>Uni</v>
          </cell>
          <cell r="F849">
            <v>8766</v>
          </cell>
          <cell r="G849" t="str">
            <v>N2</v>
          </cell>
        </row>
        <row r="850">
          <cell r="A850">
            <v>8828118873</v>
          </cell>
          <cell r="B850">
            <v>104</v>
          </cell>
          <cell r="C850" t="str">
            <v>GRAPA DE RETENCION O TERMINAL 2 PERNOS N2 23</v>
          </cell>
          <cell r="D850" t="str">
            <v>Nivel 2</v>
          </cell>
          <cell r="E850" t="str">
            <v>Uni</v>
          </cell>
          <cell r="F850">
            <v>8766</v>
          </cell>
          <cell r="G850" t="str">
            <v>N2</v>
          </cell>
        </row>
        <row r="851">
          <cell r="A851">
            <v>8828118883</v>
          </cell>
          <cell r="B851">
            <v>105</v>
          </cell>
          <cell r="C851" t="str">
            <v>GRAPA PARA RETENIDA 4" X 2" N2 23</v>
          </cell>
          <cell r="D851" t="str">
            <v>Nivel 2</v>
          </cell>
          <cell r="E851" t="str">
            <v>Uni</v>
          </cell>
          <cell r="F851">
            <v>8766</v>
          </cell>
          <cell r="G851" t="str">
            <v>N2</v>
          </cell>
        </row>
        <row r="852">
          <cell r="A852">
            <v>8828118891</v>
          </cell>
          <cell r="B852">
            <v>106</v>
          </cell>
          <cell r="C852" t="str">
            <v>GRAPA PRENSORA DE ACERO FORJADO 3 PERNOS N2 23</v>
          </cell>
          <cell r="D852" t="str">
            <v>Nivel 2</v>
          </cell>
          <cell r="E852" t="str">
            <v>Uni</v>
          </cell>
          <cell r="F852">
            <v>3828</v>
          </cell>
          <cell r="G852" t="str">
            <v>N2</v>
          </cell>
        </row>
        <row r="853">
          <cell r="A853">
            <v>8828118900</v>
          </cell>
          <cell r="B853">
            <v>107</v>
          </cell>
          <cell r="C853" t="str">
            <v>GRAPA TENSORA N2 23</v>
          </cell>
          <cell r="D853" t="str">
            <v>Nivel 2</v>
          </cell>
          <cell r="E853" t="str">
            <v>Uni</v>
          </cell>
          <cell r="F853">
            <v>1241</v>
          </cell>
          <cell r="G853" t="str">
            <v>N2</v>
          </cell>
        </row>
        <row r="854">
          <cell r="A854">
            <v>8828118914</v>
          </cell>
          <cell r="B854">
            <v>108</v>
          </cell>
          <cell r="C854" t="str">
            <v>GRAPA TERMINAL 2 A 1/0 N2 23</v>
          </cell>
          <cell r="D854" t="str">
            <v>Nivel 2</v>
          </cell>
          <cell r="E854" t="str">
            <v>Uni</v>
          </cell>
          <cell r="F854">
            <v>8294</v>
          </cell>
          <cell r="G854" t="str">
            <v>N2</v>
          </cell>
        </row>
        <row r="855">
          <cell r="A855">
            <v>8828118920</v>
          </cell>
          <cell r="B855">
            <v>109</v>
          </cell>
          <cell r="C855" t="str">
            <v>GRAPA TERMINAL 2/0 A 4/0 N2 23</v>
          </cell>
          <cell r="D855" t="str">
            <v>Nivel 2</v>
          </cell>
          <cell r="E855" t="str">
            <v>Uni</v>
          </cell>
          <cell r="F855">
            <v>8294</v>
          </cell>
          <cell r="G855" t="str">
            <v>N2</v>
          </cell>
        </row>
        <row r="856">
          <cell r="A856">
            <v>8828118929</v>
          </cell>
          <cell r="B856">
            <v>110</v>
          </cell>
          <cell r="C856" t="str">
            <v>GUARDACABO DE 1/2" N2 23</v>
          </cell>
          <cell r="D856" t="str">
            <v>Nivel 2</v>
          </cell>
          <cell r="E856" t="str">
            <v>Uni</v>
          </cell>
          <cell r="F856">
            <v>8294</v>
          </cell>
          <cell r="G856" t="str">
            <v>N2</v>
          </cell>
        </row>
        <row r="857">
          <cell r="A857">
            <v>8828118939</v>
          </cell>
          <cell r="B857">
            <v>111</v>
          </cell>
          <cell r="C857" t="str">
            <v>HEBILLA CINTA BANDIT 1/2" N2 23</v>
          </cell>
          <cell r="D857" t="str">
            <v>Nivel 2</v>
          </cell>
          <cell r="E857" t="str">
            <v>Uni</v>
          </cell>
          <cell r="F857">
            <v>626</v>
          </cell>
          <cell r="G857" t="str">
            <v>N2</v>
          </cell>
        </row>
        <row r="858">
          <cell r="A858">
            <v>8828118947</v>
          </cell>
          <cell r="B858">
            <v>112</v>
          </cell>
          <cell r="C858" t="str">
            <v>HEBILLA CINTA BANDIT 3/4” N2 23</v>
          </cell>
          <cell r="D858" t="str">
            <v>Nivel 2</v>
          </cell>
          <cell r="E858" t="str">
            <v>Uni</v>
          </cell>
          <cell r="F858">
            <v>1316</v>
          </cell>
          <cell r="G858" t="str">
            <v>N2</v>
          </cell>
        </row>
        <row r="859">
          <cell r="A859">
            <v>8828118958</v>
          </cell>
          <cell r="B859">
            <v>113</v>
          </cell>
          <cell r="C859" t="str">
            <v>HEBILLA CINTA BANDIT 3/8" N2 23</v>
          </cell>
          <cell r="D859" t="str">
            <v>Nivel 2</v>
          </cell>
          <cell r="E859" t="str">
            <v>Uni</v>
          </cell>
          <cell r="F859">
            <v>1316</v>
          </cell>
          <cell r="G859" t="str">
            <v>N2</v>
          </cell>
        </row>
        <row r="860">
          <cell r="A860">
            <v>8828118967</v>
          </cell>
          <cell r="B860">
            <v>114</v>
          </cell>
          <cell r="C860" t="str">
            <v>HEBILLAS CINTA BANDIT 5/8" N2 23</v>
          </cell>
          <cell r="D860" t="str">
            <v>Nivel 2</v>
          </cell>
          <cell r="E860" t="str">
            <v>Uni</v>
          </cell>
          <cell r="F860">
            <v>626</v>
          </cell>
          <cell r="G860" t="str">
            <v>N2</v>
          </cell>
        </row>
        <row r="861">
          <cell r="A861">
            <v>8828118982</v>
          </cell>
          <cell r="B861">
            <v>115</v>
          </cell>
          <cell r="C861" t="str">
            <v>HECHURA DE ROSCAS PARA TUBO N2 23</v>
          </cell>
          <cell r="D861" t="str">
            <v>Nivel 2</v>
          </cell>
          <cell r="E861" t="str">
            <v>GL</v>
          </cell>
          <cell r="F861">
            <v>8617</v>
          </cell>
          <cell r="G861" t="str">
            <v>N2</v>
          </cell>
        </row>
        <row r="862">
          <cell r="A862">
            <v>8828118990</v>
          </cell>
          <cell r="B862">
            <v>116</v>
          </cell>
          <cell r="C862" t="str">
            <v>HIDROSOLTA Bulto N2 23</v>
          </cell>
          <cell r="D862" t="str">
            <v>Nivel 2</v>
          </cell>
          <cell r="E862" t="str">
            <v>Uni</v>
          </cell>
          <cell r="F862">
            <v>90862</v>
          </cell>
          <cell r="G862" t="str">
            <v>N2</v>
          </cell>
        </row>
        <row r="863">
          <cell r="A863">
            <v>8828119000</v>
          </cell>
          <cell r="B863">
            <v>117</v>
          </cell>
          <cell r="C863" t="str">
            <v>LIMPIEZA Y MANTENIMIENTO DE TANQUE DE COMBUSTIBLE N2 23</v>
          </cell>
          <cell r="D863" t="str">
            <v>Nivel 2</v>
          </cell>
          <cell r="E863" t="str">
            <v>Uni</v>
          </cell>
          <cell r="F863">
            <v>278486</v>
          </cell>
          <cell r="G863" t="str">
            <v>N2</v>
          </cell>
        </row>
        <row r="864">
          <cell r="A864">
            <v>8828119010</v>
          </cell>
          <cell r="B864">
            <v>118</v>
          </cell>
          <cell r="C864" t="str">
            <v>LUZ DE OBSTRUCCION 200 W N2 23</v>
          </cell>
          <cell r="D864" t="str">
            <v>Nivel 2</v>
          </cell>
          <cell r="E864" t="str">
            <v>Uni</v>
          </cell>
          <cell r="F864">
            <v>1804380</v>
          </cell>
          <cell r="G864" t="str">
            <v>N2</v>
          </cell>
        </row>
        <row r="865">
          <cell r="A865">
            <v>8828119020</v>
          </cell>
          <cell r="B865">
            <v>119</v>
          </cell>
          <cell r="C865" t="str">
            <v>LUZ DE OBSTRUCCION DE 500W A 22O VAC N2 23</v>
          </cell>
          <cell r="D865" t="str">
            <v>Nivel 2</v>
          </cell>
          <cell r="E865" t="str">
            <v>Uni</v>
          </cell>
          <cell r="F865">
            <v>1938510</v>
          </cell>
          <cell r="G865" t="str">
            <v>N2</v>
          </cell>
        </row>
        <row r="866">
          <cell r="A866">
            <v>8828119029</v>
          </cell>
          <cell r="B866">
            <v>120</v>
          </cell>
          <cell r="C866" t="str">
            <v>MANEJADORA PARA AIRE DE 3 TR N2 23</v>
          </cell>
          <cell r="D866" t="str">
            <v>Nivel 2</v>
          </cell>
          <cell r="E866" t="str">
            <v>Uni</v>
          </cell>
          <cell r="F866">
            <v>2800070</v>
          </cell>
          <cell r="G866" t="str">
            <v>N2</v>
          </cell>
        </row>
        <row r="867">
          <cell r="A867">
            <v>8828119038</v>
          </cell>
          <cell r="B867">
            <v>121</v>
          </cell>
          <cell r="C867" t="str">
            <v>MANEJADORA PARA AIRE DE 5 TR N2 23</v>
          </cell>
          <cell r="D867" t="str">
            <v>Nivel 2</v>
          </cell>
          <cell r="E867" t="str">
            <v>Uni</v>
          </cell>
          <cell r="F867">
            <v>3117800</v>
          </cell>
          <cell r="G867" t="str">
            <v>N2</v>
          </cell>
        </row>
        <row r="868">
          <cell r="A868">
            <v>8828119046</v>
          </cell>
          <cell r="B868">
            <v>122</v>
          </cell>
          <cell r="C868" t="str">
            <v>MANGUERA 1/2PG CAUCHO LONA PARA COMBUSTIBLE ALTA TEMPERATURA N2 23</v>
          </cell>
          <cell r="D868" t="str">
            <v>Nivel 2</v>
          </cell>
          <cell r="E868" t="str">
            <v>Uni</v>
          </cell>
          <cell r="F868">
            <v>75507</v>
          </cell>
          <cell r="G868" t="str">
            <v>N2</v>
          </cell>
        </row>
        <row r="869">
          <cell r="A869">
            <v>8828119056</v>
          </cell>
          <cell r="B869">
            <v>123</v>
          </cell>
          <cell r="C869" t="str">
            <v>MANGUERA 1/4" N2 23</v>
          </cell>
          <cell r="D869" t="str">
            <v>Nivel 2</v>
          </cell>
          <cell r="E869" t="str">
            <v>M</v>
          </cell>
          <cell r="F869">
            <v>25500</v>
          </cell>
          <cell r="G869" t="str">
            <v>N2</v>
          </cell>
        </row>
        <row r="870">
          <cell r="A870">
            <v>8828119065</v>
          </cell>
          <cell r="B870">
            <v>124</v>
          </cell>
          <cell r="C870" t="str">
            <v>MANGUERA 3/16" N2 23</v>
          </cell>
          <cell r="D870" t="str">
            <v>Nivel 2</v>
          </cell>
          <cell r="E870" t="str">
            <v>M</v>
          </cell>
          <cell r="F870">
            <v>25500</v>
          </cell>
          <cell r="G870" t="str">
            <v>N2</v>
          </cell>
        </row>
        <row r="871">
          <cell r="A871">
            <v>8828119074</v>
          </cell>
          <cell r="B871">
            <v>125</v>
          </cell>
          <cell r="C871" t="str">
            <v>MANGUERA 5/16" N2 23</v>
          </cell>
          <cell r="D871" t="str">
            <v>Nivel 2</v>
          </cell>
          <cell r="E871" t="str">
            <v>M</v>
          </cell>
          <cell r="F871">
            <v>25500</v>
          </cell>
          <cell r="G871" t="str">
            <v>N2</v>
          </cell>
        </row>
        <row r="872">
          <cell r="A872">
            <v>8828119086</v>
          </cell>
          <cell r="B872">
            <v>126</v>
          </cell>
          <cell r="C872" t="str">
            <v>MANGUERA ACPM DE 1" N2 23</v>
          </cell>
          <cell r="D872" t="str">
            <v>Nivel 2</v>
          </cell>
          <cell r="E872" t="str">
            <v>M</v>
          </cell>
          <cell r="F872">
            <v>21079</v>
          </cell>
          <cell r="G872" t="str">
            <v>N2</v>
          </cell>
        </row>
        <row r="873">
          <cell r="A873">
            <v>8828119095</v>
          </cell>
          <cell r="B873">
            <v>127</v>
          </cell>
          <cell r="C873" t="str">
            <v>MANGUERA CAUCHO - LONA DE DIAMETRO DE 5/16" POR METRO N2 23</v>
          </cell>
          <cell r="D873" t="str">
            <v>Nivel 2</v>
          </cell>
          <cell r="E873" t="str">
            <v>Uni</v>
          </cell>
          <cell r="F873">
            <v>121592</v>
          </cell>
          <cell r="G873" t="str">
            <v>N2</v>
          </cell>
        </row>
        <row r="874">
          <cell r="A874">
            <v>8828119106</v>
          </cell>
          <cell r="B874">
            <v>128</v>
          </cell>
          <cell r="C874" t="str">
            <v>MANGUERA COMBUSTIBLE 3/4" N2 23</v>
          </cell>
          <cell r="D874" t="str">
            <v>Nivel 2</v>
          </cell>
          <cell r="E874" t="str">
            <v>Uni</v>
          </cell>
          <cell r="F874">
            <v>121592</v>
          </cell>
          <cell r="G874" t="str">
            <v>N2</v>
          </cell>
        </row>
        <row r="875">
          <cell r="A875">
            <v>8828119118</v>
          </cell>
          <cell r="B875">
            <v>129</v>
          </cell>
          <cell r="C875" t="str">
            <v>MANGUERA COMBUSTIBLE 3/8" ALTA PRESION 300 N2 23</v>
          </cell>
          <cell r="D875" t="str">
            <v>Nivel 2</v>
          </cell>
          <cell r="E875" t="str">
            <v>Uni</v>
          </cell>
          <cell r="F875">
            <v>121592</v>
          </cell>
          <cell r="G875" t="str">
            <v>N2</v>
          </cell>
        </row>
        <row r="876">
          <cell r="A876">
            <v>8828119127</v>
          </cell>
          <cell r="B876">
            <v>130</v>
          </cell>
          <cell r="C876" t="str">
            <v>MANGUERA DE 1" 3/4" X 12" TIPO ALTA TEMPERATURA CON ALMA DE ACERO N2 23</v>
          </cell>
          <cell r="D876" t="str">
            <v>Nivel 2</v>
          </cell>
          <cell r="E876" t="str">
            <v>M</v>
          </cell>
          <cell r="F876">
            <v>121592</v>
          </cell>
          <cell r="G876" t="str">
            <v>N2</v>
          </cell>
        </row>
        <row r="877">
          <cell r="A877">
            <v>8828119137</v>
          </cell>
          <cell r="B877">
            <v>131</v>
          </cell>
          <cell r="C877" t="str">
            <v>MANGUERA DE 3/4 TRANSPARENTE N2 23</v>
          </cell>
          <cell r="D877" t="str">
            <v>Nivel 2</v>
          </cell>
          <cell r="E877" t="str">
            <v>M</v>
          </cell>
          <cell r="F877">
            <v>4163</v>
          </cell>
          <cell r="G877" t="str">
            <v>N2</v>
          </cell>
        </row>
        <row r="878">
          <cell r="A878">
            <v>8828119147</v>
          </cell>
          <cell r="B878">
            <v>132</v>
          </cell>
          <cell r="C878" t="str">
            <v>MANGUERA DE ALTA PRESION PARA COMBUSTIBLE N2 23</v>
          </cell>
          <cell r="D878" t="str">
            <v>Nivel 2</v>
          </cell>
          <cell r="E878" t="str">
            <v>M</v>
          </cell>
          <cell r="F878">
            <v>115512</v>
          </cell>
          <cell r="G878" t="str">
            <v>N2</v>
          </cell>
        </row>
        <row r="879">
          <cell r="A879">
            <v>8828119155</v>
          </cell>
          <cell r="B879">
            <v>133</v>
          </cell>
          <cell r="C879" t="str">
            <v>MANGUERA FLEXIBLE DE 12" N2 23</v>
          </cell>
          <cell r="D879" t="str">
            <v>Nivel 2</v>
          </cell>
          <cell r="E879" t="str">
            <v>M</v>
          </cell>
          <cell r="F879">
            <v>121592</v>
          </cell>
          <cell r="G879" t="str">
            <v>N2</v>
          </cell>
        </row>
        <row r="880">
          <cell r="A880">
            <v>8828119168</v>
          </cell>
          <cell r="B880">
            <v>134</v>
          </cell>
          <cell r="C880" t="str">
            <v>MANGUERA INDICADORA DE NIVEL TRANSPARENTE 1/2" N2 23</v>
          </cell>
          <cell r="D880" t="str">
            <v>Nivel 2</v>
          </cell>
          <cell r="E880" t="str">
            <v>M</v>
          </cell>
          <cell r="F880">
            <v>3184</v>
          </cell>
          <cell r="G880" t="str">
            <v>N2</v>
          </cell>
        </row>
        <row r="881">
          <cell r="A881">
            <v>8828119190</v>
          </cell>
          <cell r="B881">
            <v>135</v>
          </cell>
          <cell r="C881" t="str">
            <v>MANGUERA INDUSTRIAL ALTA TEMPERATURA PARA RETORNO DE COMBUSTIBLE N2 23</v>
          </cell>
          <cell r="D881" t="str">
            <v>Nivel 2</v>
          </cell>
          <cell r="E881" t="str">
            <v>M</v>
          </cell>
          <cell r="F881">
            <v>115512</v>
          </cell>
          <cell r="G881" t="str">
            <v>N2</v>
          </cell>
        </row>
        <row r="882">
          <cell r="A882">
            <v>8828119197</v>
          </cell>
          <cell r="B882">
            <v>136</v>
          </cell>
          <cell r="C882" t="str">
            <v>MANGUERA PARA COMBUSTIBLE ALTA PRESION 1/4" N2 23</v>
          </cell>
          <cell r="D882" t="str">
            <v>Nivel 2</v>
          </cell>
          <cell r="E882" t="str">
            <v>M</v>
          </cell>
          <cell r="F882">
            <v>115512</v>
          </cell>
          <cell r="G882" t="str">
            <v>N2</v>
          </cell>
        </row>
        <row r="883">
          <cell r="A883">
            <v>8828120225</v>
          </cell>
          <cell r="B883">
            <v>137</v>
          </cell>
          <cell r="C883" t="str">
            <v>MANGUERA PARA COMBUSTIBLE ALTA PRESION 3/8" N2 23</v>
          </cell>
          <cell r="D883" t="str">
            <v>Nivel 2</v>
          </cell>
          <cell r="E883" t="str">
            <v>M</v>
          </cell>
          <cell r="F883">
            <v>115512</v>
          </cell>
          <cell r="G883" t="str">
            <v>N2</v>
          </cell>
        </row>
        <row r="884">
          <cell r="A884">
            <v>8828120233</v>
          </cell>
          <cell r="B884">
            <v>138</v>
          </cell>
          <cell r="C884" t="str">
            <v>MANGUERA PARA COMBUSTIBLE DE 1" CAUCHO LONA N2 23</v>
          </cell>
          <cell r="D884" t="str">
            <v>Nivel 2</v>
          </cell>
          <cell r="E884" t="str">
            <v>M</v>
          </cell>
          <cell r="F884">
            <v>115512</v>
          </cell>
          <cell r="G884" t="str">
            <v>N2</v>
          </cell>
        </row>
        <row r="885">
          <cell r="A885">
            <v>8828120241</v>
          </cell>
          <cell r="B885">
            <v>139</v>
          </cell>
          <cell r="C885" t="str">
            <v>MANGUERA PARA COMBUSTIBLE DE 3/8" N2 23</v>
          </cell>
          <cell r="D885" t="str">
            <v>Nivel 2</v>
          </cell>
          <cell r="E885" t="str">
            <v>M</v>
          </cell>
          <cell r="F885">
            <v>115512</v>
          </cell>
          <cell r="G885" t="str">
            <v>N2</v>
          </cell>
        </row>
        <row r="886">
          <cell r="A886">
            <v>8828120248</v>
          </cell>
          <cell r="B886">
            <v>140</v>
          </cell>
          <cell r="C886" t="str">
            <v>MANGUERA TRANSPARENTE 1/2" N2 23</v>
          </cell>
          <cell r="D886" t="str">
            <v>Nivel 2</v>
          </cell>
          <cell r="E886" t="str">
            <v>Uni</v>
          </cell>
          <cell r="F886">
            <v>115512</v>
          </cell>
          <cell r="G886" t="str">
            <v>N2</v>
          </cell>
        </row>
        <row r="887">
          <cell r="A887">
            <v>8828120254</v>
          </cell>
          <cell r="B887">
            <v>141</v>
          </cell>
          <cell r="C887" t="str">
            <v>MANGUERA TRANSPARENTE 3/4" N2 23</v>
          </cell>
          <cell r="D887" t="str">
            <v>Nivel 2</v>
          </cell>
          <cell r="E887" t="str">
            <v>Uni</v>
          </cell>
          <cell r="F887">
            <v>115512</v>
          </cell>
          <cell r="G887" t="str">
            <v>N2</v>
          </cell>
        </row>
        <row r="888">
          <cell r="A888">
            <v>8828120260</v>
          </cell>
          <cell r="B888">
            <v>142</v>
          </cell>
          <cell r="C888" t="str">
            <v>MANGUERA TRANSPARENTE 3/8" N2 23</v>
          </cell>
          <cell r="D888" t="str">
            <v>Nivel 2</v>
          </cell>
          <cell r="E888" t="str">
            <v>Uni</v>
          </cell>
          <cell r="F888">
            <v>115512</v>
          </cell>
          <cell r="G888" t="str">
            <v>N2</v>
          </cell>
        </row>
        <row r="889">
          <cell r="A889">
            <v>8828120266</v>
          </cell>
          <cell r="B889">
            <v>143</v>
          </cell>
          <cell r="C889" t="str">
            <v>MANGUERA TRANSPARENTE 5/16" N2 23</v>
          </cell>
          <cell r="D889" t="str">
            <v>Nivel 2</v>
          </cell>
          <cell r="E889" t="str">
            <v>Uni</v>
          </cell>
          <cell r="F889">
            <v>115512</v>
          </cell>
          <cell r="G889" t="str">
            <v>N2</v>
          </cell>
        </row>
        <row r="890">
          <cell r="A890">
            <v>8828118848</v>
          </cell>
          <cell r="B890">
            <v>144</v>
          </cell>
          <cell r="C890" t="str">
            <v>Mantenimiento Completo de Aire Acondicionado N2 23</v>
          </cell>
          <cell r="D890" t="str">
            <v>Nivel 2</v>
          </cell>
          <cell r="E890" t="str">
            <v>GL</v>
          </cell>
          <cell r="F890">
            <v>156319</v>
          </cell>
          <cell r="G890" t="str">
            <v>N2</v>
          </cell>
        </row>
        <row r="891">
          <cell r="A891">
            <v>8828118858</v>
          </cell>
          <cell r="B891">
            <v>145</v>
          </cell>
          <cell r="C891" t="str">
            <v>MENSULA METALICA N2 23</v>
          </cell>
          <cell r="D891" t="str">
            <v>Nivel 2</v>
          </cell>
          <cell r="E891" t="str">
            <v>Uni</v>
          </cell>
          <cell r="F891">
            <v>440085</v>
          </cell>
          <cell r="G891" t="str">
            <v>N2</v>
          </cell>
        </row>
        <row r="892">
          <cell r="A892">
            <v>8828118867</v>
          </cell>
          <cell r="B892">
            <v>146</v>
          </cell>
          <cell r="C892" t="str">
            <v>MOLDE SOLDADURA VARILLA 5/8" CABLE 1/0 EN T N2 23</v>
          </cell>
          <cell r="D892" t="str">
            <v>Nivel 2</v>
          </cell>
          <cell r="E892" t="str">
            <v>Uni</v>
          </cell>
          <cell r="F892">
            <v>409299</v>
          </cell>
          <cell r="G892" t="str">
            <v>N2</v>
          </cell>
        </row>
        <row r="893">
          <cell r="A893">
            <v>8828118876</v>
          </cell>
          <cell r="B893">
            <v>147</v>
          </cell>
          <cell r="C893" t="str">
            <v>MOTOR 1/2 EJE 1/2 1075 RPM BALINERA CON CONTACTOR N2 23</v>
          </cell>
          <cell r="D893" t="str">
            <v>Nivel 2</v>
          </cell>
          <cell r="E893" t="str">
            <v>Uni</v>
          </cell>
          <cell r="F893">
            <v>1742604</v>
          </cell>
          <cell r="G893" t="str">
            <v>N2</v>
          </cell>
        </row>
        <row r="894">
          <cell r="A894">
            <v>8828118888</v>
          </cell>
          <cell r="B894">
            <v>148</v>
          </cell>
          <cell r="C894" t="str">
            <v>MOTOR 1/2 HP 1075 RPM 220 V CON BALINERA MARCA EMERSON N2 23</v>
          </cell>
          <cell r="D894" t="str">
            <v>Nivel 2</v>
          </cell>
          <cell r="E894" t="str">
            <v>Uni</v>
          </cell>
          <cell r="F894">
            <v>1742604</v>
          </cell>
          <cell r="G894" t="str">
            <v>N2</v>
          </cell>
        </row>
        <row r="895">
          <cell r="A895">
            <v>8828118898</v>
          </cell>
          <cell r="B895">
            <v>149</v>
          </cell>
          <cell r="C895" t="str">
            <v>MOTOR 1/2 HP 1650 RPM 220 V MONOFASICO DOBLE EJE N2 23</v>
          </cell>
          <cell r="D895" t="str">
            <v>Nivel 2</v>
          </cell>
          <cell r="E895" t="str">
            <v>Uni</v>
          </cell>
          <cell r="F895">
            <v>1742604</v>
          </cell>
          <cell r="G895" t="str">
            <v>N2</v>
          </cell>
        </row>
        <row r="896">
          <cell r="A896">
            <v>8828118907</v>
          </cell>
          <cell r="B896">
            <v>150</v>
          </cell>
          <cell r="C896" t="str">
            <v>MOTOR 1/2 HP DOS EJES 208-230V. 1075/3 N2 23</v>
          </cell>
          <cell r="D896" t="str">
            <v>Nivel 2</v>
          </cell>
          <cell r="E896" t="str">
            <v>Uni</v>
          </cell>
          <cell r="F896">
            <v>361434</v>
          </cell>
          <cell r="G896" t="str">
            <v>N2</v>
          </cell>
        </row>
        <row r="897">
          <cell r="A897">
            <v>8828118922</v>
          </cell>
          <cell r="B897">
            <v>151</v>
          </cell>
          <cell r="C897" t="str">
            <v>MOTOR 1/2 HP EJE 1/2 850 RPM N2 23</v>
          </cell>
          <cell r="D897" t="str">
            <v>Nivel 2</v>
          </cell>
          <cell r="E897" t="str">
            <v>Uni</v>
          </cell>
          <cell r="F897">
            <v>1742604</v>
          </cell>
          <cell r="G897" t="str">
            <v>N2</v>
          </cell>
        </row>
        <row r="898">
          <cell r="A898">
            <v>8828118930</v>
          </cell>
          <cell r="B898">
            <v>152</v>
          </cell>
          <cell r="C898" t="str">
            <v>MOTOR 1/2 HP MARCA GENERAL SELLADO DOBLE EJE N2 23</v>
          </cell>
          <cell r="D898" t="str">
            <v>Nivel 2</v>
          </cell>
          <cell r="E898" t="str">
            <v>Uni</v>
          </cell>
          <cell r="F898">
            <v>1742604</v>
          </cell>
          <cell r="G898" t="str">
            <v>N2</v>
          </cell>
        </row>
        <row r="899">
          <cell r="A899">
            <v>8828118940</v>
          </cell>
          <cell r="B899">
            <v>153</v>
          </cell>
          <cell r="C899" t="str">
            <v>MOTOR 1/2 HP MARCA GENERAL SELLADO UN EJE N2 23</v>
          </cell>
          <cell r="D899" t="str">
            <v>Nivel 2</v>
          </cell>
          <cell r="E899" t="str">
            <v>Uni</v>
          </cell>
          <cell r="F899">
            <v>1742604</v>
          </cell>
          <cell r="G899" t="str">
            <v>N2</v>
          </cell>
        </row>
        <row r="900">
          <cell r="A900">
            <v>8828118952</v>
          </cell>
          <cell r="B900">
            <v>154</v>
          </cell>
          <cell r="C900" t="str">
            <v>MOTOR 1/2HP 1075 RPM 1973 N2 23</v>
          </cell>
          <cell r="D900" t="str">
            <v>Nivel 2</v>
          </cell>
          <cell r="E900" t="str">
            <v>Uni</v>
          </cell>
          <cell r="F900">
            <v>1714202</v>
          </cell>
          <cell r="G900" t="str">
            <v>N2</v>
          </cell>
        </row>
        <row r="901">
          <cell r="A901">
            <v>8828118961</v>
          </cell>
          <cell r="B901">
            <v>155</v>
          </cell>
          <cell r="C901" t="str">
            <v>MUERTO EN CONCRETO PARA RETENIDA 30 X 30 X 30 CM N2 23</v>
          </cell>
          <cell r="D901" t="str">
            <v>Nivel 2</v>
          </cell>
          <cell r="E901" t="str">
            <v>Uni</v>
          </cell>
          <cell r="F901">
            <v>156589</v>
          </cell>
          <cell r="G901" t="str">
            <v>N2</v>
          </cell>
        </row>
        <row r="902">
          <cell r="A902">
            <v>8828118970</v>
          </cell>
          <cell r="B902">
            <v>156</v>
          </cell>
          <cell r="C902" t="str">
            <v>PARARRAYO TIPO FRANKLIN DE 5 PUNTAS COMPLETO N2 23</v>
          </cell>
          <cell r="D902" t="str">
            <v>Nivel 2</v>
          </cell>
          <cell r="E902" t="str">
            <v>Uni</v>
          </cell>
          <cell r="F902">
            <v>382595</v>
          </cell>
          <cell r="G902" t="str">
            <v>N2</v>
          </cell>
        </row>
        <row r="903">
          <cell r="A903">
            <v>8828118979</v>
          </cell>
          <cell r="B903">
            <v>157</v>
          </cell>
          <cell r="C903" t="str">
            <v>PARARRAYOS DE 13 2 KV N2 23</v>
          </cell>
          <cell r="D903" t="str">
            <v>Nivel 2</v>
          </cell>
          <cell r="E903" t="str">
            <v>Uni</v>
          </cell>
          <cell r="F903">
            <v>397488</v>
          </cell>
          <cell r="G903" t="str">
            <v>N2</v>
          </cell>
        </row>
        <row r="904">
          <cell r="A904">
            <v>8828118993</v>
          </cell>
          <cell r="B904">
            <v>158</v>
          </cell>
          <cell r="C904" t="str">
            <v>PARARRAYOS DE 34.5 KV N2 23</v>
          </cell>
          <cell r="D904" t="str">
            <v>Nivel 2</v>
          </cell>
          <cell r="E904" t="str">
            <v>Uni</v>
          </cell>
          <cell r="F904">
            <v>358550</v>
          </cell>
          <cell r="G904" t="str">
            <v>N2</v>
          </cell>
        </row>
        <row r="905">
          <cell r="A905">
            <v>8828119004</v>
          </cell>
          <cell r="B905">
            <v>159</v>
          </cell>
          <cell r="C905" t="str">
            <v>PARARRAYOS POLIMERICO 10KV 10KA N2 23</v>
          </cell>
          <cell r="D905" t="str">
            <v>Nivel 2</v>
          </cell>
          <cell r="E905" t="str">
            <v>Uni</v>
          </cell>
          <cell r="F905">
            <v>129840</v>
          </cell>
          <cell r="G905" t="str">
            <v>N2</v>
          </cell>
        </row>
        <row r="906">
          <cell r="A906">
            <v>8828119013</v>
          </cell>
          <cell r="B906">
            <v>160</v>
          </cell>
          <cell r="C906" t="str">
            <v>PARARRAYOS POLIMERICO 10KV 15KA N2 23</v>
          </cell>
          <cell r="D906" t="str">
            <v>Nivel 2</v>
          </cell>
          <cell r="E906" t="str">
            <v>Uni</v>
          </cell>
          <cell r="F906">
            <v>904014</v>
          </cell>
          <cell r="G906" t="str">
            <v>N2</v>
          </cell>
        </row>
        <row r="907">
          <cell r="A907">
            <v>8828119023</v>
          </cell>
          <cell r="B907">
            <v>161</v>
          </cell>
          <cell r="C907" t="str">
            <v>PARARRAYOS POLIMERICO 12KV 10KA N2 23</v>
          </cell>
          <cell r="D907" t="str">
            <v>Nivel 2</v>
          </cell>
          <cell r="E907" t="str">
            <v>Uni</v>
          </cell>
          <cell r="F907">
            <v>904014</v>
          </cell>
          <cell r="G907" t="str">
            <v>N2</v>
          </cell>
        </row>
        <row r="908">
          <cell r="A908">
            <v>8828119040</v>
          </cell>
          <cell r="B908">
            <v>162</v>
          </cell>
          <cell r="C908" t="str">
            <v>PARARRAYOS POLIMERICO 15KV 10KA N2 23</v>
          </cell>
          <cell r="D908" t="str">
            <v>Nivel 2</v>
          </cell>
          <cell r="E908" t="str">
            <v>Uni</v>
          </cell>
          <cell r="F908">
            <v>904014</v>
          </cell>
          <cell r="G908" t="str">
            <v>N2</v>
          </cell>
        </row>
        <row r="909">
          <cell r="A909">
            <v>8828119049</v>
          </cell>
          <cell r="B909">
            <v>163</v>
          </cell>
          <cell r="C909" t="str">
            <v>PARARRAYOS POLIMERICO 30 KV N2 23</v>
          </cell>
          <cell r="D909" t="str">
            <v>Nivel 2</v>
          </cell>
          <cell r="E909" t="str">
            <v>Uni</v>
          </cell>
          <cell r="F909">
            <v>904014</v>
          </cell>
          <cell r="G909" t="str">
            <v>N2</v>
          </cell>
        </row>
        <row r="910">
          <cell r="A910">
            <v>8828119059</v>
          </cell>
          <cell r="B910">
            <v>164</v>
          </cell>
          <cell r="C910" t="str">
            <v>PARARRAYOS POLIMERICO 35KV N2 23</v>
          </cell>
          <cell r="D910" t="str">
            <v>Nivel 2</v>
          </cell>
          <cell r="E910" t="str">
            <v>Uni</v>
          </cell>
          <cell r="F910">
            <v>904014</v>
          </cell>
          <cell r="G910" t="str">
            <v>N2</v>
          </cell>
        </row>
        <row r="911">
          <cell r="A911">
            <v>8828119068</v>
          </cell>
          <cell r="B911">
            <v>165</v>
          </cell>
          <cell r="C911" t="str">
            <v>PARARRAYOS TIPO FRANKLIN DE CUATRO PUNTAS N2 23</v>
          </cell>
          <cell r="D911" t="str">
            <v>Nivel 2</v>
          </cell>
          <cell r="E911" t="str">
            <v>Uni</v>
          </cell>
          <cell r="F911">
            <v>781061</v>
          </cell>
          <cell r="G911" t="str">
            <v>N2</v>
          </cell>
        </row>
        <row r="912">
          <cell r="A912">
            <v>8828119078</v>
          </cell>
          <cell r="B912">
            <v>166</v>
          </cell>
          <cell r="C912" t="str">
            <v>PEDESTALES DE CONCRETO 2MTS N2 23</v>
          </cell>
          <cell r="D912" t="str">
            <v>Nivel 2</v>
          </cell>
          <cell r="E912" t="str">
            <v>Uni</v>
          </cell>
          <cell r="F912">
            <v>738759</v>
          </cell>
          <cell r="G912" t="str">
            <v>N2</v>
          </cell>
        </row>
        <row r="913">
          <cell r="A913">
            <v>8828119098</v>
          </cell>
          <cell r="B913">
            <v>167</v>
          </cell>
          <cell r="C913" t="str">
            <v>PERCHA DE HIERRO GALVANIZADO DE 1 PUESTO N2 23</v>
          </cell>
          <cell r="D913" t="str">
            <v>Nivel 2</v>
          </cell>
          <cell r="E913" t="str">
            <v>Uni</v>
          </cell>
          <cell r="F913">
            <v>82859</v>
          </cell>
          <cell r="G913" t="str">
            <v>N2</v>
          </cell>
        </row>
        <row r="914">
          <cell r="A914">
            <v>8828119112</v>
          </cell>
          <cell r="B914">
            <v>168</v>
          </cell>
          <cell r="C914" t="str">
            <v>PERCHA DE HIERRO GALVANIZADO DE 2 PUESTOS N2 23</v>
          </cell>
          <cell r="D914" t="str">
            <v>Nivel 2</v>
          </cell>
          <cell r="E914" t="str">
            <v>Uni</v>
          </cell>
          <cell r="F914">
            <v>82859</v>
          </cell>
          <cell r="G914" t="str">
            <v>N2</v>
          </cell>
        </row>
        <row r="915">
          <cell r="A915">
            <v>8828119122</v>
          </cell>
          <cell r="B915">
            <v>169</v>
          </cell>
          <cell r="C915" t="str">
            <v>PERCHA DE HIERRO GALVANIZADO DE 3 PUESTOS N2 23</v>
          </cell>
          <cell r="D915" t="str">
            <v>Nivel 2</v>
          </cell>
          <cell r="E915" t="str">
            <v>Uni</v>
          </cell>
          <cell r="F915">
            <v>86173</v>
          </cell>
          <cell r="G915" t="str">
            <v>N2</v>
          </cell>
        </row>
        <row r="916">
          <cell r="A916">
            <v>8828119132</v>
          </cell>
          <cell r="B916">
            <v>170</v>
          </cell>
          <cell r="C916" t="str">
            <v>PERCHA DE HIERRO GALVANIZADO DE 4 PUESTOS N2 23</v>
          </cell>
          <cell r="D916" t="str">
            <v>Nivel 2</v>
          </cell>
          <cell r="E916" t="str">
            <v>Uni</v>
          </cell>
          <cell r="F916">
            <v>86173</v>
          </cell>
          <cell r="G916" t="str">
            <v>N2</v>
          </cell>
        </row>
        <row r="917">
          <cell r="A917">
            <v>8828119142</v>
          </cell>
          <cell r="B917">
            <v>171</v>
          </cell>
          <cell r="C917" t="str">
            <v>PERCHA DE HIERRO GALVANIZADO DE 5 PUESTOS N2 23</v>
          </cell>
          <cell r="D917" t="str">
            <v>Nivel 2</v>
          </cell>
          <cell r="E917" t="str">
            <v>Uni</v>
          </cell>
          <cell r="F917">
            <v>86173</v>
          </cell>
          <cell r="G917" t="str">
            <v>N2</v>
          </cell>
        </row>
        <row r="918">
          <cell r="A918">
            <v>8828119156</v>
          </cell>
          <cell r="B918">
            <v>172</v>
          </cell>
          <cell r="C918" t="str">
            <v>PERNO DE ANCLAJE 5/16"X2" N2 23</v>
          </cell>
          <cell r="D918" t="str">
            <v>Nivel 2</v>
          </cell>
          <cell r="E918" t="str">
            <v>Uni</v>
          </cell>
          <cell r="F918">
            <v>34434</v>
          </cell>
          <cell r="G918" t="str">
            <v>N2</v>
          </cell>
        </row>
        <row r="919">
          <cell r="A919">
            <v>8828119165</v>
          </cell>
          <cell r="B919">
            <v>173</v>
          </cell>
          <cell r="C919" t="str">
            <v>PERNO DE MAQUINA 1/2" * 1 1/2 N2 23</v>
          </cell>
          <cell r="D919" t="str">
            <v>Nivel 2</v>
          </cell>
          <cell r="E919" t="str">
            <v>Uni</v>
          </cell>
          <cell r="F919">
            <v>34434</v>
          </cell>
          <cell r="G919" t="str">
            <v>N2</v>
          </cell>
        </row>
        <row r="920">
          <cell r="A920">
            <v>8828119175</v>
          </cell>
          <cell r="B920">
            <v>174</v>
          </cell>
          <cell r="C920" t="str">
            <v>PERNO DE MAQUINA 5/8 X 18 N2 23</v>
          </cell>
          <cell r="D920" t="str">
            <v>Nivel 2</v>
          </cell>
          <cell r="E920" t="str">
            <v>Uni</v>
          </cell>
          <cell r="F920">
            <v>34434</v>
          </cell>
          <cell r="G920" t="str">
            <v>N2</v>
          </cell>
        </row>
        <row r="921">
          <cell r="A921">
            <v>8828119183</v>
          </cell>
          <cell r="B921">
            <v>175</v>
          </cell>
          <cell r="C921" t="str">
            <v>PERNO DE MAQUINA DE 1/2 X 6 N2 23</v>
          </cell>
          <cell r="D921" t="str">
            <v>Nivel 2</v>
          </cell>
          <cell r="E921" t="str">
            <v>Uni</v>
          </cell>
          <cell r="F921">
            <v>35811</v>
          </cell>
          <cell r="G921" t="str">
            <v>N2</v>
          </cell>
        </row>
        <row r="922">
          <cell r="A922">
            <v>8828119193</v>
          </cell>
          <cell r="B922">
            <v>176</v>
          </cell>
          <cell r="C922" t="str">
            <v>PERNO DE MAQUINA DE 5/8 X 10" N2 23</v>
          </cell>
          <cell r="D922" t="str">
            <v>Nivel 2</v>
          </cell>
          <cell r="E922" t="str">
            <v>Uni</v>
          </cell>
          <cell r="F922">
            <v>35811</v>
          </cell>
          <cell r="G922" t="str">
            <v>N2</v>
          </cell>
        </row>
        <row r="923">
          <cell r="A923">
            <v>8828119204</v>
          </cell>
          <cell r="B923">
            <v>177</v>
          </cell>
          <cell r="C923" t="str">
            <v>PERNO DE MAQUINA DE 5/8 X 12" N2 23</v>
          </cell>
          <cell r="D923" t="str">
            <v>Nivel 2</v>
          </cell>
          <cell r="E923" t="str">
            <v>Uni</v>
          </cell>
          <cell r="F923">
            <v>35811</v>
          </cell>
          <cell r="G923" t="str">
            <v>N2</v>
          </cell>
        </row>
        <row r="924">
          <cell r="A924">
            <v>8828119213</v>
          </cell>
          <cell r="B924">
            <v>178</v>
          </cell>
          <cell r="C924" t="str">
            <v>PERNO DE MAQUINA DE 5/8 X 16 N2 23</v>
          </cell>
          <cell r="D924" t="str">
            <v>Nivel 2</v>
          </cell>
          <cell r="E924" t="str">
            <v>Uni</v>
          </cell>
          <cell r="F924">
            <v>35811</v>
          </cell>
          <cell r="G924" t="str">
            <v>N2</v>
          </cell>
        </row>
        <row r="925">
          <cell r="A925">
            <v>8828119223</v>
          </cell>
          <cell r="B925">
            <v>179</v>
          </cell>
          <cell r="C925" t="str">
            <v>PERNO DE MAQUINA DE 5/8 X 8" N2 23</v>
          </cell>
          <cell r="D925" t="str">
            <v>Nivel 2</v>
          </cell>
          <cell r="E925" t="str">
            <v>Uni</v>
          </cell>
          <cell r="F925">
            <v>5100</v>
          </cell>
          <cell r="G925" t="str">
            <v>N2</v>
          </cell>
        </row>
        <row r="926">
          <cell r="A926">
            <v>8828119233</v>
          </cell>
          <cell r="B926">
            <v>180</v>
          </cell>
          <cell r="C926" t="str">
            <v>PERNO DE OJO 2 TUERCAS 5/8 X 12" N2 23</v>
          </cell>
          <cell r="D926" t="str">
            <v>Nivel 2</v>
          </cell>
          <cell r="E926" t="str">
            <v>Uni</v>
          </cell>
          <cell r="F926">
            <v>10608</v>
          </cell>
          <cell r="G926" t="str">
            <v>N2</v>
          </cell>
        </row>
        <row r="927">
          <cell r="A927">
            <v>8828119243</v>
          </cell>
          <cell r="B927">
            <v>181</v>
          </cell>
          <cell r="C927" t="str">
            <v>PERNO DE OJO 2 TUERCAS 5/8 X 8" N2 23</v>
          </cell>
          <cell r="D927" t="str">
            <v>Nivel 2</v>
          </cell>
          <cell r="E927" t="str">
            <v>Uni</v>
          </cell>
          <cell r="F927">
            <v>10608</v>
          </cell>
          <cell r="G927" t="str">
            <v>N2</v>
          </cell>
        </row>
        <row r="928">
          <cell r="A928">
            <v>8828119251</v>
          </cell>
          <cell r="B928">
            <v>182</v>
          </cell>
          <cell r="C928" t="str">
            <v>PERNOS DE ANCLAJE 1/2"*3" N2 23</v>
          </cell>
          <cell r="D928" t="str">
            <v>Nivel 2</v>
          </cell>
          <cell r="E928" t="str">
            <v>Uni</v>
          </cell>
          <cell r="F928">
            <v>35774</v>
          </cell>
          <cell r="G928" t="str">
            <v>N2</v>
          </cell>
        </row>
        <row r="929">
          <cell r="A929">
            <v>8828119261</v>
          </cell>
          <cell r="B929">
            <v>183</v>
          </cell>
          <cell r="C929" t="str">
            <v>PERNOS DE ANCLAJE 5/16*1 1/2 N2 23</v>
          </cell>
          <cell r="D929" t="str">
            <v>Nivel 2</v>
          </cell>
          <cell r="E929" t="str">
            <v>Uni</v>
          </cell>
          <cell r="F929">
            <v>351</v>
          </cell>
          <cell r="G929" t="str">
            <v>N2</v>
          </cell>
        </row>
        <row r="930">
          <cell r="A930">
            <v>8828119271</v>
          </cell>
          <cell r="B930">
            <v>184</v>
          </cell>
          <cell r="C930" t="str">
            <v>PERNOS DE MAQUINA DE 5/8 * 14" N2 23</v>
          </cell>
          <cell r="D930" t="str">
            <v>Nivel 2</v>
          </cell>
          <cell r="E930" t="str">
            <v>Uni</v>
          </cell>
          <cell r="F930">
            <v>8617</v>
          </cell>
          <cell r="G930" t="str">
            <v>N2</v>
          </cell>
        </row>
        <row r="931">
          <cell r="A931">
            <v>8828119281</v>
          </cell>
          <cell r="B931">
            <v>185</v>
          </cell>
          <cell r="C931" t="str">
            <v>PILOTOS SENALIZACION N2 23</v>
          </cell>
          <cell r="D931" t="str">
            <v>Nivel 2</v>
          </cell>
          <cell r="E931" t="str">
            <v>Uni</v>
          </cell>
          <cell r="F931">
            <v>62631</v>
          </cell>
          <cell r="G931" t="str">
            <v>N2</v>
          </cell>
        </row>
        <row r="932">
          <cell r="A932">
            <v>8828119292</v>
          </cell>
          <cell r="B932">
            <v>186</v>
          </cell>
          <cell r="C932" t="str">
            <v>PIN 5/8 CRUCETA METALICA N2 23</v>
          </cell>
          <cell r="D932" t="str">
            <v>Nivel 2</v>
          </cell>
          <cell r="E932" t="str">
            <v>Uni</v>
          </cell>
          <cell r="F932">
            <v>11050</v>
          </cell>
          <cell r="G932" t="str">
            <v>N2</v>
          </cell>
        </row>
        <row r="933">
          <cell r="A933">
            <v>8828119297</v>
          </cell>
          <cell r="B933">
            <v>187</v>
          </cell>
          <cell r="C933" t="str">
            <v>PIN DE CORTE 3X125 AMP N2 23</v>
          </cell>
          <cell r="D933" t="str">
            <v>Nivel 2</v>
          </cell>
          <cell r="E933" t="str">
            <v>Uni</v>
          </cell>
          <cell r="F933">
            <v>56376</v>
          </cell>
          <cell r="G933" t="str">
            <v>N2</v>
          </cell>
        </row>
        <row r="934">
          <cell r="A934">
            <v>8828119306</v>
          </cell>
          <cell r="B934">
            <v>188</v>
          </cell>
          <cell r="C934" t="str">
            <v>PIN DE CORTE DE SOBREPONER MARCA EXE TRIFASICO FR 100 AMP N2 23</v>
          </cell>
          <cell r="D934" t="str">
            <v>Nivel 2</v>
          </cell>
          <cell r="E934" t="str">
            <v>Uni</v>
          </cell>
          <cell r="F934">
            <v>56376</v>
          </cell>
          <cell r="G934" t="str">
            <v>N2</v>
          </cell>
        </row>
        <row r="935">
          <cell r="A935">
            <v>8828119315</v>
          </cell>
          <cell r="B935">
            <v>189</v>
          </cell>
          <cell r="C935" t="str">
            <v>PIN EXTREMO DE POSTE 13.2 N2 23</v>
          </cell>
          <cell r="D935" t="str">
            <v>Nivel 2</v>
          </cell>
          <cell r="E935" t="str">
            <v>Uni</v>
          </cell>
          <cell r="F935">
            <v>17680</v>
          </cell>
          <cell r="G935" t="str">
            <v>N2</v>
          </cell>
        </row>
        <row r="936">
          <cell r="A936">
            <v>8828119324</v>
          </cell>
          <cell r="B936">
            <v>190</v>
          </cell>
          <cell r="C936" t="str">
            <v>PIN PARA CRUCETA DE MADERA 13.2 N2 23</v>
          </cell>
          <cell r="D936" t="str">
            <v>Nivel 2</v>
          </cell>
          <cell r="E936" t="str">
            <v>Uni</v>
          </cell>
          <cell r="F936">
            <v>9901</v>
          </cell>
          <cell r="G936" t="str">
            <v>N2</v>
          </cell>
        </row>
        <row r="937">
          <cell r="A937">
            <v>8828119331</v>
          </cell>
          <cell r="B937">
            <v>191</v>
          </cell>
          <cell r="C937" t="str">
            <v>POSTE DE CONCRETO DE 10 MTS X 510 KG N2 23</v>
          </cell>
          <cell r="D937" t="str">
            <v>Nivel 2</v>
          </cell>
          <cell r="E937" t="str">
            <v>Uni</v>
          </cell>
          <cell r="F937">
            <v>1287044</v>
          </cell>
          <cell r="G937" t="str">
            <v>N2</v>
          </cell>
        </row>
        <row r="938">
          <cell r="A938">
            <v>8828119341</v>
          </cell>
          <cell r="B938">
            <v>192</v>
          </cell>
          <cell r="C938" t="str">
            <v>POSTE DE CONCRETO DE 12 MTS X 1050 KG N2 23</v>
          </cell>
          <cell r="D938" t="str">
            <v>Nivel 2</v>
          </cell>
          <cell r="E938" t="str">
            <v>Uni</v>
          </cell>
          <cell r="F938">
            <v>1338526</v>
          </cell>
          <cell r="G938" t="str">
            <v>N2</v>
          </cell>
        </row>
        <row r="939">
          <cell r="A939">
            <v>8828119350</v>
          </cell>
          <cell r="B939">
            <v>193</v>
          </cell>
          <cell r="C939" t="str">
            <v>POSTE DE CONCRETO DE 12 MTS X 510 KG N2 23</v>
          </cell>
          <cell r="D939" t="str">
            <v>Nivel 2</v>
          </cell>
          <cell r="E939" t="str">
            <v>Uni</v>
          </cell>
          <cell r="F939">
            <v>1338526</v>
          </cell>
          <cell r="G939" t="str">
            <v>N2</v>
          </cell>
        </row>
        <row r="940">
          <cell r="A940">
            <v>8828119368</v>
          </cell>
          <cell r="B940">
            <v>194</v>
          </cell>
          <cell r="C940" t="str">
            <v>POSTE DE CONCRETO DE 12 MTS X 750 KG N2 23</v>
          </cell>
          <cell r="D940" t="str">
            <v>Nivel 2</v>
          </cell>
          <cell r="E940" t="str">
            <v>Uni</v>
          </cell>
          <cell r="F940">
            <v>1338526</v>
          </cell>
          <cell r="G940" t="str">
            <v>N2</v>
          </cell>
        </row>
        <row r="941">
          <cell r="A941">
            <v>8828119378</v>
          </cell>
          <cell r="B941">
            <v>195</v>
          </cell>
          <cell r="C941" t="str">
            <v>POSTE DE CONCRETO DE 14 MTS X 1050 KG N2 23</v>
          </cell>
          <cell r="D941" t="str">
            <v>Nivel 2</v>
          </cell>
          <cell r="E941" t="str">
            <v>Uni</v>
          </cell>
          <cell r="F941">
            <v>1338526</v>
          </cell>
          <cell r="G941" t="str">
            <v>N2</v>
          </cell>
        </row>
        <row r="942">
          <cell r="A942">
            <v>8828119385</v>
          </cell>
          <cell r="B942">
            <v>196</v>
          </cell>
          <cell r="C942" t="str">
            <v>POSTE DE CONCRETO DE 8 MTS X 510 KG N2 23</v>
          </cell>
          <cell r="D942" t="str">
            <v>Nivel 2</v>
          </cell>
          <cell r="E942" t="str">
            <v>Uni</v>
          </cell>
          <cell r="F942">
            <v>1338526</v>
          </cell>
          <cell r="G942" t="str">
            <v>N2</v>
          </cell>
        </row>
        <row r="943">
          <cell r="A943">
            <v>8828119394</v>
          </cell>
          <cell r="B943">
            <v>197</v>
          </cell>
          <cell r="C943" t="str">
            <v>PRECALENTADOR 1000W N2 23</v>
          </cell>
          <cell r="D943" t="str">
            <v>Nivel 2</v>
          </cell>
          <cell r="E943" t="str">
            <v>Uni</v>
          </cell>
          <cell r="F943">
            <v>794750</v>
          </cell>
          <cell r="G943" t="str">
            <v>N2</v>
          </cell>
        </row>
        <row r="944">
          <cell r="A944">
            <v>8828119406</v>
          </cell>
          <cell r="B944">
            <v>198</v>
          </cell>
          <cell r="C944" t="str">
            <v>PRESOSTATO CALIBRABLE CON DIFER. ALTA MANUAL N2 23</v>
          </cell>
          <cell r="D944" t="str">
            <v>Nivel 2</v>
          </cell>
          <cell r="E944" t="str">
            <v>Uni</v>
          </cell>
          <cell r="F944">
            <v>901017</v>
          </cell>
          <cell r="G944" t="str">
            <v>N2</v>
          </cell>
        </row>
        <row r="945">
          <cell r="A945">
            <v>8828119418</v>
          </cell>
          <cell r="B945">
            <v>199</v>
          </cell>
          <cell r="C945" t="str">
            <v>PRESOSTATO CALIBRABLE PENN ALTA. N2 23</v>
          </cell>
          <cell r="D945" t="str">
            <v>Nivel 2</v>
          </cell>
          <cell r="E945" t="str">
            <v>Uni</v>
          </cell>
          <cell r="F945">
            <v>901017</v>
          </cell>
          <cell r="G945" t="str">
            <v>N2</v>
          </cell>
        </row>
        <row r="946">
          <cell r="A946">
            <v>8828119428</v>
          </cell>
          <cell r="B946">
            <v>200</v>
          </cell>
          <cell r="C946" t="str">
            <v>PROGRAMADOR AA MARCA LUMINEX 110 V N2 23</v>
          </cell>
          <cell r="D946" t="str">
            <v>Nivel 2</v>
          </cell>
          <cell r="E946" t="str">
            <v>Uni</v>
          </cell>
          <cell r="F946">
            <v>227650</v>
          </cell>
          <cell r="G946" t="str">
            <v>N2</v>
          </cell>
        </row>
        <row r="947">
          <cell r="A947">
            <v>8828119207</v>
          </cell>
          <cell r="B947">
            <v>201</v>
          </cell>
          <cell r="C947" t="str">
            <v>PROGRAMADOR ELECTRONICO DE ENCENDIDO APAGADO AUTOMATICO 220V REF 15720 N2 23</v>
          </cell>
          <cell r="D947" t="str">
            <v>Nivel 2</v>
          </cell>
          <cell r="E947" t="str">
            <v>Uni</v>
          </cell>
          <cell r="F947">
            <v>1631504</v>
          </cell>
          <cell r="G947" t="str">
            <v>N2</v>
          </cell>
        </row>
        <row r="948">
          <cell r="A948">
            <v>8828119215</v>
          </cell>
          <cell r="B948">
            <v>202</v>
          </cell>
          <cell r="C948" t="str">
            <v>PULSADOR 30A N2 23</v>
          </cell>
          <cell r="D948" t="str">
            <v>Nivel 2</v>
          </cell>
          <cell r="E948" t="str">
            <v>Uni</v>
          </cell>
          <cell r="F948">
            <v>79174</v>
          </cell>
          <cell r="G948" t="str">
            <v>N2</v>
          </cell>
        </row>
        <row r="949">
          <cell r="A949">
            <v>8828119225</v>
          </cell>
          <cell r="B949">
            <v>203</v>
          </cell>
          <cell r="C949" t="str">
            <v>PULSADOR GIRO DE PARADA N2 23</v>
          </cell>
          <cell r="D949" t="str">
            <v>Nivel 2</v>
          </cell>
          <cell r="E949" t="str">
            <v>Uni</v>
          </cell>
          <cell r="F949">
            <v>79174</v>
          </cell>
          <cell r="G949" t="str">
            <v>N2</v>
          </cell>
        </row>
        <row r="950">
          <cell r="A950">
            <v>8828119234</v>
          </cell>
          <cell r="B950">
            <v>204</v>
          </cell>
          <cell r="C950" t="str">
            <v>PULSADOR PARA RESET N2 23</v>
          </cell>
          <cell r="D950" t="str">
            <v>Nivel 2</v>
          </cell>
          <cell r="E950" t="str">
            <v>Uni</v>
          </cell>
          <cell r="F950">
            <v>79174</v>
          </cell>
          <cell r="G950" t="str">
            <v>N2</v>
          </cell>
        </row>
        <row r="951">
          <cell r="A951">
            <v>8828119245</v>
          </cell>
          <cell r="B951">
            <v>205</v>
          </cell>
          <cell r="C951" t="str">
            <v>PULSADOR RESORTE N2 23</v>
          </cell>
          <cell r="D951" t="str">
            <v>Nivel 2</v>
          </cell>
          <cell r="E951" t="str">
            <v>Uni</v>
          </cell>
          <cell r="F951">
            <v>79174</v>
          </cell>
          <cell r="G951" t="str">
            <v>N2</v>
          </cell>
        </row>
        <row r="952">
          <cell r="A952">
            <v>8828119253</v>
          </cell>
          <cell r="B952">
            <v>206</v>
          </cell>
          <cell r="C952" t="str">
            <v>PULSADOR SENCILLO N2 23</v>
          </cell>
          <cell r="D952" t="str">
            <v>Nivel 2</v>
          </cell>
          <cell r="E952" t="str">
            <v>Uni</v>
          </cell>
          <cell r="F952">
            <v>79174</v>
          </cell>
          <cell r="G952" t="str">
            <v>N2</v>
          </cell>
        </row>
        <row r="953">
          <cell r="A953">
            <v>8828119266</v>
          </cell>
          <cell r="B953">
            <v>207</v>
          </cell>
          <cell r="C953" t="str">
            <v>RADIADOR CUMMINS N2 23</v>
          </cell>
          <cell r="D953" t="str">
            <v>Nivel 2</v>
          </cell>
          <cell r="E953" t="str">
            <v>Uni</v>
          </cell>
          <cell r="F953">
            <v>2060109</v>
          </cell>
          <cell r="G953" t="str">
            <v>N2</v>
          </cell>
        </row>
        <row r="954">
          <cell r="A954">
            <v>8828119274</v>
          </cell>
          <cell r="B954">
            <v>208</v>
          </cell>
          <cell r="C954" t="str">
            <v>RADIADOR LISTTER N2 23</v>
          </cell>
          <cell r="D954" t="str">
            <v>Nivel 2</v>
          </cell>
          <cell r="E954" t="str">
            <v>Uni</v>
          </cell>
          <cell r="F954">
            <v>2072141</v>
          </cell>
          <cell r="G954" t="str">
            <v>N2</v>
          </cell>
        </row>
        <row r="955">
          <cell r="A955">
            <v>8828119282</v>
          </cell>
          <cell r="B955">
            <v>209</v>
          </cell>
          <cell r="C955" t="str">
            <v>RADIADOR PERKINS N2 23</v>
          </cell>
          <cell r="D955" t="str">
            <v>Nivel 2</v>
          </cell>
          <cell r="E955" t="str">
            <v>Uni</v>
          </cell>
          <cell r="F955">
            <v>1757678</v>
          </cell>
          <cell r="G955" t="str">
            <v>N2</v>
          </cell>
        </row>
        <row r="956">
          <cell r="A956">
            <v>8828119437</v>
          </cell>
          <cell r="B956">
            <v>210</v>
          </cell>
          <cell r="C956" t="str">
            <v>REFRIGERANTE R 407A Libra N2 23</v>
          </cell>
          <cell r="D956" t="str">
            <v>Nivel 2</v>
          </cell>
          <cell r="E956" t="str">
            <v>Uni</v>
          </cell>
          <cell r="F956">
            <v>23338</v>
          </cell>
          <cell r="G956" t="str">
            <v>N2</v>
          </cell>
        </row>
        <row r="957">
          <cell r="A957">
            <v>8828119291</v>
          </cell>
          <cell r="B957">
            <v>211</v>
          </cell>
          <cell r="C957" t="str">
            <v>REFRIGERANTE R 410 Libra N2 23</v>
          </cell>
          <cell r="D957" t="str">
            <v>Nivel 2</v>
          </cell>
          <cell r="E957" t="str">
            <v>Uni</v>
          </cell>
          <cell r="F957">
            <v>23338</v>
          </cell>
          <cell r="G957" t="str">
            <v>N2</v>
          </cell>
        </row>
        <row r="958">
          <cell r="A958">
            <v>8828119302</v>
          </cell>
          <cell r="B958">
            <v>212</v>
          </cell>
          <cell r="C958" t="str">
            <v>REFRIGERANTE R22 Libra N2 23</v>
          </cell>
          <cell r="D958" t="str">
            <v>Nivel 2</v>
          </cell>
          <cell r="E958" t="str">
            <v>Uni</v>
          </cell>
          <cell r="F958">
            <v>19449</v>
          </cell>
          <cell r="G958" t="str">
            <v>N2</v>
          </cell>
        </row>
        <row r="959">
          <cell r="A959">
            <v>8828119310</v>
          </cell>
          <cell r="B959">
            <v>213</v>
          </cell>
          <cell r="C959" t="str">
            <v>RELE CONTROLADOR DE FACTOR DE POTENCIA BR600 SIEMENS N2 23</v>
          </cell>
          <cell r="D959" t="str">
            <v>Nivel 2</v>
          </cell>
          <cell r="E959" t="str">
            <v>Uni</v>
          </cell>
          <cell r="F959">
            <v>1746678</v>
          </cell>
          <cell r="G959" t="str">
            <v>N2</v>
          </cell>
        </row>
        <row r="960">
          <cell r="A960">
            <v>8828119317</v>
          </cell>
          <cell r="B960">
            <v>214</v>
          </cell>
          <cell r="C960" t="str">
            <v>RELEVO 11 PINES CON BASE N2 23</v>
          </cell>
          <cell r="D960" t="str">
            <v>Nivel 2</v>
          </cell>
          <cell r="E960" t="str">
            <v>Uni</v>
          </cell>
          <cell r="F960">
            <v>33567</v>
          </cell>
          <cell r="G960" t="str">
            <v>N2</v>
          </cell>
        </row>
        <row r="961">
          <cell r="A961">
            <v>8828119326</v>
          </cell>
          <cell r="B961">
            <v>215</v>
          </cell>
          <cell r="C961" t="str">
            <v>RELEVO 14 PINES - 12VDC N2 23</v>
          </cell>
          <cell r="D961" t="str">
            <v>Nivel 2</v>
          </cell>
          <cell r="E961" t="str">
            <v>Uni</v>
          </cell>
          <cell r="F961">
            <v>45239</v>
          </cell>
          <cell r="G961" t="str">
            <v>N2</v>
          </cell>
        </row>
        <row r="962">
          <cell r="A962">
            <v>8828119335</v>
          </cell>
          <cell r="B962">
            <v>216</v>
          </cell>
          <cell r="C962" t="str">
            <v>RELEVO 220VAC 8 PINES N2 23</v>
          </cell>
          <cell r="D962" t="str">
            <v>Nivel 2</v>
          </cell>
          <cell r="E962" t="str">
            <v>Uni</v>
          </cell>
          <cell r="F962">
            <v>40657</v>
          </cell>
          <cell r="G962" t="str">
            <v>N2</v>
          </cell>
        </row>
        <row r="963">
          <cell r="A963">
            <v>8828119447</v>
          </cell>
          <cell r="B963">
            <v>217</v>
          </cell>
          <cell r="C963" t="str">
            <v>RELEVO 8 PINES - 220 VOLTIOS N2 23</v>
          </cell>
          <cell r="D963" t="str">
            <v>Nivel 2</v>
          </cell>
          <cell r="E963" t="str">
            <v>Uni</v>
          </cell>
          <cell r="F963">
            <v>53074</v>
          </cell>
          <cell r="G963" t="str">
            <v>N2</v>
          </cell>
        </row>
        <row r="964">
          <cell r="A964">
            <v>8828119457</v>
          </cell>
          <cell r="B964">
            <v>218</v>
          </cell>
          <cell r="C964" t="str">
            <v>RELEVO 8 PINES 10AMP/60HZ N2 23</v>
          </cell>
          <cell r="D964" t="str">
            <v>Nivel 2</v>
          </cell>
          <cell r="E964" t="str">
            <v>Uni</v>
          </cell>
          <cell r="F964">
            <v>53074</v>
          </cell>
          <cell r="G964" t="str">
            <v>N2</v>
          </cell>
        </row>
        <row r="965">
          <cell r="A965">
            <v>8828119465</v>
          </cell>
          <cell r="B965">
            <v>219</v>
          </cell>
          <cell r="C965" t="str">
            <v>RELEVO 8 PINES 110 AMP CON BASE N2 23</v>
          </cell>
          <cell r="D965" t="str">
            <v>Nivel 2</v>
          </cell>
          <cell r="E965" t="str">
            <v>Uni</v>
          </cell>
          <cell r="F965">
            <v>53074</v>
          </cell>
          <cell r="G965" t="str">
            <v>N2</v>
          </cell>
        </row>
        <row r="966">
          <cell r="A966">
            <v>8828119474</v>
          </cell>
          <cell r="B966">
            <v>220</v>
          </cell>
          <cell r="C966" t="str">
            <v>RELEVO 8 PINES 24 VAC LR8P24A N2 23</v>
          </cell>
          <cell r="D966" t="str">
            <v>Nivel 2</v>
          </cell>
          <cell r="E966" t="str">
            <v>Uni</v>
          </cell>
          <cell r="F966">
            <v>53074</v>
          </cell>
          <cell r="G966" t="str">
            <v>N2</v>
          </cell>
        </row>
        <row r="967">
          <cell r="A967">
            <v>8828119484</v>
          </cell>
          <cell r="B967">
            <v>221</v>
          </cell>
          <cell r="C967" t="str">
            <v>RELEVO 8 PINES 24VAC CON BASE N2 23</v>
          </cell>
          <cell r="D967" t="str">
            <v>Nivel 2</v>
          </cell>
          <cell r="E967" t="str">
            <v>Uni</v>
          </cell>
          <cell r="F967">
            <v>53074</v>
          </cell>
          <cell r="G967" t="str">
            <v>N2</v>
          </cell>
        </row>
        <row r="968">
          <cell r="A968">
            <v>8828119497</v>
          </cell>
          <cell r="B968">
            <v>222</v>
          </cell>
          <cell r="C968" t="str">
            <v>RELEVO 8 PINES 24VDC CON BASE N2 23</v>
          </cell>
          <cell r="D968" t="str">
            <v>Nivel 2</v>
          </cell>
          <cell r="E968" t="str">
            <v>Uni</v>
          </cell>
          <cell r="F968">
            <v>112960</v>
          </cell>
          <cell r="G968" t="str">
            <v>N2</v>
          </cell>
        </row>
        <row r="969">
          <cell r="A969">
            <v>8828119508</v>
          </cell>
          <cell r="B969">
            <v>223</v>
          </cell>
          <cell r="C969" t="str">
            <v>RELEVO 8 PINES 48V N2 23</v>
          </cell>
          <cell r="D969" t="str">
            <v>Nivel 2</v>
          </cell>
          <cell r="E969" t="str">
            <v>Uni</v>
          </cell>
          <cell r="F969">
            <v>27599</v>
          </cell>
          <cell r="G969" t="str">
            <v>N2</v>
          </cell>
        </row>
        <row r="970">
          <cell r="A970">
            <v>8828119520</v>
          </cell>
          <cell r="B970">
            <v>224</v>
          </cell>
          <cell r="C970" t="str">
            <v>RELEVO 8 PINES 48VOL CON BASE N2 23</v>
          </cell>
          <cell r="D970" t="str">
            <v>Nivel 2</v>
          </cell>
          <cell r="E970" t="str">
            <v>Uni</v>
          </cell>
          <cell r="F970">
            <v>99917</v>
          </cell>
          <cell r="G970" t="str">
            <v>N2</v>
          </cell>
        </row>
        <row r="971">
          <cell r="A971">
            <v>8828119528</v>
          </cell>
          <cell r="B971">
            <v>225</v>
          </cell>
          <cell r="C971" t="str">
            <v>RELEVO 8 PINES BOBINA A 24V 15AMP N2 23</v>
          </cell>
          <cell r="D971" t="str">
            <v>Nivel 2</v>
          </cell>
          <cell r="E971" t="str">
            <v>Uni</v>
          </cell>
          <cell r="F971">
            <v>26043</v>
          </cell>
          <cell r="G971" t="str">
            <v>N2</v>
          </cell>
        </row>
        <row r="972">
          <cell r="A972">
            <v>8828119537</v>
          </cell>
          <cell r="B972">
            <v>226</v>
          </cell>
          <cell r="C972" t="str">
            <v>RELEVO 8 PINES/220 VOLTIOS C/BASE N2 23</v>
          </cell>
          <cell r="D972" t="str">
            <v>Nivel 2</v>
          </cell>
          <cell r="E972" t="str">
            <v>Uni</v>
          </cell>
          <cell r="F972">
            <v>52941</v>
          </cell>
          <cell r="G972" t="str">
            <v>N2</v>
          </cell>
        </row>
        <row r="973">
          <cell r="A973">
            <v>8828119547</v>
          </cell>
          <cell r="B973">
            <v>227</v>
          </cell>
          <cell r="C973" t="str">
            <v>RELEVO CIRCULAR 3 PDT 12 VDC PARA RETIFICADOR 4820D UYG N2 23</v>
          </cell>
          <cell r="D973" t="str">
            <v>Nivel 2</v>
          </cell>
          <cell r="E973" t="str">
            <v>Uni</v>
          </cell>
          <cell r="F973">
            <v>99917</v>
          </cell>
          <cell r="G973" t="str">
            <v>N2</v>
          </cell>
        </row>
        <row r="974">
          <cell r="A974">
            <v>8828119557</v>
          </cell>
          <cell r="B974">
            <v>228</v>
          </cell>
          <cell r="C974" t="str">
            <v>RELEVO CON BASE 11 PINES 12VDC N2 23</v>
          </cell>
          <cell r="D974" t="str">
            <v>Nivel 2</v>
          </cell>
          <cell r="E974" t="str">
            <v>Uni</v>
          </cell>
          <cell r="F974">
            <v>36088</v>
          </cell>
          <cell r="G974" t="str">
            <v>N2</v>
          </cell>
        </row>
        <row r="975">
          <cell r="A975">
            <v>8828119566</v>
          </cell>
          <cell r="B975">
            <v>229</v>
          </cell>
          <cell r="C975" t="str">
            <v>RELEVO CON BASE 8 PINES 110V AC/DC N2 23</v>
          </cell>
          <cell r="D975" t="str">
            <v>Nivel 2</v>
          </cell>
          <cell r="E975" t="str">
            <v>Uni</v>
          </cell>
          <cell r="F975">
            <v>52941</v>
          </cell>
          <cell r="G975" t="str">
            <v>N2</v>
          </cell>
        </row>
        <row r="976">
          <cell r="A976">
            <v>8828119576</v>
          </cell>
          <cell r="B976">
            <v>230</v>
          </cell>
          <cell r="C976" t="str">
            <v>RELEVO CON BASE 8 PINES 220V AC/DC N2 23</v>
          </cell>
          <cell r="D976" t="str">
            <v>Nivel 2</v>
          </cell>
          <cell r="E976" t="str">
            <v>Uni</v>
          </cell>
          <cell r="F976">
            <v>52941</v>
          </cell>
          <cell r="G976" t="str">
            <v>N2</v>
          </cell>
        </row>
        <row r="977">
          <cell r="A977">
            <v>8828119587</v>
          </cell>
          <cell r="B977">
            <v>231</v>
          </cell>
          <cell r="C977" t="str">
            <v>RELEVO CON BASE 8 PINES 48V AC/DC N2 23</v>
          </cell>
          <cell r="D977" t="str">
            <v>Nivel 2</v>
          </cell>
          <cell r="E977" t="str">
            <v>Uni</v>
          </cell>
          <cell r="F977">
            <v>99917</v>
          </cell>
          <cell r="G977" t="str">
            <v>N2</v>
          </cell>
        </row>
        <row r="978">
          <cell r="A978">
            <v>8828119597</v>
          </cell>
          <cell r="B978">
            <v>232</v>
          </cell>
          <cell r="C978" t="str">
            <v>RELEVO DE 11 PINES 3 CONTACTOS 10AMP 110VAC N2 23</v>
          </cell>
          <cell r="D978" t="str">
            <v>Nivel 2</v>
          </cell>
          <cell r="E978" t="str">
            <v>Uni</v>
          </cell>
          <cell r="F978">
            <v>36594</v>
          </cell>
          <cell r="G978" t="str">
            <v>N2</v>
          </cell>
        </row>
        <row r="979">
          <cell r="A979">
            <v>8828119608</v>
          </cell>
          <cell r="B979">
            <v>233</v>
          </cell>
          <cell r="C979" t="str">
            <v>RELEVO DE 11 PINES BOBINA 220VAC ABB N2 23</v>
          </cell>
          <cell r="D979" t="str">
            <v>Nivel 2</v>
          </cell>
          <cell r="E979" t="str">
            <v>Uni</v>
          </cell>
          <cell r="F979">
            <v>99917</v>
          </cell>
          <cell r="G979" t="str">
            <v>N2</v>
          </cell>
        </row>
        <row r="980">
          <cell r="A980">
            <v>8828119617</v>
          </cell>
          <cell r="B980">
            <v>234</v>
          </cell>
          <cell r="C980" t="str">
            <v>RELEVO DE 11 PINES BOBINA A 24V CON BASE N2 23</v>
          </cell>
          <cell r="D980" t="str">
            <v>Nivel 2</v>
          </cell>
          <cell r="E980" t="str">
            <v>Uni</v>
          </cell>
          <cell r="F980">
            <v>44854</v>
          </cell>
          <cell r="G980" t="str">
            <v>N2</v>
          </cell>
        </row>
        <row r="981">
          <cell r="A981">
            <v>8828119626</v>
          </cell>
          <cell r="B981">
            <v>235</v>
          </cell>
          <cell r="C981" t="str">
            <v>RELEVO DE 110VAC 2 CONTACTOS 10A N2 23</v>
          </cell>
          <cell r="D981" t="str">
            <v>Nivel 2</v>
          </cell>
          <cell r="E981" t="str">
            <v>Uni</v>
          </cell>
          <cell r="F981">
            <v>25141</v>
          </cell>
          <cell r="G981" t="str">
            <v>N2</v>
          </cell>
        </row>
        <row r="982">
          <cell r="A982">
            <v>8828119637</v>
          </cell>
          <cell r="B982">
            <v>236</v>
          </cell>
          <cell r="C982" t="str">
            <v>RELEVO DE 110VAC 3 CONTACTOS 10A N2 23</v>
          </cell>
          <cell r="D982" t="str">
            <v>Nivel 2</v>
          </cell>
          <cell r="E982" t="str">
            <v>Uni</v>
          </cell>
          <cell r="F982">
            <v>25141</v>
          </cell>
          <cell r="G982" t="str">
            <v>N2</v>
          </cell>
        </row>
        <row r="983">
          <cell r="A983">
            <v>8828119649</v>
          </cell>
          <cell r="B983">
            <v>237</v>
          </cell>
          <cell r="C983" t="str">
            <v>RELEVO DE 110VAC 3 CONTACTOS 11 PINES 10A N2 23</v>
          </cell>
          <cell r="D983" t="str">
            <v>Nivel 2</v>
          </cell>
          <cell r="E983" t="str">
            <v>Uni</v>
          </cell>
          <cell r="F983">
            <v>52788</v>
          </cell>
          <cell r="G983" t="str">
            <v>N2</v>
          </cell>
        </row>
        <row r="984">
          <cell r="A984">
            <v>8828119659</v>
          </cell>
          <cell r="B984">
            <v>238</v>
          </cell>
          <cell r="C984" t="str">
            <v>RELEVO DE 12 VDC 30 AMP REF. 4RA003510-08 N2 23</v>
          </cell>
          <cell r="D984" t="str">
            <v>Nivel 2</v>
          </cell>
          <cell r="E984" t="str">
            <v>Uni</v>
          </cell>
          <cell r="F984">
            <v>99917</v>
          </cell>
          <cell r="G984" t="str">
            <v>N2</v>
          </cell>
        </row>
        <row r="985">
          <cell r="A985">
            <v>8828119667</v>
          </cell>
          <cell r="B985">
            <v>239</v>
          </cell>
          <cell r="C985" t="str">
            <v>RELEVO DE 12V 30A N2 23</v>
          </cell>
          <cell r="D985" t="str">
            <v>Nivel 2</v>
          </cell>
          <cell r="E985" t="str">
            <v>Uni</v>
          </cell>
          <cell r="F985">
            <v>44005</v>
          </cell>
          <cell r="G985" t="str">
            <v>N2</v>
          </cell>
        </row>
        <row r="986">
          <cell r="A986">
            <v>8828119679</v>
          </cell>
          <cell r="B986">
            <v>240</v>
          </cell>
          <cell r="C986" t="str">
            <v>RELEVO DE 14 PINES 48V 438 N2 23</v>
          </cell>
          <cell r="D986" t="str">
            <v>Nivel 2</v>
          </cell>
          <cell r="E986" t="str">
            <v>Uni</v>
          </cell>
          <cell r="F986">
            <v>44005</v>
          </cell>
          <cell r="G986" t="str">
            <v>N2</v>
          </cell>
        </row>
        <row r="987">
          <cell r="A987">
            <v>8828119689</v>
          </cell>
          <cell r="B987">
            <v>241</v>
          </cell>
          <cell r="C987" t="str">
            <v>RELEVO DE 24 V 5AMP DE 12 PINES N2 23</v>
          </cell>
          <cell r="D987" t="str">
            <v>Nivel 2</v>
          </cell>
          <cell r="E987" t="str">
            <v>Uni</v>
          </cell>
          <cell r="F987">
            <v>99917</v>
          </cell>
          <cell r="G987" t="str">
            <v>N2</v>
          </cell>
        </row>
        <row r="988">
          <cell r="A988">
            <v>8828119698</v>
          </cell>
          <cell r="B988">
            <v>242</v>
          </cell>
          <cell r="C988" t="str">
            <v>RELEVO DE 8 PINES / 110V. N2 23</v>
          </cell>
          <cell r="D988" t="str">
            <v>Nivel 2</v>
          </cell>
          <cell r="E988" t="str">
            <v>Uni</v>
          </cell>
          <cell r="F988">
            <v>52941</v>
          </cell>
          <cell r="G988" t="str">
            <v>N2</v>
          </cell>
        </row>
        <row r="989">
          <cell r="A989">
            <v>8828119714</v>
          </cell>
          <cell r="B989">
            <v>243</v>
          </cell>
          <cell r="C989" t="str">
            <v>RELEVO DE 8 PINES 220VAC N2 23</v>
          </cell>
          <cell r="D989" t="str">
            <v>Nivel 2</v>
          </cell>
          <cell r="E989" t="str">
            <v>Uni</v>
          </cell>
          <cell r="F989">
            <v>52941</v>
          </cell>
          <cell r="G989" t="str">
            <v>N2</v>
          </cell>
        </row>
        <row r="990">
          <cell r="A990">
            <v>8828119723</v>
          </cell>
          <cell r="B990">
            <v>244</v>
          </cell>
          <cell r="C990" t="str">
            <v>RELEVO DE 8 PINES 24 V CON SU BASE N2 23</v>
          </cell>
          <cell r="D990" t="str">
            <v>Nivel 2</v>
          </cell>
          <cell r="E990" t="str">
            <v>Uni</v>
          </cell>
          <cell r="F990">
            <v>52941</v>
          </cell>
          <cell r="G990" t="str">
            <v>N2</v>
          </cell>
        </row>
        <row r="991">
          <cell r="A991">
            <v>8828119732</v>
          </cell>
          <cell r="B991">
            <v>245</v>
          </cell>
          <cell r="C991" t="str">
            <v>RELEVO DE 8 PINES CON BASE A 110 VAC N2 23</v>
          </cell>
          <cell r="D991" t="str">
            <v>Nivel 2</v>
          </cell>
          <cell r="E991" t="str">
            <v>Uni</v>
          </cell>
          <cell r="F991">
            <v>50943</v>
          </cell>
          <cell r="G991" t="str">
            <v>N2</v>
          </cell>
        </row>
        <row r="992">
          <cell r="A992">
            <v>8828119745</v>
          </cell>
          <cell r="B992">
            <v>246</v>
          </cell>
          <cell r="C992" t="str">
            <v>RELEVO HELLA DE 4 PINES N2 23</v>
          </cell>
          <cell r="D992" t="str">
            <v>Nivel 2</v>
          </cell>
          <cell r="E992" t="str">
            <v>Uni</v>
          </cell>
          <cell r="F992">
            <v>35757</v>
          </cell>
          <cell r="G992" t="str">
            <v>N2</v>
          </cell>
        </row>
        <row r="993">
          <cell r="A993">
            <v>8828119754</v>
          </cell>
          <cell r="B993">
            <v>247</v>
          </cell>
          <cell r="C993" t="str">
            <v>RELEVO P&amp;B KHAU17A11 120 VAC PARA RECTIFICADOR 40820D UYG N2 23</v>
          </cell>
          <cell r="D993" t="str">
            <v>Nivel 2</v>
          </cell>
          <cell r="E993" t="str">
            <v>Uni</v>
          </cell>
          <cell r="F993">
            <v>99917</v>
          </cell>
          <cell r="G993" t="str">
            <v>N2</v>
          </cell>
        </row>
        <row r="994">
          <cell r="A994">
            <v>8828119763</v>
          </cell>
          <cell r="B994">
            <v>248</v>
          </cell>
          <cell r="C994" t="str">
            <v>RELEVO RDC RECTANGULAR PARA RECTIFICADOR UYG 48100D N2 23</v>
          </cell>
          <cell r="D994" t="str">
            <v>Nivel 2</v>
          </cell>
          <cell r="E994" t="str">
            <v>Uni</v>
          </cell>
          <cell r="F994">
            <v>98109</v>
          </cell>
          <cell r="G994" t="str">
            <v>N2</v>
          </cell>
        </row>
        <row r="995">
          <cell r="A995">
            <v>8828119772</v>
          </cell>
          <cell r="B995">
            <v>249</v>
          </cell>
          <cell r="C995" t="str">
            <v>RELEVO REF RH3-B UAC240V N2 23</v>
          </cell>
          <cell r="D995" t="str">
            <v>Nivel 2</v>
          </cell>
          <cell r="E995" t="str">
            <v>Uni</v>
          </cell>
          <cell r="F995">
            <v>80661</v>
          </cell>
          <cell r="G995" t="str">
            <v>N2</v>
          </cell>
        </row>
        <row r="996">
          <cell r="A996">
            <v>8828119784</v>
          </cell>
          <cell r="B996">
            <v>250</v>
          </cell>
          <cell r="C996" t="str">
            <v>RELEVO REF: RH 1B-U 12 VDC N2 23</v>
          </cell>
          <cell r="D996" t="str">
            <v>Nivel 2</v>
          </cell>
          <cell r="E996" t="str">
            <v>Uni</v>
          </cell>
          <cell r="F996">
            <v>80661</v>
          </cell>
          <cell r="G996" t="str">
            <v>N2</v>
          </cell>
        </row>
        <row r="997">
          <cell r="A997">
            <v>8828119791</v>
          </cell>
          <cell r="B997">
            <v>251</v>
          </cell>
          <cell r="C997" t="str">
            <v>RELEVO REF: RH2B-UDC12 N2 23</v>
          </cell>
          <cell r="D997" t="str">
            <v>Nivel 2</v>
          </cell>
          <cell r="E997" t="str">
            <v>Uni</v>
          </cell>
          <cell r="F997">
            <v>80820</v>
          </cell>
          <cell r="G997" t="str">
            <v>N2</v>
          </cell>
        </row>
        <row r="998">
          <cell r="A998">
            <v>8828119799</v>
          </cell>
          <cell r="B998">
            <v>252</v>
          </cell>
          <cell r="C998" t="str">
            <v>RELEVO RFL RECTANGULAR 14 PINES 4PDT KHAU-17-120VAC PARA RECTIFICADOR UYG 48100D N2 23</v>
          </cell>
          <cell r="D998" t="str">
            <v>Nivel 2</v>
          </cell>
          <cell r="E998" t="str">
            <v>Uni</v>
          </cell>
          <cell r="F998">
            <v>36938</v>
          </cell>
          <cell r="G998" t="str">
            <v>N2</v>
          </cell>
        </row>
        <row r="999">
          <cell r="A999">
            <v>8828119810</v>
          </cell>
          <cell r="B999">
            <v>253</v>
          </cell>
          <cell r="C999" t="str">
            <v>RELEVO RP RECTANGULAR PARA RECTIFICADOR UYG 48100D N2 23</v>
          </cell>
          <cell r="D999" t="str">
            <v>Nivel 2</v>
          </cell>
          <cell r="E999" t="str">
            <v>Uni</v>
          </cell>
          <cell r="F999">
            <v>36938</v>
          </cell>
          <cell r="G999" t="str">
            <v>N2</v>
          </cell>
        </row>
        <row r="1000">
          <cell r="A1000">
            <v>8828119820</v>
          </cell>
          <cell r="B1000">
            <v>254</v>
          </cell>
          <cell r="C1000" t="str">
            <v>RELEVO TELEMECANIQUE RUN 31A21F7 110V N2 23</v>
          </cell>
          <cell r="D1000" t="str">
            <v>Nivel 2</v>
          </cell>
          <cell r="E1000" t="str">
            <v>Uni</v>
          </cell>
          <cell r="F1000">
            <v>54216</v>
          </cell>
          <cell r="G1000" t="str">
            <v>N2</v>
          </cell>
        </row>
        <row r="1001">
          <cell r="A1001">
            <v>8828119835</v>
          </cell>
          <cell r="B1001">
            <v>255</v>
          </cell>
          <cell r="C1001" t="str">
            <v>RELEVO TELEMECANIQUE RUN31A21F7 110V N2 23</v>
          </cell>
          <cell r="D1001" t="str">
            <v>Nivel 2</v>
          </cell>
          <cell r="E1001" t="str">
            <v>Uni</v>
          </cell>
          <cell r="F1001">
            <v>54216</v>
          </cell>
          <cell r="G1001" t="str">
            <v>N2</v>
          </cell>
        </row>
        <row r="1002">
          <cell r="A1002">
            <v>8828119842</v>
          </cell>
          <cell r="B1002">
            <v>256</v>
          </cell>
          <cell r="C1002" t="str">
            <v>RELEVOS 11 PINES CON BOBINA A 220V N2 23</v>
          </cell>
          <cell r="D1002" t="str">
            <v>Nivel 2</v>
          </cell>
          <cell r="E1002" t="str">
            <v>Uni</v>
          </cell>
          <cell r="F1002">
            <v>99917</v>
          </cell>
          <cell r="G1002" t="str">
            <v>N2</v>
          </cell>
        </row>
        <row r="1003">
          <cell r="A1003">
            <v>8828119850</v>
          </cell>
          <cell r="B1003">
            <v>257</v>
          </cell>
          <cell r="C1003" t="str">
            <v>REPARACION PRUEBA Y CALIBRACION DE 6 INYECTORES PARA MOTOGENARADOR N2 23</v>
          </cell>
          <cell r="D1003" t="str">
            <v>Nivel 2</v>
          </cell>
          <cell r="E1003" t="str">
            <v>GL</v>
          </cell>
          <cell r="F1003">
            <v>1720851</v>
          </cell>
          <cell r="G1003" t="str">
            <v>N2</v>
          </cell>
        </row>
        <row r="1004">
          <cell r="A1004">
            <v>8828119857</v>
          </cell>
          <cell r="B1004">
            <v>258</v>
          </cell>
          <cell r="C1004" t="str">
            <v>REPARACION DE ALTERNADOR CUMMINS N2 23</v>
          </cell>
          <cell r="D1004" t="str">
            <v>Nivel 2</v>
          </cell>
          <cell r="E1004" t="str">
            <v>GL</v>
          </cell>
          <cell r="F1004">
            <v>228650</v>
          </cell>
          <cell r="G1004" t="str">
            <v>N2</v>
          </cell>
        </row>
        <row r="1005">
          <cell r="A1005">
            <v>8828119882</v>
          </cell>
          <cell r="B1005">
            <v>259</v>
          </cell>
          <cell r="C1005" t="str">
            <v>REPARACION DE ALTERNADOR LISTTER N2 23</v>
          </cell>
          <cell r="D1005" t="str">
            <v>Nivel 2</v>
          </cell>
          <cell r="E1005" t="str">
            <v>GL</v>
          </cell>
          <cell r="F1005">
            <v>334900</v>
          </cell>
          <cell r="G1005" t="str">
            <v>N2</v>
          </cell>
        </row>
        <row r="1006">
          <cell r="A1006">
            <v>8828119896</v>
          </cell>
          <cell r="B1006">
            <v>260</v>
          </cell>
          <cell r="C1006" t="str">
            <v>REPARACION DE ALTERNADOR PERKINS N2 23</v>
          </cell>
          <cell r="D1006" t="str">
            <v>Nivel 2</v>
          </cell>
          <cell r="E1006" t="str">
            <v>GL</v>
          </cell>
          <cell r="F1006">
            <v>161819</v>
          </cell>
          <cell r="G1006" t="str">
            <v>N2</v>
          </cell>
        </row>
        <row r="1007">
          <cell r="A1007">
            <v>8828119904</v>
          </cell>
          <cell r="B1007">
            <v>261</v>
          </cell>
          <cell r="C1007" t="str">
            <v>REPARACION LUCES DE OBSTRUCCIÓN2 N2 23</v>
          </cell>
          <cell r="D1007" t="str">
            <v>Nivel 2</v>
          </cell>
          <cell r="E1007" t="str">
            <v>GL</v>
          </cell>
          <cell r="F1007">
            <v>327857</v>
          </cell>
          <cell r="G1007" t="str">
            <v>N2</v>
          </cell>
        </row>
        <row r="1008">
          <cell r="A1008">
            <v>8828119915</v>
          </cell>
          <cell r="B1008">
            <v>262</v>
          </cell>
          <cell r="C1008" t="str">
            <v>REPARACION MOTOR DE ARRANQUE PARA PERKINS N2 23</v>
          </cell>
          <cell r="D1008" t="str">
            <v>Nivel 2</v>
          </cell>
          <cell r="E1008" t="str">
            <v>GL</v>
          </cell>
          <cell r="F1008">
            <v>569118</v>
          </cell>
          <cell r="G1008" t="str">
            <v>N2</v>
          </cell>
        </row>
        <row r="1009">
          <cell r="A1009">
            <v>8828119924</v>
          </cell>
          <cell r="B1009">
            <v>263</v>
          </cell>
          <cell r="C1009" t="str">
            <v>REPARACION MOTOR DE ARRANQUE PLANTA CUMMINS N2 23</v>
          </cell>
          <cell r="D1009" t="str">
            <v>Nivel 2</v>
          </cell>
          <cell r="E1009" t="str">
            <v>GL</v>
          </cell>
          <cell r="F1009">
            <v>639868</v>
          </cell>
          <cell r="G1009" t="str">
            <v>N2</v>
          </cell>
        </row>
        <row r="1010">
          <cell r="A1010">
            <v>8828119935</v>
          </cell>
          <cell r="B1010">
            <v>264</v>
          </cell>
          <cell r="C1010" t="str">
            <v>REPARACION MOTOR DE ARRANQUE PLANTA LISTER N2 23</v>
          </cell>
          <cell r="D1010" t="str">
            <v>Nivel 2</v>
          </cell>
          <cell r="E1010" t="str">
            <v>GL</v>
          </cell>
          <cell r="F1010">
            <v>379100</v>
          </cell>
          <cell r="G1010" t="str">
            <v>N2</v>
          </cell>
        </row>
        <row r="1011">
          <cell r="A1011">
            <v>8828120107</v>
          </cell>
          <cell r="B1011">
            <v>265</v>
          </cell>
          <cell r="C1011" t="str">
            <v>REPARACION RADIADOR PARA MOTOR CUMMINS N2 23</v>
          </cell>
          <cell r="D1011" t="str">
            <v>Nivel 2</v>
          </cell>
          <cell r="E1011" t="str">
            <v>GL</v>
          </cell>
          <cell r="F1011">
            <v>527850</v>
          </cell>
          <cell r="G1011" t="str">
            <v>N2</v>
          </cell>
        </row>
        <row r="1012">
          <cell r="A1012">
            <v>8828120116</v>
          </cell>
          <cell r="B1012">
            <v>266</v>
          </cell>
          <cell r="C1012" t="str">
            <v>REPARACION RADIADOR PLANTA ELECTRICA LISTTER N2 23</v>
          </cell>
          <cell r="D1012" t="str">
            <v>Nivel 2</v>
          </cell>
          <cell r="E1012" t="str">
            <v>GL</v>
          </cell>
          <cell r="F1012">
            <v>527850</v>
          </cell>
          <cell r="G1012" t="str">
            <v>N2</v>
          </cell>
        </row>
        <row r="1013">
          <cell r="A1013">
            <v>8828120126</v>
          </cell>
          <cell r="B1013">
            <v>267</v>
          </cell>
          <cell r="C1013" t="str">
            <v>REPARACION RADIADOR PLANTA PERKINS N2 23</v>
          </cell>
          <cell r="D1013" t="str">
            <v>Nivel 2</v>
          </cell>
          <cell r="E1013" t="str">
            <v>GL</v>
          </cell>
          <cell r="F1013">
            <v>514084</v>
          </cell>
          <cell r="G1013" t="str">
            <v>N2</v>
          </cell>
        </row>
        <row r="1014">
          <cell r="A1014">
            <v>8828120133</v>
          </cell>
          <cell r="B1014">
            <v>268</v>
          </cell>
          <cell r="C1014" t="str">
            <v>REPARACION TANQUE COMBUSTIBLE N2 23</v>
          </cell>
          <cell r="D1014" t="str">
            <v>Nivel 2</v>
          </cell>
          <cell r="E1014" t="str">
            <v>Uni</v>
          </cell>
          <cell r="F1014">
            <v>510609</v>
          </cell>
          <cell r="G1014" t="str">
            <v>N2</v>
          </cell>
        </row>
        <row r="1015">
          <cell r="A1015">
            <v>8828120141</v>
          </cell>
          <cell r="B1015">
            <v>269</v>
          </cell>
          <cell r="C1015" t="str">
            <v>REPARACION TRANSFORMADOR 10KVA N2 23</v>
          </cell>
          <cell r="D1015" t="str">
            <v>Nivel 2</v>
          </cell>
          <cell r="E1015" t="str">
            <v>GL</v>
          </cell>
          <cell r="F1015">
            <v>1636128</v>
          </cell>
          <cell r="G1015" t="str">
            <v>N2</v>
          </cell>
        </row>
        <row r="1016">
          <cell r="A1016">
            <v>8828120150</v>
          </cell>
          <cell r="B1016">
            <v>270</v>
          </cell>
          <cell r="C1016" t="str">
            <v>REPARACION TRANSFORMADOR 15KVA N2 23</v>
          </cell>
          <cell r="D1016" t="str">
            <v>Nivel 2</v>
          </cell>
          <cell r="E1016" t="str">
            <v>GL</v>
          </cell>
          <cell r="F1016">
            <v>2181504</v>
          </cell>
          <cell r="G1016" t="str">
            <v>N2</v>
          </cell>
        </row>
        <row r="1017">
          <cell r="A1017">
            <v>8828120159</v>
          </cell>
          <cell r="B1017">
            <v>271</v>
          </cell>
          <cell r="C1017" t="str">
            <v>REPARACION TRANSFORMADOR 30KVA N2 23</v>
          </cell>
          <cell r="D1017" t="str">
            <v>Nivel 2</v>
          </cell>
          <cell r="E1017" t="str">
            <v>GL</v>
          </cell>
          <cell r="F1017">
            <v>3272255</v>
          </cell>
          <cell r="G1017" t="str">
            <v>N2</v>
          </cell>
        </row>
        <row r="1018">
          <cell r="A1018">
            <v>8828120168</v>
          </cell>
          <cell r="B1018">
            <v>272</v>
          </cell>
          <cell r="C1018" t="str">
            <v>REPARACION TRANSFORMADOR 45KVA N2 23</v>
          </cell>
          <cell r="D1018" t="str">
            <v>Nivel 2</v>
          </cell>
          <cell r="E1018" t="str">
            <v>GL</v>
          </cell>
          <cell r="F1018">
            <v>5418398</v>
          </cell>
          <cell r="G1018" t="str">
            <v>N2</v>
          </cell>
        </row>
        <row r="1019">
          <cell r="A1019">
            <v>8828120181</v>
          </cell>
          <cell r="B1019">
            <v>273</v>
          </cell>
          <cell r="C1019" t="str">
            <v>REPARACION Y CALIBRACION DE BOMBA DE INYECCION N2 23</v>
          </cell>
          <cell r="D1019" t="str">
            <v>Nivel 2</v>
          </cell>
          <cell r="E1019" t="str">
            <v>GL</v>
          </cell>
          <cell r="F1019">
            <v>2185715</v>
          </cell>
          <cell r="G1019" t="str">
            <v>N2</v>
          </cell>
        </row>
        <row r="1020">
          <cell r="A1020">
            <v>8828120190</v>
          </cell>
          <cell r="B1020">
            <v>274</v>
          </cell>
          <cell r="C1020" t="str">
            <v>RETENEDOR DE CIGUENAL PARA PLANTA CUMMINS LTA10 N2 23</v>
          </cell>
          <cell r="D1020" t="str">
            <v>Nivel 2</v>
          </cell>
          <cell r="E1020" t="str">
            <v>Uni</v>
          </cell>
          <cell r="F1020">
            <v>208050</v>
          </cell>
          <cell r="G1020" t="str">
            <v>N2</v>
          </cell>
        </row>
        <row r="1021">
          <cell r="A1021">
            <v>8828120198</v>
          </cell>
          <cell r="B1021">
            <v>275</v>
          </cell>
          <cell r="C1021" t="str">
            <v>RETENEDOR DE POLEA BOMBA PARA AGUA PARA PLANTA CUMMINS LTA10 N2 23</v>
          </cell>
          <cell r="D1021" t="str">
            <v>Nivel 2</v>
          </cell>
          <cell r="E1021" t="str">
            <v>Uni</v>
          </cell>
          <cell r="F1021">
            <v>208050</v>
          </cell>
          <cell r="G1021" t="str">
            <v>N2</v>
          </cell>
        </row>
        <row r="1022">
          <cell r="A1022">
            <v>8828120207</v>
          </cell>
          <cell r="B1022">
            <v>276</v>
          </cell>
          <cell r="C1022" t="str">
            <v>RETENEDOR DEL CIGUENAL (DELANTERO) (PARA MOTOR PERKINS LD0295) N2 23</v>
          </cell>
          <cell r="D1022" t="str">
            <v>Nivel 2</v>
          </cell>
          <cell r="E1022" t="str">
            <v>Uni</v>
          </cell>
          <cell r="F1022">
            <v>208050</v>
          </cell>
          <cell r="G1022" t="str">
            <v>N2</v>
          </cell>
        </row>
        <row r="1023">
          <cell r="A1023">
            <v>8828120218</v>
          </cell>
          <cell r="B1023">
            <v>277</v>
          </cell>
          <cell r="C1023" t="str">
            <v>RETENEDOR DEL DRIVER PARA PLANTA CUMMINS L10 N2 23</v>
          </cell>
          <cell r="D1023" t="str">
            <v>Nivel 2</v>
          </cell>
          <cell r="E1023" t="str">
            <v>Uni</v>
          </cell>
          <cell r="F1023">
            <v>208050</v>
          </cell>
          <cell r="G1023" t="str">
            <v>N2</v>
          </cell>
        </row>
        <row r="1024">
          <cell r="A1024">
            <v>8828120226</v>
          </cell>
          <cell r="B1024">
            <v>278</v>
          </cell>
          <cell r="C1024" t="str">
            <v>RETENEDOR DELANTERO (LISTER HR2 REF: 210-00659) N2 23</v>
          </cell>
          <cell r="D1024" t="str">
            <v>Nivel 2</v>
          </cell>
          <cell r="E1024" t="str">
            <v>Uni</v>
          </cell>
          <cell r="F1024">
            <v>208050</v>
          </cell>
          <cell r="G1024" t="str">
            <v>N2</v>
          </cell>
        </row>
        <row r="1025">
          <cell r="A1025">
            <v>8828120234</v>
          </cell>
          <cell r="B1025">
            <v>279</v>
          </cell>
          <cell r="C1025" t="str">
            <v>RETENEDOR DELANTERO (LISTER TR3 REF: 601-39550) N2 23</v>
          </cell>
          <cell r="D1025" t="str">
            <v>Nivel 2</v>
          </cell>
          <cell r="E1025" t="str">
            <v>Uni</v>
          </cell>
          <cell r="F1025">
            <v>208050</v>
          </cell>
          <cell r="G1025" t="str">
            <v>N2</v>
          </cell>
        </row>
        <row r="1026">
          <cell r="A1026">
            <v>8828120242</v>
          </cell>
          <cell r="B1026">
            <v>280</v>
          </cell>
          <cell r="C1026" t="str">
            <v>RETENEDOR DELANTERO 6BTS-9-G1 N2 23</v>
          </cell>
          <cell r="D1026" t="str">
            <v>Nivel 2</v>
          </cell>
          <cell r="E1026" t="str">
            <v>Uni</v>
          </cell>
          <cell r="F1026">
            <v>208050</v>
          </cell>
          <cell r="G1026" t="str">
            <v>N2</v>
          </cell>
        </row>
        <row r="1027">
          <cell r="A1027">
            <v>8828120249</v>
          </cell>
          <cell r="B1027">
            <v>281</v>
          </cell>
          <cell r="C1027" t="str">
            <v>RETENEDOR DELANTERO CIGUENAL PARA PLANTA PERKINS 2413 F436 N2 23</v>
          </cell>
          <cell r="D1027" t="str">
            <v>Nivel 2</v>
          </cell>
          <cell r="E1027" t="str">
            <v>Uni</v>
          </cell>
          <cell r="F1027">
            <v>208050</v>
          </cell>
          <cell r="G1027" t="str">
            <v>N2</v>
          </cell>
        </row>
        <row r="1028">
          <cell r="A1028">
            <v>8828120255</v>
          </cell>
          <cell r="B1028">
            <v>282</v>
          </cell>
          <cell r="C1028" t="str">
            <v>RETENEDOR DELANTERO MOTOGENERADOR CUMMINS 4BT3.9-G1 N2 23</v>
          </cell>
          <cell r="D1028" t="str">
            <v>Nivel 2</v>
          </cell>
          <cell r="E1028" t="str">
            <v>Uni</v>
          </cell>
          <cell r="F1028">
            <v>208050</v>
          </cell>
          <cell r="G1028" t="str">
            <v>N2</v>
          </cell>
        </row>
        <row r="1029">
          <cell r="A1029">
            <v>8828120263</v>
          </cell>
          <cell r="B1029">
            <v>283</v>
          </cell>
          <cell r="C1029" t="str">
            <v>RETENEDOR DELANTERO MOTOR CUMMINS 6BT N2 23</v>
          </cell>
          <cell r="D1029" t="str">
            <v>Nivel 2</v>
          </cell>
          <cell r="E1029" t="str">
            <v>Uni</v>
          </cell>
          <cell r="F1029">
            <v>208050</v>
          </cell>
          <cell r="G1029" t="str">
            <v>N2</v>
          </cell>
        </row>
        <row r="1030">
          <cell r="A1030">
            <v>8828120269</v>
          </cell>
          <cell r="B1030">
            <v>284</v>
          </cell>
          <cell r="C1030" t="str">
            <v>RETENEDOR DELANTERO PLANTA PERKINS N2 23</v>
          </cell>
          <cell r="D1030" t="str">
            <v>Nivel 2</v>
          </cell>
          <cell r="E1030" t="str">
            <v>Uni</v>
          </cell>
          <cell r="F1030">
            <v>208050</v>
          </cell>
          <cell r="G1030" t="str">
            <v>N2</v>
          </cell>
        </row>
        <row r="1031">
          <cell r="A1031">
            <v>8828120273</v>
          </cell>
          <cell r="B1031">
            <v>285</v>
          </cell>
          <cell r="C1031" t="str">
            <v>RIEL CHANEL N2 23</v>
          </cell>
          <cell r="D1031" t="str">
            <v>Nivel 2</v>
          </cell>
          <cell r="E1031" t="str">
            <v>M</v>
          </cell>
          <cell r="F1031">
            <v>19457</v>
          </cell>
          <cell r="G1031" t="str">
            <v>N2</v>
          </cell>
        </row>
        <row r="1032">
          <cell r="A1032">
            <v>8828120277</v>
          </cell>
          <cell r="B1032">
            <v>286</v>
          </cell>
          <cell r="C1032" t="str">
            <v>RIEL METALICO N2 23</v>
          </cell>
          <cell r="D1032" t="str">
            <v>Nivel 2</v>
          </cell>
          <cell r="E1032" t="str">
            <v>M</v>
          </cell>
          <cell r="F1032">
            <v>34962</v>
          </cell>
          <cell r="G1032" t="str">
            <v>N2</v>
          </cell>
        </row>
        <row r="1033">
          <cell r="A1033">
            <v>8828120283</v>
          </cell>
          <cell r="B1033">
            <v>287</v>
          </cell>
          <cell r="C1033" t="str">
            <v>RIEL OMEGA N2 23</v>
          </cell>
          <cell r="D1033" t="str">
            <v>Nivel 2</v>
          </cell>
          <cell r="E1033" t="str">
            <v>M</v>
          </cell>
          <cell r="F1033">
            <v>13336</v>
          </cell>
          <cell r="G1033" t="str">
            <v>N2</v>
          </cell>
        </row>
        <row r="1034">
          <cell r="A1034">
            <v>8828120286</v>
          </cell>
          <cell r="B1034">
            <v>288</v>
          </cell>
          <cell r="C1034" t="str">
            <v>ROLLO CINTA FOIL N2 23</v>
          </cell>
          <cell r="D1034" t="str">
            <v>Nivel 2</v>
          </cell>
          <cell r="E1034" t="str">
            <v>Uni</v>
          </cell>
          <cell r="F1034">
            <v>26775</v>
          </cell>
          <cell r="G1034" t="str">
            <v>N2</v>
          </cell>
        </row>
        <row r="1035">
          <cell r="A1035">
            <v>8828120288</v>
          </cell>
          <cell r="B1035">
            <v>289</v>
          </cell>
          <cell r="C1035" t="str">
            <v>SELECTOR 2 POSICIONES N2 23</v>
          </cell>
          <cell r="D1035" t="str">
            <v>Nivel 2</v>
          </cell>
          <cell r="E1035" t="str">
            <v>Uni</v>
          </cell>
          <cell r="F1035">
            <v>94825</v>
          </cell>
          <cell r="G1035" t="str">
            <v>N2</v>
          </cell>
        </row>
        <row r="1036">
          <cell r="A1036">
            <v>8828120292</v>
          </cell>
          <cell r="B1036">
            <v>290</v>
          </cell>
          <cell r="C1036" t="str">
            <v>SELECTOR 3 POSICIONES 1-0-2 N2 23</v>
          </cell>
          <cell r="D1036" t="str">
            <v>Nivel 2</v>
          </cell>
          <cell r="E1036" t="str">
            <v>Uni</v>
          </cell>
          <cell r="F1036">
            <v>74054</v>
          </cell>
          <cell r="G1036" t="str">
            <v>N2</v>
          </cell>
        </row>
        <row r="1037">
          <cell r="A1037">
            <v>8828118843</v>
          </cell>
          <cell r="B1037">
            <v>291</v>
          </cell>
          <cell r="C1037" t="str">
            <v>SELECTOR DE 3 POSICIONES N2 23</v>
          </cell>
          <cell r="D1037" t="str">
            <v>Nivel 2</v>
          </cell>
          <cell r="E1037" t="str">
            <v>Uni</v>
          </cell>
          <cell r="F1037">
            <v>61685</v>
          </cell>
          <cell r="G1037" t="str">
            <v>N2</v>
          </cell>
        </row>
        <row r="1038">
          <cell r="A1038">
            <v>8828118850</v>
          </cell>
          <cell r="B1038">
            <v>292</v>
          </cell>
          <cell r="C1038" t="str">
            <v>SELECTOR DE 3 POSICIONES PARA TRANSFERENCIA DE MODO MANUAL AUTOMATICO Y APAGADO TIPO PERILLA N2 23</v>
          </cell>
          <cell r="D1038" t="str">
            <v>Nivel 2</v>
          </cell>
          <cell r="E1038" t="str">
            <v>Uni</v>
          </cell>
          <cell r="F1038">
            <v>1211536</v>
          </cell>
          <cell r="G1038" t="str">
            <v>N2</v>
          </cell>
        </row>
        <row r="1039">
          <cell r="A1039">
            <v>8828118859</v>
          </cell>
          <cell r="B1039">
            <v>293</v>
          </cell>
          <cell r="C1039" t="str">
            <v>SELECTOR DE 4 POSICIONES N2 23</v>
          </cell>
          <cell r="D1039" t="str">
            <v>Nivel 2</v>
          </cell>
          <cell r="E1039" t="str">
            <v>Uni</v>
          </cell>
          <cell r="F1039">
            <v>74344</v>
          </cell>
          <cell r="G1039" t="str">
            <v>N2</v>
          </cell>
        </row>
        <row r="1040">
          <cell r="A1040">
            <v>8828118872</v>
          </cell>
          <cell r="B1040">
            <v>294</v>
          </cell>
          <cell r="C1040" t="str">
            <v>SELECTOR PARA VOLTIMETRO N2 23</v>
          </cell>
          <cell r="D1040" t="str">
            <v>Nivel 2</v>
          </cell>
          <cell r="E1040" t="str">
            <v>Uni</v>
          </cell>
          <cell r="F1040">
            <v>86173</v>
          </cell>
          <cell r="G1040" t="str">
            <v>N2</v>
          </cell>
        </row>
        <row r="1041">
          <cell r="A1041">
            <v>8828118882</v>
          </cell>
          <cell r="B1041">
            <v>295</v>
          </cell>
          <cell r="C1041" t="str">
            <v>SELECTOR RS-RT-TR N2 23</v>
          </cell>
          <cell r="D1041" t="str">
            <v>Nivel 2</v>
          </cell>
          <cell r="E1041" t="str">
            <v>Uni</v>
          </cell>
          <cell r="F1041">
            <v>86173</v>
          </cell>
          <cell r="G1041" t="str">
            <v>N2</v>
          </cell>
        </row>
        <row r="1042">
          <cell r="A1042">
            <v>8828118897</v>
          </cell>
          <cell r="B1042">
            <v>296</v>
          </cell>
          <cell r="C1042" t="str">
            <v>SENSOR TEMPERATURA LISTER N2 23</v>
          </cell>
          <cell r="D1042" t="str">
            <v>Nivel 2</v>
          </cell>
          <cell r="E1042" t="str">
            <v>Uni</v>
          </cell>
          <cell r="F1042">
            <v>348669</v>
          </cell>
          <cell r="G1042" t="str">
            <v>N2</v>
          </cell>
        </row>
        <row r="1043">
          <cell r="A1043">
            <v>8828118906</v>
          </cell>
          <cell r="B1043">
            <v>297</v>
          </cell>
          <cell r="C1043" t="str">
            <v>SENSOR TEMPERATURA PLANTA CUMMINS N2 23</v>
          </cell>
          <cell r="D1043" t="str">
            <v>Nivel 2</v>
          </cell>
          <cell r="E1043" t="str">
            <v>Uni</v>
          </cell>
          <cell r="F1043">
            <v>348669</v>
          </cell>
          <cell r="G1043" t="str">
            <v>N2</v>
          </cell>
        </row>
        <row r="1044">
          <cell r="A1044">
            <v>8828118915</v>
          </cell>
          <cell r="B1044">
            <v>298</v>
          </cell>
          <cell r="C1044" t="str">
            <v>SENSOR TEMPERATURA PLANTA PERKINS N2 23</v>
          </cell>
          <cell r="D1044" t="str">
            <v>Nivel 2</v>
          </cell>
          <cell r="E1044" t="str">
            <v>Uni</v>
          </cell>
          <cell r="F1044">
            <v>348669</v>
          </cell>
          <cell r="G1044" t="str">
            <v>N2</v>
          </cell>
        </row>
        <row r="1045">
          <cell r="A1045">
            <v>8828118923</v>
          </cell>
          <cell r="B1045">
            <v>299</v>
          </cell>
          <cell r="C1045" t="str">
            <v>SILENCIADOR PARA PLANTA N2 23</v>
          </cell>
          <cell r="D1045" t="str">
            <v>Nivel 2</v>
          </cell>
          <cell r="E1045" t="str">
            <v>Uni</v>
          </cell>
          <cell r="F1045">
            <v>912717</v>
          </cell>
          <cell r="G1045" t="str">
            <v>N2</v>
          </cell>
        </row>
        <row r="1046">
          <cell r="A1046">
            <v>8828118931</v>
          </cell>
          <cell r="B1046">
            <v>300</v>
          </cell>
          <cell r="C1046" t="str">
            <v>SOLDADURA EXOTERMICA 115 GRAMOS N2 23</v>
          </cell>
          <cell r="D1046" t="str">
            <v>Nivel 2</v>
          </cell>
          <cell r="E1046" t="str">
            <v>Uni</v>
          </cell>
          <cell r="F1046">
            <v>38859</v>
          </cell>
          <cell r="G1046" t="str">
            <v>N2</v>
          </cell>
        </row>
        <row r="1047">
          <cell r="A1047">
            <v>8828118941</v>
          </cell>
          <cell r="B1047">
            <v>301</v>
          </cell>
          <cell r="C1047" t="str">
            <v>SOLDADURA EXOTERMICA 90 GRAMOS N2 23</v>
          </cell>
          <cell r="D1047" t="str">
            <v>Nivel 2</v>
          </cell>
          <cell r="E1047" t="str">
            <v>Uni</v>
          </cell>
          <cell r="F1047">
            <v>38859</v>
          </cell>
          <cell r="G1047" t="str">
            <v>N2</v>
          </cell>
        </row>
        <row r="1048">
          <cell r="A1048">
            <v>8828118949</v>
          </cell>
          <cell r="B1048">
            <v>302</v>
          </cell>
          <cell r="C1048" t="str">
            <v>SOLENOIDE 12V (REF 1351-31480) N2 23</v>
          </cell>
          <cell r="D1048" t="str">
            <v>Nivel 2</v>
          </cell>
          <cell r="E1048" t="str">
            <v>Uni</v>
          </cell>
          <cell r="F1048">
            <v>241334</v>
          </cell>
          <cell r="G1048" t="str">
            <v>N2</v>
          </cell>
        </row>
        <row r="1049">
          <cell r="A1049">
            <v>8828118959</v>
          </cell>
          <cell r="B1049">
            <v>303</v>
          </cell>
          <cell r="C1049" t="str">
            <v>SOLENOIDE AUTOMATICO DE ARRANQUE 24 VDC CBC - 173 N2 23</v>
          </cell>
          <cell r="D1049" t="str">
            <v>Nivel 2</v>
          </cell>
          <cell r="E1049" t="str">
            <v>Uni</v>
          </cell>
          <cell r="F1049">
            <v>102544</v>
          </cell>
          <cell r="G1049" t="str">
            <v>N2</v>
          </cell>
        </row>
        <row r="1050">
          <cell r="A1050">
            <v>8828118968</v>
          </cell>
          <cell r="B1050">
            <v>304</v>
          </cell>
          <cell r="C1050" t="str">
            <v>SOLENOIDE CORTE COMBUSTIBLE 2 CONTACTOS N2 23</v>
          </cell>
          <cell r="D1050" t="str">
            <v>Nivel 2</v>
          </cell>
          <cell r="E1050" t="str">
            <v>Uni</v>
          </cell>
          <cell r="F1050">
            <v>154709</v>
          </cell>
          <cell r="G1050" t="str">
            <v>N2</v>
          </cell>
        </row>
        <row r="1051">
          <cell r="A1051">
            <v>8828118977</v>
          </cell>
          <cell r="B1051">
            <v>305</v>
          </cell>
          <cell r="C1051" t="str">
            <v>SOLENOIDE DE 12 V 2 CONTACTOS PARA BOMBA CAV N2 23</v>
          </cell>
          <cell r="D1051" t="str">
            <v>Nivel 2</v>
          </cell>
          <cell r="E1051" t="str">
            <v>Uni</v>
          </cell>
          <cell r="F1051">
            <v>154709</v>
          </cell>
          <cell r="G1051" t="str">
            <v>N2</v>
          </cell>
        </row>
        <row r="1052">
          <cell r="A1052">
            <v>8828118987</v>
          </cell>
          <cell r="B1052">
            <v>306</v>
          </cell>
          <cell r="C1052" t="str">
            <v>SOLENOIDE DE 12 VDC N2 23</v>
          </cell>
          <cell r="D1052" t="str">
            <v>Nivel 2</v>
          </cell>
          <cell r="E1052" t="str">
            <v>Uni</v>
          </cell>
          <cell r="F1052">
            <v>154709</v>
          </cell>
          <cell r="G1052" t="str">
            <v>N2</v>
          </cell>
        </row>
        <row r="1053">
          <cell r="A1053">
            <v>8828118995</v>
          </cell>
          <cell r="B1053">
            <v>307</v>
          </cell>
          <cell r="C1053" t="str">
            <v>SOLENOIDE DE 12 VOLTIOS LISTER HR3 REF:1502 N2 23</v>
          </cell>
          <cell r="D1053" t="str">
            <v>Nivel 2</v>
          </cell>
          <cell r="E1053" t="str">
            <v>Uni</v>
          </cell>
          <cell r="F1053">
            <v>256023</v>
          </cell>
          <cell r="G1053" t="str">
            <v>N2</v>
          </cell>
        </row>
        <row r="1054">
          <cell r="A1054">
            <v>8828119005</v>
          </cell>
          <cell r="B1054">
            <v>308</v>
          </cell>
          <cell r="C1054" t="str">
            <v>SOLENOIDE DE 12V HL-6 N2 23</v>
          </cell>
          <cell r="D1054" t="str">
            <v>Nivel 2</v>
          </cell>
          <cell r="E1054" t="str">
            <v>Uni</v>
          </cell>
          <cell r="F1054">
            <v>2303952</v>
          </cell>
          <cell r="G1054" t="str">
            <v>N2</v>
          </cell>
        </row>
        <row r="1055">
          <cell r="A1055">
            <v>8828119015</v>
          </cell>
          <cell r="B1055">
            <v>309</v>
          </cell>
          <cell r="C1055" t="str">
            <v>SOLENOIDE DE ARRANQUE HR3 N2 23</v>
          </cell>
          <cell r="D1055" t="str">
            <v>Nivel 2</v>
          </cell>
          <cell r="E1055" t="str">
            <v>Uni</v>
          </cell>
          <cell r="F1055">
            <v>2303952</v>
          </cell>
          <cell r="G1055" t="str">
            <v>N2</v>
          </cell>
        </row>
        <row r="1056">
          <cell r="A1056">
            <v>8828119024</v>
          </cell>
          <cell r="B1056">
            <v>310</v>
          </cell>
          <cell r="C1056" t="str">
            <v>SOLENOIDE DE COMBUSTIBLE 24 VDC PARA PLANTA ELECTRICA PERKINS N2 23</v>
          </cell>
          <cell r="D1056" t="str">
            <v>Nivel 2</v>
          </cell>
          <cell r="E1056" t="str">
            <v>Uni</v>
          </cell>
          <cell r="F1056">
            <v>2303952</v>
          </cell>
          <cell r="G1056" t="str">
            <v>N2</v>
          </cell>
        </row>
        <row r="1057">
          <cell r="A1057">
            <v>8828119034</v>
          </cell>
          <cell r="B1057">
            <v>311</v>
          </cell>
          <cell r="C1057" t="str">
            <v>SOLENOIDE DE COMBUSTIBLE DE 12 V REF: 307-2820 PLANTA CUMMINS N2 23</v>
          </cell>
          <cell r="D1057" t="str">
            <v>Nivel 2</v>
          </cell>
          <cell r="E1057" t="str">
            <v>Uni</v>
          </cell>
          <cell r="F1057">
            <v>2303952</v>
          </cell>
          <cell r="G1057" t="str">
            <v>N2</v>
          </cell>
        </row>
        <row r="1058">
          <cell r="A1058">
            <v>8828119044</v>
          </cell>
          <cell r="B1058">
            <v>312</v>
          </cell>
          <cell r="C1058" t="str">
            <v>SOLENOIDE NAVITRANS 12V REF. 1823724C91 N2 23</v>
          </cell>
          <cell r="D1058" t="str">
            <v>Nivel 2</v>
          </cell>
          <cell r="E1058" t="str">
            <v>Uni</v>
          </cell>
          <cell r="F1058">
            <v>2303952</v>
          </cell>
          <cell r="G1058" t="str">
            <v>N2</v>
          </cell>
        </row>
        <row r="1059">
          <cell r="A1059">
            <v>8828119054</v>
          </cell>
          <cell r="B1059">
            <v>313</v>
          </cell>
          <cell r="C1059" t="str">
            <v>SOLENOIDE PARA BOMBA DE INYECCION PERKINS TIPO LUCAS (CAV) N2 23</v>
          </cell>
          <cell r="D1059" t="str">
            <v>Nivel 2</v>
          </cell>
          <cell r="E1059" t="str">
            <v>Uni</v>
          </cell>
          <cell r="F1059">
            <v>239748</v>
          </cell>
          <cell r="G1059" t="str">
            <v>N2</v>
          </cell>
        </row>
        <row r="1060">
          <cell r="A1060">
            <v>8828119063</v>
          </cell>
          <cell r="B1060">
            <v>314</v>
          </cell>
          <cell r="C1060" t="str">
            <v>SOLENOIDE PARA PLANTA PERKINS 12V N2 23</v>
          </cell>
          <cell r="D1060" t="str">
            <v>Nivel 2</v>
          </cell>
          <cell r="E1060" t="str">
            <v>Uni</v>
          </cell>
          <cell r="F1060">
            <v>1835861</v>
          </cell>
          <cell r="G1060" t="str">
            <v>N2</v>
          </cell>
        </row>
        <row r="1061">
          <cell r="A1061">
            <v>8828119075</v>
          </cell>
          <cell r="B1061">
            <v>315</v>
          </cell>
          <cell r="C1061" t="str">
            <v>SOLENOIDE PARA UNA BOMB DE INYECCION TIPO LUCAS N2 23</v>
          </cell>
          <cell r="D1061" t="str">
            <v>Nivel 2</v>
          </cell>
          <cell r="E1061" t="str">
            <v>Uni</v>
          </cell>
          <cell r="F1061">
            <v>1829418</v>
          </cell>
          <cell r="G1061" t="str">
            <v>N2</v>
          </cell>
        </row>
        <row r="1062">
          <cell r="A1062">
            <v>8828119088</v>
          </cell>
          <cell r="B1062">
            <v>316</v>
          </cell>
          <cell r="C1062" t="str">
            <v>SOLENOIDE PARACOMBUSTIBLE MODELO 1502 OT12C6U1B2 N2 23</v>
          </cell>
          <cell r="D1062" t="str">
            <v>Nivel 2</v>
          </cell>
          <cell r="E1062" t="str">
            <v>Uni</v>
          </cell>
          <cell r="F1062">
            <v>565625</v>
          </cell>
          <cell r="G1062" t="str">
            <v>N2</v>
          </cell>
        </row>
        <row r="1063">
          <cell r="A1063">
            <v>8828119102</v>
          </cell>
          <cell r="B1063">
            <v>317</v>
          </cell>
          <cell r="C1063" t="str">
            <v>SOLENOIDE PERKINS MOTOR SERIE 368 MODELO 8D2754 1U91035X KVA 314 N2 23</v>
          </cell>
          <cell r="D1063" t="str">
            <v>Nivel 2</v>
          </cell>
          <cell r="E1063" t="str">
            <v>Uni</v>
          </cell>
          <cell r="F1063">
            <v>1834218</v>
          </cell>
          <cell r="G1063" t="str">
            <v>N2</v>
          </cell>
        </row>
        <row r="1064">
          <cell r="A1064">
            <v>8828119111</v>
          </cell>
          <cell r="B1064">
            <v>318</v>
          </cell>
          <cell r="C1064" t="str">
            <v>SOLENOIDE REF 186-6572 N2 23</v>
          </cell>
          <cell r="D1064" t="str">
            <v>Nivel 2</v>
          </cell>
          <cell r="E1064" t="str">
            <v>Uni</v>
          </cell>
          <cell r="F1064">
            <v>600055</v>
          </cell>
          <cell r="G1064" t="str">
            <v>N2</v>
          </cell>
        </row>
        <row r="1065">
          <cell r="A1065">
            <v>8828119121</v>
          </cell>
          <cell r="B1065">
            <v>319</v>
          </cell>
          <cell r="C1065" t="str">
            <v>SOLENOIDE REF.: 12E2U1B2 PARA LISTER HL3 N2 23</v>
          </cell>
          <cell r="D1065" t="str">
            <v>Nivel 2</v>
          </cell>
          <cell r="E1065" t="str">
            <v>Uni</v>
          </cell>
          <cell r="F1065">
            <v>740274</v>
          </cell>
          <cell r="G1065" t="str">
            <v>N2</v>
          </cell>
        </row>
        <row r="1066">
          <cell r="A1066">
            <v>8828119130</v>
          </cell>
          <cell r="B1066">
            <v>320</v>
          </cell>
          <cell r="C1066" t="str">
            <v>SOPORTES FAROS DE 100W N2 23</v>
          </cell>
          <cell r="D1066" t="str">
            <v>Nivel 2</v>
          </cell>
          <cell r="E1066" t="str">
            <v>Uni</v>
          </cell>
          <cell r="F1066">
            <v>113153</v>
          </cell>
          <cell r="G1066" t="str">
            <v>N2</v>
          </cell>
        </row>
        <row r="1067">
          <cell r="A1067">
            <v>8828119140</v>
          </cell>
          <cell r="B1067">
            <v>321</v>
          </cell>
          <cell r="C1067" t="str">
            <v>SOPORTES PARA RADIADOR N2 23</v>
          </cell>
          <cell r="D1067" t="str">
            <v>Nivel 2</v>
          </cell>
          <cell r="E1067" t="str">
            <v>Uni</v>
          </cell>
          <cell r="F1067">
            <v>9617</v>
          </cell>
          <cell r="G1067" t="str">
            <v>N2</v>
          </cell>
        </row>
        <row r="1068">
          <cell r="A1068">
            <v>8828119150</v>
          </cell>
          <cell r="B1068">
            <v>322</v>
          </cell>
          <cell r="C1068" t="str">
            <v>TABLERO 12 CIRCUITOS 120-240 N2 23</v>
          </cell>
          <cell r="D1068" t="str">
            <v>Nivel 2</v>
          </cell>
          <cell r="E1068" t="str">
            <v>Uni</v>
          </cell>
          <cell r="F1068">
            <v>221422</v>
          </cell>
          <cell r="G1068" t="str">
            <v>N2</v>
          </cell>
        </row>
        <row r="1069">
          <cell r="A1069">
            <v>8828119160</v>
          </cell>
          <cell r="B1069">
            <v>323</v>
          </cell>
          <cell r="C1069" t="str">
            <v>TABLERO 12 CIRCUITOS 120-240V/100A N2 23</v>
          </cell>
          <cell r="D1069" t="str">
            <v>Nivel 2</v>
          </cell>
          <cell r="E1069" t="str">
            <v>Uni</v>
          </cell>
          <cell r="F1069">
            <v>255676</v>
          </cell>
          <cell r="G1069" t="str">
            <v>N2</v>
          </cell>
        </row>
        <row r="1070">
          <cell r="A1070">
            <v>8828119170</v>
          </cell>
          <cell r="B1070">
            <v>324</v>
          </cell>
          <cell r="C1070" t="str">
            <v>TABLERO 2 CIRCUITOS N2 23</v>
          </cell>
          <cell r="D1070" t="str">
            <v>Nivel 2</v>
          </cell>
          <cell r="E1070" t="str">
            <v>Uni</v>
          </cell>
          <cell r="F1070">
            <v>92773</v>
          </cell>
          <cell r="G1070" t="str">
            <v>N2</v>
          </cell>
        </row>
        <row r="1071">
          <cell r="A1071">
            <v>8828119179</v>
          </cell>
          <cell r="B1071">
            <v>325</v>
          </cell>
          <cell r="C1071" t="str">
            <v>TABLERO 2 CIRCUITOS TIPO INTERPERIE N2 23</v>
          </cell>
          <cell r="D1071" t="str">
            <v>Nivel 2</v>
          </cell>
          <cell r="E1071" t="str">
            <v>Uni</v>
          </cell>
          <cell r="F1071">
            <v>133683</v>
          </cell>
          <cell r="G1071" t="str">
            <v>N2</v>
          </cell>
        </row>
        <row r="1072">
          <cell r="A1072">
            <v>8828119188</v>
          </cell>
          <cell r="B1072">
            <v>326</v>
          </cell>
          <cell r="C1072" t="str">
            <v>TABLERO 20X15X7 CM N2 23</v>
          </cell>
          <cell r="D1072" t="str">
            <v>Nivel 2</v>
          </cell>
          <cell r="E1072" t="str">
            <v>Uni</v>
          </cell>
          <cell r="F1072">
            <v>238741</v>
          </cell>
          <cell r="G1072" t="str">
            <v>N2</v>
          </cell>
        </row>
        <row r="1073">
          <cell r="A1073">
            <v>8828119198</v>
          </cell>
          <cell r="B1073">
            <v>327</v>
          </cell>
          <cell r="C1073" t="str">
            <v>TABLERO 20X20X15 N2 23</v>
          </cell>
          <cell r="D1073" t="str">
            <v>Nivel 2</v>
          </cell>
          <cell r="E1073" t="str">
            <v>Uni</v>
          </cell>
          <cell r="F1073">
            <v>238741</v>
          </cell>
          <cell r="G1073" t="str">
            <v>N2</v>
          </cell>
        </row>
        <row r="1074">
          <cell r="A1074">
            <v>8828119208</v>
          </cell>
          <cell r="B1074">
            <v>328</v>
          </cell>
          <cell r="C1074" t="str">
            <v>TABLERO 3 CIRCUITOS N2 23</v>
          </cell>
          <cell r="D1074" t="str">
            <v>Nivel 2</v>
          </cell>
          <cell r="E1074" t="str">
            <v>Uni</v>
          </cell>
          <cell r="F1074">
            <v>136889</v>
          </cell>
          <cell r="G1074" t="str">
            <v>N2</v>
          </cell>
        </row>
        <row r="1075">
          <cell r="A1075">
            <v>8828119945</v>
          </cell>
          <cell r="B1075">
            <v>329</v>
          </cell>
          <cell r="C1075" t="str">
            <v>TABLERO 30X30 N2 23</v>
          </cell>
          <cell r="D1075" t="str">
            <v>Nivel 2</v>
          </cell>
          <cell r="E1075" t="str">
            <v>Uni</v>
          </cell>
          <cell r="F1075">
            <v>238741</v>
          </cell>
          <cell r="G1075" t="str">
            <v>N2</v>
          </cell>
        </row>
        <row r="1076">
          <cell r="A1076">
            <v>8828119955</v>
          </cell>
          <cell r="B1076">
            <v>330</v>
          </cell>
          <cell r="C1076" t="str">
            <v>TABLERO 4 CIRCUITOS 120-240V/100A N2 23</v>
          </cell>
          <cell r="D1076" t="str">
            <v>Nivel 2</v>
          </cell>
          <cell r="E1076" t="str">
            <v>Uni</v>
          </cell>
          <cell r="F1076">
            <v>238741</v>
          </cell>
          <cell r="G1076" t="str">
            <v>N2</v>
          </cell>
        </row>
        <row r="1077">
          <cell r="A1077">
            <v>8828119964</v>
          </cell>
          <cell r="B1077">
            <v>331</v>
          </cell>
          <cell r="C1077" t="str">
            <v>TABLERO 4 CIRCUITOS PARA RIEL OMEGA CON BARAJE DE NEUTRO Y TIERRA N2 23</v>
          </cell>
          <cell r="D1077" t="str">
            <v>Nivel 2</v>
          </cell>
          <cell r="E1077" t="str">
            <v>Uni</v>
          </cell>
          <cell r="F1077">
            <v>238741</v>
          </cell>
          <cell r="G1077" t="str">
            <v>N2</v>
          </cell>
        </row>
        <row r="1078">
          <cell r="A1078">
            <v>8828119973</v>
          </cell>
          <cell r="B1078">
            <v>332</v>
          </cell>
          <cell r="C1078" t="str">
            <v>TABLERO 4 CTOS INTEMPERIE SOBREPONER N2 23</v>
          </cell>
          <cell r="D1078" t="str">
            <v>Nivel 2</v>
          </cell>
          <cell r="E1078" t="str">
            <v>Uni</v>
          </cell>
          <cell r="F1078">
            <v>252622</v>
          </cell>
          <cell r="G1078" t="str">
            <v>N2</v>
          </cell>
        </row>
        <row r="1079">
          <cell r="A1079">
            <v>8828119983</v>
          </cell>
          <cell r="B1079">
            <v>333</v>
          </cell>
          <cell r="C1079" t="str">
            <v>TABLERO 4" X 2" CALIBRE 20 N2 23</v>
          </cell>
          <cell r="D1079" t="str">
            <v>Nivel 2</v>
          </cell>
          <cell r="E1079" t="str">
            <v>Uni</v>
          </cell>
          <cell r="F1079">
            <v>238741</v>
          </cell>
          <cell r="G1079" t="str">
            <v>N2</v>
          </cell>
        </row>
        <row r="1080">
          <cell r="A1080">
            <v>8828119992</v>
          </cell>
          <cell r="B1080">
            <v>334</v>
          </cell>
          <cell r="C1080" t="str">
            <v>TABLERO 6 CIRCUITOS 120-240V/100A N2 23</v>
          </cell>
          <cell r="D1080" t="str">
            <v>Nivel 2</v>
          </cell>
          <cell r="E1080" t="str">
            <v>Uni</v>
          </cell>
          <cell r="F1080">
            <v>238741</v>
          </cell>
          <cell r="G1080" t="str">
            <v>N2</v>
          </cell>
        </row>
        <row r="1081">
          <cell r="A1081">
            <v>8828120000</v>
          </cell>
          <cell r="B1081">
            <v>335</v>
          </cell>
          <cell r="C1081" t="str">
            <v>TABLERO 8 CIRCUITOS 120-240V/100A N2 23</v>
          </cell>
          <cell r="D1081" t="str">
            <v>Nivel 2</v>
          </cell>
          <cell r="E1081" t="str">
            <v>Uni</v>
          </cell>
          <cell r="F1081">
            <v>161515</v>
          </cell>
          <cell r="G1081" t="str">
            <v>N2</v>
          </cell>
        </row>
        <row r="1082">
          <cell r="A1082">
            <v>8828120010</v>
          </cell>
          <cell r="B1082">
            <v>336</v>
          </cell>
          <cell r="C1082" t="str">
            <v>TABLERO 9 CIRCUITOS 120-240V/100A N2 23</v>
          </cell>
          <cell r="D1082" t="str">
            <v>Nivel 2</v>
          </cell>
          <cell r="E1082" t="str">
            <v>Uni</v>
          </cell>
          <cell r="F1082">
            <v>67190</v>
          </cell>
          <cell r="G1082" t="str">
            <v>N2</v>
          </cell>
        </row>
        <row r="1083">
          <cell r="A1083">
            <v>8828120020</v>
          </cell>
          <cell r="B1083">
            <v>337</v>
          </cell>
          <cell r="C1083" t="str">
            <v>TABLERO CON LLAVE Y PUERTA N2 23</v>
          </cell>
          <cell r="D1083" t="str">
            <v>Nivel 2</v>
          </cell>
          <cell r="E1083" t="str">
            <v>Uni</v>
          </cell>
          <cell r="F1083">
            <v>688001</v>
          </cell>
          <cell r="G1083" t="str">
            <v>N2</v>
          </cell>
        </row>
        <row r="1084">
          <cell r="A1084">
            <v>8828120029</v>
          </cell>
          <cell r="B1084">
            <v>338</v>
          </cell>
          <cell r="C1084" t="str">
            <v>TABLERO DC 300 AMP DOBLE FUENTE 80 CIRCUITOS N2 23</v>
          </cell>
          <cell r="D1084" t="str">
            <v>Nivel 2</v>
          </cell>
          <cell r="E1084" t="str">
            <v>Uni</v>
          </cell>
          <cell r="F1084">
            <v>999168</v>
          </cell>
          <cell r="G1084" t="str">
            <v>N2</v>
          </cell>
        </row>
        <row r="1085">
          <cell r="A1085">
            <v>8828120038</v>
          </cell>
          <cell r="B1085">
            <v>339</v>
          </cell>
          <cell r="C1085" t="str">
            <v>TABLERO DC 600AMP DOBLE FUENTE 80 CIRCUITOS N2 23</v>
          </cell>
          <cell r="D1085" t="str">
            <v>Nivel 2</v>
          </cell>
          <cell r="E1085" t="str">
            <v>Uni</v>
          </cell>
          <cell r="F1085">
            <v>1998338</v>
          </cell>
          <cell r="G1085" t="str">
            <v>N2</v>
          </cell>
        </row>
        <row r="1086">
          <cell r="A1086">
            <v>8828120045</v>
          </cell>
          <cell r="B1086">
            <v>340</v>
          </cell>
          <cell r="C1086" t="str">
            <v>TABLERO DC 60CMX60CMX25CM N2 23</v>
          </cell>
          <cell r="D1086" t="str">
            <v>Nivel 2</v>
          </cell>
          <cell r="E1086" t="str">
            <v>Uni</v>
          </cell>
          <cell r="F1086">
            <v>333091</v>
          </cell>
          <cell r="G1086" t="str">
            <v>N2</v>
          </cell>
        </row>
        <row r="1087">
          <cell r="A1087">
            <v>8828120054</v>
          </cell>
          <cell r="B1087">
            <v>341</v>
          </cell>
          <cell r="C1087" t="str">
            <v>TABLERO DC PARA 12 CIRCUITOS N2 23</v>
          </cell>
          <cell r="D1087" t="str">
            <v>Nivel 2</v>
          </cell>
          <cell r="E1087" t="str">
            <v>Uni</v>
          </cell>
          <cell r="F1087">
            <v>286538</v>
          </cell>
          <cell r="G1087" t="str">
            <v>N2</v>
          </cell>
        </row>
        <row r="1088">
          <cell r="A1088">
            <v>8828120062</v>
          </cell>
          <cell r="B1088">
            <v>342</v>
          </cell>
          <cell r="C1088" t="str">
            <v>TABLERO DE 18 CIRCUITOS TRIFASICO CON NEUTRO Y ESPACIO PARA TOTALIZADOR N2 23</v>
          </cell>
          <cell r="D1088" t="str">
            <v>Nivel 2</v>
          </cell>
          <cell r="E1088" t="str">
            <v>Uni</v>
          </cell>
          <cell r="F1088">
            <v>495681</v>
          </cell>
          <cell r="G1088" t="str">
            <v>N2</v>
          </cell>
        </row>
        <row r="1089">
          <cell r="A1089">
            <v>8828120071</v>
          </cell>
          <cell r="B1089">
            <v>343</v>
          </cell>
          <cell r="C1089" t="str">
            <v>TABLERO DE 24 CIRCUITOS 250V CON ESPACIO PARA TOTALIZADOR N2 23</v>
          </cell>
          <cell r="D1089" t="str">
            <v>Nivel 2</v>
          </cell>
          <cell r="E1089" t="str">
            <v>Uni</v>
          </cell>
          <cell r="F1089">
            <v>463716</v>
          </cell>
          <cell r="G1089" t="str">
            <v>N2</v>
          </cell>
        </row>
        <row r="1090">
          <cell r="A1090">
            <v>8828120078</v>
          </cell>
          <cell r="B1090">
            <v>344</v>
          </cell>
          <cell r="C1090" t="str">
            <v>TABLERO DE 600X400X300 CON MONTAJE DE BARRAS RIEL DIN Y CANALETA N2 23</v>
          </cell>
          <cell r="D1090" t="str">
            <v>Nivel 2</v>
          </cell>
          <cell r="E1090" t="str">
            <v>Uni</v>
          </cell>
          <cell r="F1090">
            <v>661540</v>
          </cell>
          <cell r="G1090" t="str">
            <v>N2</v>
          </cell>
        </row>
        <row r="1091">
          <cell r="A1091">
            <v>8828120087</v>
          </cell>
          <cell r="B1091">
            <v>345</v>
          </cell>
          <cell r="C1091" t="str">
            <v>TABLERO DE DIMENSIONES 800*800*400 N2 23</v>
          </cell>
          <cell r="D1091" t="str">
            <v>Nivel 2</v>
          </cell>
          <cell r="E1091" t="str">
            <v>Uni</v>
          </cell>
          <cell r="F1091">
            <v>1475801</v>
          </cell>
          <cell r="G1091" t="str">
            <v>N2</v>
          </cell>
        </row>
        <row r="1092">
          <cell r="A1092">
            <v>8828120096</v>
          </cell>
          <cell r="B1092">
            <v>346</v>
          </cell>
          <cell r="C1092" t="str">
            <v>TABLERO DE DISTRIBUCION DC 60X60 CMS 16 CIRCUITOS CON BARRAJES POSITIVO NEGATIVO TIERRA Y RIEL N2 23</v>
          </cell>
          <cell r="D1092" t="str">
            <v>Nivel 2</v>
          </cell>
          <cell r="E1092" t="str">
            <v>Uni</v>
          </cell>
          <cell r="F1092">
            <v>661540</v>
          </cell>
          <cell r="G1092" t="str">
            <v>N2</v>
          </cell>
        </row>
        <row r="1093">
          <cell r="A1093">
            <v>8828120109</v>
          </cell>
          <cell r="B1093">
            <v>347</v>
          </cell>
          <cell r="C1093" t="str">
            <v>TABLERO DOBLE FONDO 1000X800X300mm N2 23</v>
          </cell>
          <cell r="D1093" t="str">
            <v>Nivel 2</v>
          </cell>
          <cell r="E1093" t="str">
            <v>Uni</v>
          </cell>
          <cell r="F1093">
            <v>688001</v>
          </cell>
          <cell r="G1093" t="str">
            <v>N2</v>
          </cell>
        </row>
        <row r="1094">
          <cell r="A1094">
            <v>8828120120</v>
          </cell>
          <cell r="B1094">
            <v>348</v>
          </cell>
          <cell r="C1094" t="str">
            <v>TABLERO ELECTRICA 6 CIRCUITOS ENCUFABLE MONOFASICA N2 23</v>
          </cell>
          <cell r="D1094" t="str">
            <v>Nivel 2</v>
          </cell>
          <cell r="E1094" t="str">
            <v>Uni</v>
          </cell>
          <cell r="F1094">
            <v>1475801</v>
          </cell>
          <cell r="G1094" t="str">
            <v>N2</v>
          </cell>
        </row>
        <row r="1095">
          <cell r="A1095">
            <v>8828120129</v>
          </cell>
          <cell r="B1095">
            <v>349</v>
          </cell>
          <cell r="C1095" t="str">
            <v>TABLERO GENERAL DE DISTRIBUCION MEDIDAS 100X210X40cm N2 23</v>
          </cell>
          <cell r="D1095" t="str">
            <v>Nivel 2</v>
          </cell>
          <cell r="E1095" t="str">
            <v>Uni</v>
          </cell>
          <cell r="F1095">
            <v>688001</v>
          </cell>
          <cell r="G1095" t="str">
            <v>N2</v>
          </cell>
        </row>
        <row r="1096">
          <cell r="A1096">
            <v>8828120135</v>
          </cell>
          <cell r="B1096">
            <v>350</v>
          </cell>
          <cell r="C1096" t="str">
            <v>TABLERO METALICO 40X30X20 N2 23</v>
          </cell>
          <cell r="D1096" t="str">
            <v>Nivel 2</v>
          </cell>
          <cell r="E1096" t="str">
            <v>Uni</v>
          </cell>
          <cell r="F1096">
            <v>688001</v>
          </cell>
          <cell r="G1096" t="str">
            <v>N2</v>
          </cell>
        </row>
        <row r="1097">
          <cell r="A1097">
            <v>8828120144</v>
          </cell>
          <cell r="B1097">
            <v>351</v>
          </cell>
          <cell r="C1097" t="str">
            <v>TABLERO METALICO 900*700*300 REF: DE1GC864 CON PUERTA Y LLAVE N2 23</v>
          </cell>
          <cell r="D1097" t="str">
            <v>Nivel 2</v>
          </cell>
          <cell r="E1097" t="str">
            <v>Uni</v>
          </cell>
          <cell r="F1097">
            <v>688001</v>
          </cell>
          <cell r="G1097" t="str">
            <v>N2</v>
          </cell>
        </row>
        <row r="1098">
          <cell r="A1098">
            <v>8828120153</v>
          </cell>
          <cell r="B1098">
            <v>352</v>
          </cell>
          <cell r="C1098" t="str">
            <v>TABLERO METALICO DE 40*30*20 CON 3 TREBARRAJES DE COBRE DE 30CM CON 6 AISLADORES Y TROMO DE RIEL ONEGA DE 30CM N2 23</v>
          </cell>
          <cell r="D1098" t="str">
            <v>Nivel 2</v>
          </cell>
          <cell r="E1098" t="str">
            <v>Uni</v>
          </cell>
          <cell r="F1098">
            <v>283030</v>
          </cell>
          <cell r="G1098" t="str">
            <v>N2</v>
          </cell>
        </row>
        <row r="1099">
          <cell r="A1099">
            <v>8828120162</v>
          </cell>
          <cell r="B1099">
            <v>353</v>
          </cell>
          <cell r="C1099" t="str">
            <v>TABLERO METALICO DE 40*30*20 CON 4 TREBARRAJES DE COBRE DE 30CM CON 8 AISLADORES Y TROMO DE RIEL ONEGA DE 30CM N2 23</v>
          </cell>
          <cell r="D1099" t="str">
            <v>Nivel 2</v>
          </cell>
          <cell r="E1099" t="str">
            <v>Uni</v>
          </cell>
          <cell r="F1099">
            <v>659886</v>
          </cell>
          <cell r="G1099" t="str">
            <v>N2</v>
          </cell>
        </row>
        <row r="1100">
          <cell r="A1100">
            <v>8828120175</v>
          </cell>
          <cell r="B1100">
            <v>354</v>
          </cell>
          <cell r="C1100" t="str">
            <v>TABLERO METALICO DE 800X600X300MM C/BANDEJA N2 23</v>
          </cell>
          <cell r="D1100" t="str">
            <v>Nivel 2</v>
          </cell>
          <cell r="E1100" t="str">
            <v>Uni</v>
          </cell>
          <cell r="F1100">
            <v>688001</v>
          </cell>
          <cell r="G1100" t="str">
            <v>N2</v>
          </cell>
        </row>
        <row r="1101">
          <cell r="A1101">
            <v>8828120184</v>
          </cell>
          <cell r="B1101">
            <v>355</v>
          </cell>
          <cell r="C1101" t="str">
            <v>TABLERO PARA 6 CIRCUITOS ENCHUFABLE N2 23</v>
          </cell>
          <cell r="D1101" t="str">
            <v>Nivel 2</v>
          </cell>
          <cell r="E1101" t="str">
            <v>Uni</v>
          </cell>
          <cell r="F1101">
            <v>153227</v>
          </cell>
          <cell r="G1101" t="str">
            <v>N2</v>
          </cell>
        </row>
        <row r="1102">
          <cell r="A1102">
            <v>8828120193</v>
          </cell>
          <cell r="B1102">
            <v>356</v>
          </cell>
          <cell r="C1102" t="str">
            <v>TABLERO PDB DE 18 CIRCUITOS N2 23</v>
          </cell>
          <cell r="D1102" t="str">
            <v>Nivel 2</v>
          </cell>
          <cell r="E1102" t="str">
            <v>Uni</v>
          </cell>
          <cell r="F1102">
            <v>357569</v>
          </cell>
          <cell r="G1102" t="str">
            <v>N2</v>
          </cell>
        </row>
        <row r="1103">
          <cell r="A1103">
            <v>8828120202</v>
          </cell>
          <cell r="B1103">
            <v>357</v>
          </cell>
          <cell r="C1103" t="str">
            <v>TABLERO PUERTA LLAVE 12 CIRCUITOS TRIFASICO N2 23</v>
          </cell>
          <cell r="D1103" t="str">
            <v>Nivel 2</v>
          </cell>
          <cell r="E1103" t="str">
            <v>Uni</v>
          </cell>
          <cell r="F1103">
            <v>546224</v>
          </cell>
          <cell r="G1103" t="str">
            <v>N2</v>
          </cell>
        </row>
        <row r="1104">
          <cell r="A1104">
            <v>8828120211</v>
          </cell>
          <cell r="B1104">
            <v>358</v>
          </cell>
          <cell r="C1104" t="str">
            <v>TABLERO TRIFASICO CON TOTALIZADOR DE 100A PARA 18 CIRCUITOS N2 23</v>
          </cell>
          <cell r="D1104" t="str">
            <v>Nivel 2</v>
          </cell>
          <cell r="E1104" t="str">
            <v>Uni</v>
          </cell>
          <cell r="F1104">
            <v>342725</v>
          </cell>
          <cell r="G1104" t="str">
            <v>N2</v>
          </cell>
        </row>
        <row r="1105">
          <cell r="A1105">
            <v>8828120220</v>
          </cell>
          <cell r="B1105">
            <v>359</v>
          </cell>
          <cell r="C1105" t="str">
            <v>TABLERO TRIFASICO DE 18 CIRCUITOS N2 23</v>
          </cell>
          <cell r="D1105" t="str">
            <v>Nivel 2</v>
          </cell>
          <cell r="E1105" t="str">
            <v>Uni</v>
          </cell>
          <cell r="F1105">
            <v>342725</v>
          </cell>
          <cell r="G1105" t="str">
            <v>N2</v>
          </cell>
        </row>
        <row r="1106">
          <cell r="A1106">
            <v>8828120229</v>
          </cell>
          <cell r="B1106">
            <v>360</v>
          </cell>
          <cell r="C1106" t="str">
            <v>TANQUE METALICO DE 100 Galones con Mirilla N2 23</v>
          </cell>
          <cell r="D1106" t="str">
            <v>Nivel 2</v>
          </cell>
          <cell r="E1106" t="str">
            <v>Uni</v>
          </cell>
          <cell r="F1106">
            <v>1240252</v>
          </cell>
          <cell r="G1106" t="str">
            <v>N2</v>
          </cell>
        </row>
        <row r="1107">
          <cell r="A1107">
            <v>8828120237</v>
          </cell>
          <cell r="B1107">
            <v>361</v>
          </cell>
          <cell r="C1107" t="str">
            <v>TANQUE METALICO DE 200 Galones con Mirilla N2 23</v>
          </cell>
          <cell r="D1107" t="str">
            <v>Nivel 2</v>
          </cell>
          <cell r="E1107" t="str">
            <v>Uni</v>
          </cell>
          <cell r="F1107">
            <v>1563796</v>
          </cell>
          <cell r="G1107" t="str">
            <v>N2</v>
          </cell>
        </row>
        <row r="1108">
          <cell r="A1108">
            <v>8828120244</v>
          </cell>
          <cell r="B1108">
            <v>362</v>
          </cell>
          <cell r="C1108" t="str">
            <v>TANQUE METALICO DE 300 Galones con Mirilla N2 23</v>
          </cell>
          <cell r="D1108" t="str">
            <v>Nivel 2</v>
          </cell>
          <cell r="E1108" t="str">
            <v>Uni</v>
          </cell>
          <cell r="F1108">
            <v>1887340</v>
          </cell>
          <cell r="G1108" t="str">
            <v>N2</v>
          </cell>
        </row>
        <row r="1109">
          <cell r="A1109">
            <v>8828120250</v>
          </cell>
          <cell r="B1109">
            <v>363</v>
          </cell>
          <cell r="C1109" t="str">
            <v>TANQUE PLASTICO 500 LITROS N2 23</v>
          </cell>
          <cell r="D1109" t="str">
            <v>Nivel 2</v>
          </cell>
          <cell r="E1109" t="str">
            <v>Uni</v>
          </cell>
          <cell r="F1109">
            <v>303152</v>
          </cell>
          <cell r="G1109" t="str">
            <v>N2</v>
          </cell>
        </row>
        <row r="1110">
          <cell r="A1110">
            <v>8828120256</v>
          </cell>
          <cell r="B1110">
            <v>364</v>
          </cell>
          <cell r="C1110" t="str">
            <v>TANQUE PLASTICO DE 1000 LITROS N2 23</v>
          </cell>
          <cell r="D1110" t="str">
            <v>Nivel 2</v>
          </cell>
          <cell r="E1110" t="str">
            <v>Uni</v>
          </cell>
          <cell r="F1110">
            <v>319892</v>
          </cell>
          <cell r="G1110" t="str">
            <v>N2</v>
          </cell>
        </row>
        <row r="1111">
          <cell r="A1111">
            <v>8828120261</v>
          </cell>
          <cell r="B1111">
            <v>365</v>
          </cell>
          <cell r="C1111" t="str">
            <v>TANQUE PLASTICO DE 55 GLS N2 23</v>
          </cell>
          <cell r="D1111" t="str">
            <v>Nivel 2</v>
          </cell>
          <cell r="E1111" t="str">
            <v>Uni</v>
          </cell>
          <cell r="F1111">
            <v>275681</v>
          </cell>
          <cell r="G1111" t="str">
            <v>N2</v>
          </cell>
        </row>
        <row r="1112">
          <cell r="A1112">
            <v>8828120267</v>
          </cell>
          <cell r="B1112">
            <v>366</v>
          </cell>
          <cell r="C1112" t="str">
            <v>TAPA DE LLENADO DE TANQUE DE 2" N2 23</v>
          </cell>
          <cell r="D1112" t="str">
            <v>Nivel 2</v>
          </cell>
          <cell r="E1112" t="str">
            <v>Uni</v>
          </cell>
          <cell r="F1112">
            <v>38208</v>
          </cell>
          <cell r="G1112" t="str">
            <v>N2</v>
          </cell>
        </row>
        <row r="1113">
          <cell r="A1113">
            <v>8828120272</v>
          </cell>
          <cell r="B1113">
            <v>367</v>
          </cell>
          <cell r="C1113" t="str">
            <v>TAPA DE SEGURIDAD N2 23</v>
          </cell>
          <cell r="D1113" t="str">
            <v>Nivel 2</v>
          </cell>
          <cell r="E1113" t="str">
            <v>Uni</v>
          </cell>
          <cell r="F1113">
            <v>5972</v>
          </cell>
          <cell r="G1113" t="str">
            <v>N2</v>
          </cell>
        </row>
        <row r="1114">
          <cell r="A1114">
            <v>8828120276</v>
          </cell>
          <cell r="B1114">
            <v>368</v>
          </cell>
          <cell r="C1114" t="str">
            <v>TAPA PLASTICA PARA TOMA DOBLE N2 23</v>
          </cell>
          <cell r="D1114" t="str">
            <v>Nivel 2</v>
          </cell>
          <cell r="E1114" t="str">
            <v>Uni</v>
          </cell>
          <cell r="F1114">
            <v>362</v>
          </cell>
          <cell r="G1114" t="str">
            <v>N2</v>
          </cell>
        </row>
        <row r="1115">
          <cell r="A1115">
            <v>8828119220</v>
          </cell>
          <cell r="B1115">
            <v>369</v>
          </cell>
          <cell r="C1115" t="str">
            <v>TARJETA CONTROL DE TRANSFERENCIA MARCA ARTO N2 23</v>
          </cell>
          <cell r="D1115" t="str">
            <v>Nivel 2</v>
          </cell>
          <cell r="E1115" t="str">
            <v>Uni</v>
          </cell>
          <cell r="F1115">
            <v>1017175</v>
          </cell>
          <cell r="G1115" t="str">
            <v>N2</v>
          </cell>
        </row>
        <row r="1116">
          <cell r="A1116">
            <v>8828119230</v>
          </cell>
          <cell r="B1116">
            <v>370</v>
          </cell>
          <cell r="C1116" t="str">
            <v>TARJETA DE ARRANQUE Y DE PARADA DE 24V DC PARA TABLERO DETECTOR N2 23</v>
          </cell>
          <cell r="D1116" t="str">
            <v>Nivel 2</v>
          </cell>
          <cell r="E1116" t="str">
            <v>Uni</v>
          </cell>
          <cell r="F1116">
            <v>4646073</v>
          </cell>
          <cell r="G1116" t="str">
            <v>N2</v>
          </cell>
        </row>
        <row r="1117">
          <cell r="A1117">
            <v>8828119238</v>
          </cell>
          <cell r="B1117">
            <v>371</v>
          </cell>
          <cell r="C1117" t="str">
            <v>TARJETA DE CONTROL AP12 GND CON PROTECCIONES ATIERRA N2 23</v>
          </cell>
          <cell r="D1117" t="str">
            <v>Nivel 2</v>
          </cell>
          <cell r="E1117" t="str">
            <v>Uni</v>
          </cell>
          <cell r="F1117">
            <v>4646073</v>
          </cell>
          <cell r="G1117" t="str">
            <v>N2</v>
          </cell>
        </row>
        <row r="1118">
          <cell r="A1118">
            <v>8828119247</v>
          </cell>
          <cell r="B1118">
            <v>372</v>
          </cell>
          <cell r="C1118" t="str">
            <v>Tarjeta de control de Transferencia Marca ARTO N2 23</v>
          </cell>
          <cell r="D1118" t="str">
            <v>Nivel 2</v>
          </cell>
          <cell r="E1118" t="str">
            <v>GL</v>
          </cell>
          <cell r="F1118">
            <v>930765</v>
          </cell>
          <cell r="G1118" t="str">
            <v>N2</v>
          </cell>
        </row>
        <row r="1119">
          <cell r="A1119">
            <v>8828120280</v>
          </cell>
          <cell r="B1119">
            <v>373</v>
          </cell>
          <cell r="C1119" t="str">
            <v>TARJETA DEEP SEA E - 5220 - 003 -04 N2 23</v>
          </cell>
          <cell r="D1119" t="str">
            <v>Nivel 2</v>
          </cell>
          <cell r="E1119" t="str">
            <v>Uni</v>
          </cell>
          <cell r="F1119">
            <v>4646073</v>
          </cell>
          <cell r="G1119" t="str">
            <v>N2</v>
          </cell>
        </row>
        <row r="1120">
          <cell r="A1120">
            <v>8828120284</v>
          </cell>
          <cell r="B1120">
            <v>374</v>
          </cell>
          <cell r="C1120" t="str">
            <v>TARJETA DEEP SEA E - 7320 N2 23</v>
          </cell>
          <cell r="D1120" t="str">
            <v>Nivel 2</v>
          </cell>
          <cell r="E1120" t="str">
            <v>Uni</v>
          </cell>
          <cell r="F1120">
            <v>3442500</v>
          </cell>
          <cell r="G1120" t="str">
            <v>N2</v>
          </cell>
        </row>
        <row r="1121">
          <cell r="A1121">
            <v>8828120287</v>
          </cell>
          <cell r="B1121">
            <v>375</v>
          </cell>
          <cell r="C1121" t="str">
            <v>Tarjeta Reguladora SX 460 o Tarjeta Gobernadora AVR N2 23</v>
          </cell>
          <cell r="D1121" t="str">
            <v>Nivel 2</v>
          </cell>
          <cell r="E1121" t="str">
            <v>GL</v>
          </cell>
          <cell r="F1121">
            <v>1086491</v>
          </cell>
          <cell r="G1121" t="str">
            <v>N2</v>
          </cell>
        </row>
        <row r="1122">
          <cell r="A1122">
            <v>8828120290</v>
          </cell>
          <cell r="B1122">
            <v>376</v>
          </cell>
          <cell r="C1122" t="str">
            <v>TRANSFERENCIA AUTOMATICA 20 KVA con Modulo de Control y protecciones N2 23</v>
          </cell>
          <cell r="D1122" t="str">
            <v>Nivel 2</v>
          </cell>
          <cell r="E1122" t="str">
            <v>Uni</v>
          </cell>
          <cell r="F1122">
            <v>4303975</v>
          </cell>
          <cell r="G1122" t="str">
            <v>N2</v>
          </cell>
        </row>
        <row r="1123">
          <cell r="A1123">
            <v>8828119256</v>
          </cell>
          <cell r="B1123">
            <v>377</v>
          </cell>
          <cell r="C1123" t="str">
            <v>Transferencia por Contactores con sistema de control ARTO N2 23</v>
          </cell>
          <cell r="D1123" t="str">
            <v>Nivel 2</v>
          </cell>
          <cell r="E1123" t="str">
            <v>GL</v>
          </cell>
          <cell r="F1123">
            <v>7103215</v>
          </cell>
          <cell r="G1123" t="str">
            <v>N2</v>
          </cell>
        </row>
        <row r="1124">
          <cell r="A1124">
            <v>8828119264</v>
          </cell>
          <cell r="B1124">
            <v>378</v>
          </cell>
          <cell r="C1124" t="str">
            <v>TRANSFORMADOR 10 KVA BIFASICO 13.2KV / 220 V N2 23</v>
          </cell>
          <cell r="D1124" t="str">
            <v>Nivel 2</v>
          </cell>
          <cell r="E1124" t="str">
            <v>Uni</v>
          </cell>
          <cell r="F1124">
            <v>4767149</v>
          </cell>
          <cell r="G1124" t="str">
            <v>N2</v>
          </cell>
        </row>
        <row r="1125">
          <cell r="A1125">
            <v>8828119270</v>
          </cell>
          <cell r="B1125">
            <v>379</v>
          </cell>
          <cell r="C1125" t="str">
            <v>TRANSFORMADOR 10 KVA TRIFASICO 13.2KV / 220 V N2 23</v>
          </cell>
          <cell r="D1125" t="str">
            <v>Nivel 2</v>
          </cell>
          <cell r="E1125" t="str">
            <v>Uni</v>
          </cell>
          <cell r="F1125">
            <v>4767149</v>
          </cell>
          <cell r="G1125" t="str">
            <v>N2</v>
          </cell>
        </row>
        <row r="1126">
          <cell r="A1126">
            <v>8828119287</v>
          </cell>
          <cell r="B1126">
            <v>380</v>
          </cell>
          <cell r="C1126" t="str">
            <v>TRANSFORMADOR 15KVA BIFASICO 13.2KV / 220-120V N2 23</v>
          </cell>
          <cell r="D1126" t="str">
            <v>Nivel 2</v>
          </cell>
          <cell r="E1126" t="str">
            <v>Uni</v>
          </cell>
          <cell r="F1126">
            <v>3966268</v>
          </cell>
          <cell r="G1126" t="str">
            <v>N2</v>
          </cell>
        </row>
        <row r="1127">
          <cell r="A1127">
            <v>8828119294</v>
          </cell>
          <cell r="B1127">
            <v>381</v>
          </cell>
          <cell r="C1127" t="str">
            <v>TRANSFORMADOR 15KVA MONOFASICO 13.2KV / 220-120V N2 23</v>
          </cell>
          <cell r="D1127" t="str">
            <v>Nivel 2</v>
          </cell>
          <cell r="E1127" t="str">
            <v>Uni</v>
          </cell>
          <cell r="F1127">
            <v>3173014</v>
          </cell>
          <cell r="G1127" t="str">
            <v>N2</v>
          </cell>
        </row>
        <row r="1128">
          <cell r="A1128">
            <v>8828119299</v>
          </cell>
          <cell r="B1128">
            <v>382</v>
          </cell>
          <cell r="C1128" t="str">
            <v>TRANSFORMADOR 15KVA TRIFASICO 13.2KV / 220-120V N2 23</v>
          </cell>
          <cell r="D1128" t="str">
            <v>Nivel 2</v>
          </cell>
          <cell r="E1128" t="str">
            <v>Uni</v>
          </cell>
          <cell r="F1128">
            <v>3966268</v>
          </cell>
          <cell r="G1128" t="str">
            <v>N2</v>
          </cell>
        </row>
        <row r="1129">
          <cell r="A1129">
            <v>8828119308</v>
          </cell>
          <cell r="B1129">
            <v>383</v>
          </cell>
          <cell r="C1129" t="str">
            <v>TRANSFORMADOR CONTROL 220 V N2 23</v>
          </cell>
          <cell r="D1129" t="str">
            <v>Nivel 2</v>
          </cell>
          <cell r="E1129" t="str">
            <v>Uni</v>
          </cell>
          <cell r="F1129">
            <v>65981</v>
          </cell>
          <cell r="G1129" t="str">
            <v>N2</v>
          </cell>
        </row>
        <row r="1130">
          <cell r="A1130">
            <v>8828119320</v>
          </cell>
          <cell r="B1130">
            <v>384</v>
          </cell>
          <cell r="C1130" t="str">
            <v>TRANSFORMADOR CONTROL 24 V N2 23</v>
          </cell>
          <cell r="D1130" t="str">
            <v>Nivel 2</v>
          </cell>
          <cell r="E1130" t="str">
            <v>Uni</v>
          </cell>
          <cell r="F1130">
            <v>43350</v>
          </cell>
          <cell r="G1130" t="str">
            <v>N2</v>
          </cell>
        </row>
        <row r="1131">
          <cell r="A1131">
            <v>8828119344</v>
          </cell>
          <cell r="B1131">
            <v>385</v>
          </cell>
          <cell r="C1131" t="str">
            <v>TRANSFORMADOR ELEVADOR BIFASICO DE 10 KVA N2 23</v>
          </cell>
          <cell r="D1131" t="str">
            <v>Nivel 2</v>
          </cell>
          <cell r="E1131" t="str">
            <v>Uni</v>
          </cell>
          <cell r="F1131">
            <v>1721250</v>
          </cell>
          <cell r="G1131" t="str">
            <v>N2</v>
          </cell>
        </row>
        <row r="1132">
          <cell r="A1132">
            <v>8828119352</v>
          </cell>
          <cell r="B1132">
            <v>386</v>
          </cell>
          <cell r="C1132" t="str">
            <v>TRANSPORTE TRANSFORMADOR 10KVA ZONA 1 N2 23</v>
          </cell>
          <cell r="D1132" t="str">
            <v>Nivel 2</v>
          </cell>
          <cell r="E1132" t="str">
            <v>GL</v>
          </cell>
          <cell r="F1132">
            <v>250325</v>
          </cell>
          <cell r="G1132" t="str">
            <v>N2</v>
          </cell>
        </row>
        <row r="1133">
          <cell r="A1133">
            <v>8828119360</v>
          </cell>
          <cell r="B1133">
            <v>387</v>
          </cell>
          <cell r="C1133" t="str">
            <v>TRANSPORTE TRANSFORMADOR 10KVA ZONA 2 N2 23</v>
          </cell>
          <cell r="D1133" t="str">
            <v>Nivel 2</v>
          </cell>
          <cell r="E1133" t="str">
            <v>GL</v>
          </cell>
          <cell r="F1133">
            <v>374680</v>
          </cell>
          <cell r="G1133" t="str">
            <v>N2</v>
          </cell>
        </row>
        <row r="1134">
          <cell r="A1134">
            <v>8828119366</v>
          </cell>
          <cell r="B1134">
            <v>388</v>
          </cell>
          <cell r="C1134" t="str">
            <v>TRANSPORTE TRANSFORMADOR 10KVA ZONA SATELITAL N2 23</v>
          </cell>
          <cell r="D1134" t="str">
            <v>Nivel 2</v>
          </cell>
          <cell r="E1134" t="str">
            <v>GL</v>
          </cell>
          <cell r="F1134">
            <v>551214</v>
          </cell>
          <cell r="G1134" t="str">
            <v>N2</v>
          </cell>
        </row>
        <row r="1135">
          <cell r="A1135">
            <v>8828119375</v>
          </cell>
          <cell r="B1135">
            <v>389</v>
          </cell>
          <cell r="C1135" t="str">
            <v>TRANSPORTE TRANSFORMADOR 15KVA ZONA 1 N2 23</v>
          </cell>
          <cell r="D1135" t="str">
            <v>Nivel 2</v>
          </cell>
          <cell r="E1135" t="str">
            <v>GL</v>
          </cell>
          <cell r="F1135">
            <v>265625</v>
          </cell>
          <cell r="G1135" t="str">
            <v>N2</v>
          </cell>
        </row>
        <row r="1136">
          <cell r="A1136">
            <v>8828119383</v>
          </cell>
          <cell r="B1136">
            <v>390</v>
          </cell>
          <cell r="C1136" t="str">
            <v>TRANSPORTE TRANSFORMADOR 15KVA ZONA 2 N2 23</v>
          </cell>
          <cell r="D1136" t="str">
            <v>Nivel 2</v>
          </cell>
          <cell r="E1136" t="str">
            <v>GL</v>
          </cell>
          <cell r="F1136">
            <v>412148</v>
          </cell>
          <cell r="G1136" t="str">
            <v>N2</v>
          </cell>
        </row>
        <row r="1137">
          <cell r="A1137">
            <v>8828119390</v>
          </cell>
          <cell r="B1137">
            <v>391</v>
          </cell>
          <cell r="C1137" t="str">
            <v>TRANSPORTE TRANSFORMADOR 15KVA ZONA SATELITAL N2 23</v>
          </cell>
          <cell r="D1137" t="str">
            <v>Nivel 2</v>
          </cell>
          <cell r="E1137" t="str">
            <v>GL</v>
          </cell>
          <cell r="F1137">
            <v>593831</v>
          </cell>
          <cell r="G1137" t="str">
            <v>N2</v>
          </cell>
        </row>
        <row r="1138">
          <cell r="A1138">
            <v>8828119400</v>
          </cell>
          <cell r="B1138">
            <v>392</v>
          </cell>
          <cell r="C1138" t="str">
            <v>TRANSPORTE TRANSFORMADOR 30KVA ZONA 1 N2 23</v>
          </cell>
          <cell r="D1138" t="str">
            <v>Nivel 2</v>
          </cell>
          <cell r="E1138" t="str">
            <v>GL</v>
          </cell>
          <cell r="F1138">
            <v>302893</v>
          </cell>
          <cell r="G1138" t="str">
            <v>N2</v>
          </cell>
        </row>
        <row r="1139">
          <cell r="A1139">
            <v>8828119800</v>
          </cell>
          <cell r="B1139">
            <v>393</v>
          </cell>
          <cell r="C1139" t="str">
            <v>TRANSPORTE TRANSFORMADOR 30KVA ZONA 2 N2 23</v>
          </cell>
          <cell r="D1139" t="str">
            <v>Nivel 2</v>
          </cell>
          <cell r="E1139" t="str">
            <v>GL</v>
          </cell>
          <cell r="F1139">
            <v>453363</v>
          </cell>
          <cell r="G1139" t="str">
            <v>N2</v>
          </cell>
        </row>
        <row r="1140">
          <cell r="A1140">
            <v>8828119806</v>
          </cell>
          <cell r="B1140">
            <v>394</v>
          </cell>
          <cell r="C1140" t="str">
            <v>TRANSPORTE TRANSFORMADOR 30KVA ZONA SATELITAL N2 23</v>
          </cell>
          <cell r="D1140" t="str">
            <v>Nivel 2</v>
          </cell>
          <cell r="E1140" t="str">
            <v>GL</v>
          </cell>
          <cell r="F1140">
            <v>593831</v>
          </cell>
          <cell r="G1140" t="str">
            <v>N2</v>
          </cell>
        </row>
        <row r="1141">
          <cell r="A1141">
            <v>8828119814</v>
          </cell>
          <cell r="B1141">
            <v>395</v>
          </cell>
          <cell r="C1141" t="str">
            <v>TRANSPORTE TRANSFORMADOR 45KVA ZONA 1 N2 23</v>
          </cell>
          <cell r="D1141" t="str">
            <v>Nivel 2</v>
          </cell>
          <cell r="E1141" t="str">
            <v>GL</v>
          </cell>
          <cell r="F1141">
            <v>333183</v>
          </cell>
          <cell r="G1141" t="str">
            <v>N2</v>
          </cell>
        </row>
        <row r="1142">
          <cell r="A1142">
            <v>8828119822</v>
          </cell>
          <cell r="B1142">
            <v>396</v>
          </cell>
          <cell r="C1142" t="str">
            <v>TRANSPORTE TRANSFORMADOR 45KVA ZONA 2 N2 23</v>
          </cell>
          <cell r="D1142" t="str">
            <v>Nivel 2</v>
          </cell>
          <cell r="E1142" t="str">
            <v>GL</v>
          </cell>
          <cell r="F1142">
            <v>498699</v>
          </cell>
          <cell r="G1142" t="str">
            <v>N2</v>
          </cell>
        </row>
        <row r="1143">
          <cell r="A1143">
            <v>8828119830</v>
          </cell>
          <cell r="B1143">
            <v>397</v>
          </cell>
          <cell r="C1143" t="str">
            <v>TRANSPORTE TRANSFORMADOR 45KVA ZONA SATELITAL N2 23</v>
          </cell>
          <cell r="D1143" t="str">
            <v>Nivel 2</v>
          </cell>
          <cell r="E1143" t="str">
            <v>GL</v>
          </cell>
          <cell r="F1143">
            <v>593831</v>
          </cell>
          <cell r="G1143" t="str">
            <v>N2</v>
          </cell>
        </row>
        <row r="1144">
          <cell r="A1144">
            <v>8828119838</v>
          </cell>
          <cell r="B1144">
            <v>398</v>
          </cell>
          <cell r="C1144" t="str">
            <v>TUBERIA DE COBRE DE 1" N2 23</v>
          </cell>
          <cell r="D1144" t="str">
            <v>Nivel 2</v>
          </cell>
          <cell r="E1144" t="str">
            <v>M</v>
          </cell>
          <cell r="F1144">
            <v>27200</v>
          </cell>
          <cell r="G1144" t="str">
            <v>N2</v>
          </cell>
        </row>
        <row r="1145">
          <cell r="A1145">
            <v>8828119847</v>
          </cell>
          <cell r="B1145">
            <v>399</v>
          </cell>
          <cell r="C1145" t="str">
            <v>TUBERIA DE COBRE DE 1/2" N2 23</v>
          </cell>
          <cell r="D1145" t="str">
            <v>Nivel 2</v>
          </cell>
          <cell r="E1145" t="str">
            <v>M</v>
          </cell>
          <cell r="F1145">
            <v>17380</v>
          </cell>
          <cell r="G1145" t="str">
            <v>N2</v>
          </cell>
        </row>
        <row r="1146">
          <cell r="A1146">
            <v>8828119855</v>
          </cell>
          <cell r="B1146">
            <v>400</v>
          </cell>
          <cell r="C1146" t="str">
            <v>Uni ARRANQUE MURPHY ASM150 N2 23</v>
          </cell>
          <cell r="D1146" t="str">
            <v>Nivel 2</v>
          </cell>
          <cell r="E1146" t="str">
            <v>Uni</v>
          </cell>
          <cell r="F1146">
            <v>2052224</v>
          </cell>
          <cell r="G1146" t="str">
            <v>N2</v>
          </cell>
        </row>
        <row r="1147">
          <cell r="A1147">
            <v>8828119863</v>
          </cell>
          <cell r="B1147">
            <v>401</v>
          </cell>
          <cell r="C1147" t="str">
            <v>UNION O TAPA FINAL CANALETA PLASTICA 13X7mm N2 23</v>
          </cell>
          <cell r="D1147" t="str">
            <v>Nivel 2</v>
          </cell>
          <cell r="E1147" t="str">
            <v>Uni</v>
          </cell>
          <cell r="F1147">
            <v>3902</v>
          </cell>
          <cell r="G1147" t="str">
            <v>N2</v>
          </cell>
        </row>
        <row r="1148">
          <cell r="A1148">
            <v>8828119871</v>
          </cell>
          <cell r="B1148">
            <v>402</v>
          </cell>
          <cell r="C1148" t="str">
            <v>UNION O TAPA FINAL CANALETA PLASTICA 20X15mm N2 23</v>
          </cell>
          <cell r="D1148" t="str">
            <v>Nivel 2</v>
          </cell>
          <cell r="E1148" t="str">
            <v>Uni</v>
          </cell>
          <cell r="F1148">
            <v>4151</v>
          </cell>
          <cell r="G1148" t="str">
            <v>N2</v>
          </cell>
        </row>
        <row r="1149">
          <cell r="A1149">
            <v>8828119878</v>
          </cell>
          <cell r="B1149">
            <v>403</v>
          </cell>
          <cell r="C1149" t="str">
            <v>UNION O TAPA FINAL CANALETA PLASTICA 25X25mm N2 23</v>
          </cell>
          <cell r="D1149" t="str">
            <v>Nivel 2</v>
          </cell>
          <cell r="E1149" t="str">
            <v>Uni</v>
          </cell>
          <cell r="F1149">
            <v>3883</v>
          </cell>
          <cell r="G1149" t="str">
            <v>N2</v>
          </cell>
        </row>
        <row r="1150">
          <cell r="A1150">
            <v>8828119888</v>
          </cell>
          <cell r="B1150">
            <v>404</v>
          </cell>
          <cell r="C1150" t="str">
            <v>UNION O TAPA FINAL CANALETA PLASTICA 32X12mm N2 23</v>
          </cell>
          <cell r="D1150" t="str">
            <v>Nivel 2</v>
          </cell>
          <cell r="E1150" t="str">
            <v>Uni</v>
          </cell>
          <cell r="F1150">
            <v>5840</v>
          </cell>
          <cell r="G1150" t="str">
            <v>N2</v>
          </cell>
        </row>
        <row r="1151">
          <cell r="A1151">
            <v>8828119897</v>
          </cell>
          <cell r="B1151">
            <v>405</v>
          </cell>
          <cell r="C1151" t="str">
            <v>UNION O TAPA FINAL CANALETA PLASTICA 40X25mm N2 23</v>
          </cell>
          <cell r="D1151" t="str">
            <v>Nivel 2</v>
          </cell>
          <cell r="E1151" t="str">
            <v>Uni</v>
          </cell>
          <cell r="F1151">
            <v>5075</v>
          </cell>
          <cell r="G1151" t="str">
            <v>N2</v>
          </cell>
        </row>
        <row r="1152">
          <cell r="A1152">
            <v>8828119907</v>
          </cell>
          <cell r="B1152">
            <v>406</v>
          </cell>
          <cell r="C1152" t="str">
            <v>UNION O TAPA FINAL CANALETA PLASTICA 40X40mm N2 23</v>
          </cell>
          <cell r="D1152" t="str">
            <v>Nivel 2</v>
          </cell>
          <cell r="E1152" t="str">
            <v>Uni</v>
          </cell>
          <cell r="F1152">
            <v>8350</v>
          </cell>
          <cell r="G1152" t="str">
            <v>N2</v>
          </cell>
        </row>
        <row r="1153">
          <cell r="A1153">
            <v>8828119916</v>
          </cell>
          <cell r="B1153">
            <v>407</v>
          </cell>
          <cell r="C1153" t="str">
            <v>VACIADO DE TANQUE DE COMBUSTIBLE PARA LIMPIEZA Y MANTENIMIENTO Galón N2 23</v>
          </cell>
          <cell r="D1153" t="str">
            <v>Nivel 2</v>
          </cell>
          <cell r="E1153" t="str">
            <v>Uni</v>
          </cell>
          <cell r="F1153">
            <v>4655</v>
          </cell>
          <cell r="G1153" t="str">
            <v>N2</v>
          </cell>
        </row>
        <row r="1154">
          <cell r="A1154">
            <v>8828119926</v>
          </cell>
          <cell r="B1154">
            <v>408</v>
          </cell>
          <cell r="C1154" t="str">
            <v>VARILLA 5/8 X 1 80 HIERRO GALVANIZADO PARA RETENIDA N2 23</v>
          </cell>
          <cell r="D1154" t="str">
            <v>Nivel 2</v>
          </cell>
          <cell r="E1154" t="str">
            <v>Uni</v>
          </cell>
          <cell r="F1154">
            <v>338955</v>
          </cell>
          <cell r="G1154" t="str">
            <v>N2</v>
          </cell>
        </row>
        <row r="1155">
          <cell r="A1155">
            <v>8828119936</v>
          </cell>
          <cell r="B1155">
            <v>409</v>
          </cell>
          <cell r="C1155" t="str">
            <v>VARILLA ANCLAJE 5/8 * 1 80MTS N2 23</v>
          </cell>
          <cell r="D1155" t="str">
            <v>Nivel 2</v>
          </cell>
          <cell r="E1155" t="str">
            <v>Uni</v>
          </cell>
          <cell r="F1155">
            <v>345055</v>
          </cell>
          <cell r="G1155" t="str">
            <v>N2</v>
          </cell>
        </row>
        <row r="1156">
          <cell r="A1156">
            <v>8828119946</v>
          </cell>
          <cell r="B1156">
            <v>410</v>
          </cell>
          <cell r="C1156" t="str">
            <v>VARILLA COBRE 5/8 X 2 40MTS N2 23</v>
          </cell>
          <cell r="D1156" t="str">
            <v>Nivel 2</v>
          </cell>
          <cell r="E1156" t="str">
            <v>Uni</v>
          </cell>
          <cell r="F1156">
            <v>135595</v>
          </cell>
          <cell r="G1156" t="str">
            <v>N2</v>
          </cell>
        </row>
        <row r="1157">
          <cell r="A1157">
            <v>8828119958</v>
          </cell>
          <cell r="B1157">
            <v>411</v>
          </cell>
          <cell r="C1157" t="str">
            <v>VARILLA CON ALMA DE ACERO RECUBRIMIENTO DE COBRE 5/8 X 2.4 CERTIFICADO RETIE CIDET UL N2 23</v>
          </cell>
          <cell r="D1157" t="str">
            <v>Nivel 2</v>
          </cell>
          <cell r="E1157" t="str">
            <v>Uni</v>
          </cell>
          <cell r="F1157">
            <v>327803</v>
          </cell>
          <cell r="G1157" t="str">
            <v>N2</v>
          </cell>
        </row>
        <row r="1158">
          <cell r="A1158">
            <v>8828119967</v>
          </cell>
          <cell r="B1158">
            <v>412</v>
          </cell>
          <cell r="C1158" t="str">
            <v>VARILLA COOPERWELD 5/8" X1 5 MTS CON CONECTOR N2 23</v>
          </cell>
          <cell r="D1158" t="str">
            <v>Nivel 2</v>
          </cell>
          <cell r="E1158" t="str">
            <v>Uni</v>
          </cell>
          <cell r="F1158">
            <v>149007</v>
          </cell>
          <cell r="G1158" t="str">
            <v>N2</v>
          </cell>
        </row>
        <row r="1159">
          <cell r="A1159">
            <v>8828119976</v>
          </cell>
          <cell r="B1159">
            <v>413</v>
          </cell>
          <cell r="C1159" t="str">
            <v>VARILLA DE COBRE 1/2" X 1 80 MTS N2 23</v>
          </cell>
          <cell r="D1159" t="str">
            <v>Nivel 2</v>
          </cell>
          <cell r="E1159" t="str">
            <v>Uni</v>
          </cell>
          <cell r="F1159">
            <v>327803</v>
          </cell>
          <cell r="G1159" t="str">
            <v>N2</v>
          </cell>
        </row>
        <row r="1160">
          <cell r="A1160">
            <v>8828119986</v>
          </cell>
          <cell r="B1160">
            <v>414</v>
          </cell>
          <cell r="C1160" t="str">
            <v>VARILLA ENCHAQUETADA COBRE 5/8 X 2 40 MTS N2 23</v>
          </cell>
          <cell r="D1160" t="str">
            <v>Nivel 2</v>
          </cell>
          <cell r="E1160" t="str">
            <v>Uni</v>
          </cell>
          <cell r="F1160">
            <v>327803</v>
          </cell>
          <cell r="G1160" t="str">
            <v>N2</v>
          </cell>
        </row>
        <row r="1161">
          <cell r="A1161">
            <v>8828119995</v>
          </cell>
          <cell r="B1161">
            <v>415</v>
          </cell>
          <cell r="C1161" t="str">
            <v>VENTILADOR PARA UPS N2 23</v>
          </cell>
          <cell r="D1161" t="str">
            <v>Nivel 2</v>
          </cell>
          <cell r="E1161" t="str">
            <v>Uni</v>
          </cell>
          <cell r="F1161">
            <v>273043</v>
          </cell>
          <cell r="G1161" t="str">
            <v>N2</v>
          </cell>
        </row>
        <row r="1162">
          <cell r="A1162">
            <v>8828120006</v>
          </cell>
          <cell r="B1162">
            <v>416</v>
          </cell>
          <cell r="C1162" t="str">
            <v>VENTILADORES DE 17 CMS A 110 V N2 23</v>
          </cell>
          <cell r="D1162" t="str">
            <v>Nivel 2</v>
          </cell>
          <cell r="E1162" t="str">
            <v>Uni</v>
          </cell>
          <cell r="F1162">
            <v>273043</v>
          </cell>
          <cell r="G1162" t="str">
            <v>N2</v>
          </cell>
        </row>
        <row r="1163">
          <cell r="A1163">
            <v>8828120016</v>
          </cell>
          <cell r="B1163">
            <v>417</v>
          </cell>
          <cell r="C1163" t="str">
            <v>VENTILADORES EXTRACTORES 220VAC 12X12CM N2 23</v>
          </cell>
          <cell r="D1163" t="str">
            <v>Nivel 2</v>
          </cell>
          <cell r="E1163" t="str">
            <v>Uni</v>
          </cell>
          <cell r="F1163">
            <v>273050</v>
          </cell>
          <cell r="G1163" t="str">
            <v>N2</v>
          </cell>
        </row>
        <row r="1164">
          <cell r="A1164">
            <v>8828120026</v>
          </cell>
          <cell r="B1164">
            <v>418</v>
          </cell>
          <cell r="C1164" t="str">
            <v>VIGILANTE DE TENSION AJUSTABLE BAJO-ALTO 110 VAC N2 23</v>
          </cell>
          <cell r="D1164" t="str">
            <v>Nivel 2</v>
          </cell>
          <cell r="E1164" t="str">
            <v>Uni</v>
          </cell>
          <cell r="F1164">
            <v>339302</v>
          </cell>
          <cell r="G1164" t="str">
            <v>N2</v>
          </cell>
        </row>
        <row r="1165">
          <cell r="A1165">
            <v>8828120034</v>
          </cell>
          <cell r="B1165">
            <v>419</v>
          </cell>
          <cell r="C1165" t="str">
            <v>VIGILANTE DE TENSION AJUSTABLE BAJO-ALTO 220 VAC N2 23</v>
          </cell>
          <cell r="D1165" t="str">
            <v>Nivel 2</v>
          </cell>
          <cell r="E1165" t="str">
            <v>Uni</v>
          </cell>
          <cell r="F1165">
            <v>339302</v>
          </cell>
          <cell r="G1165" t="str">
            <v>N2</v>
          </cell>
        </row>
        <row r="1166">
          <cell r="A1166">
            <v>8828120042</v>
          </cell>
          <cell r="B1166">
            <v>420</v>
          </cell>
          <cell r="C1166" t="str">
            <v>VIGUETA DE CONCRETO DE 30 X 30 X 15 CMS N2 23</v>
          </cell>
          <cell r="D1166" t="str">
            <v>Nivel 2</v>
          </cell>
          <cell r="E1166" t="str">
            <v>Uni</v>
          </cell>
          <cell r="F1166">
            <v>357160</v>
          </cell>
          <cell r="G1166" t="str">
            <v>N2</v>
          </cell>
        </row>
        <row r="1167">
          <cell r="A1167">
            <v>8828120049</v>
          </cell>
          <cell r="B1167">
            <v>421</v>
          </cell>
          <cell r="C1167" t="str">
            <v>VIGUETA MUERTO DE CONCRETO PARA VARILLA ANCLAJE N2 23</v>
          </cell>
          <cell r="D1167" t="str">
            <v>Nivel 2</v>
          </cell>
          <cell r="E1167" t="str">
            <v>Uni</v>
          </cell>
          <cell r="F1167">
            <v>357160</v>
          </cell>
          <cell r="G1167" t="str">
            <v>N2</v>
          </cell>
        </row>
        <row r="1168">
          <cell r="A1168">
            <v>8828120058</v>
          </cell>
          <cell r="B1168">
            <v>422</v>
          </cell>
          <cell r="C1168" t="str">
            <v>ACEITE DIELECTRICO PARA TRANSFORMADOR Galón N2 23</v>
          </cell>
          <cell r="D1168" t="str">
            <v>Nivel 2</v>
          </cell>
          <cell r="E1168" t="str">
            <v>Uni</v>
          </cell>
          <cell r="F1168">
            <v>77103</v>
          </cell>
          <cell r="G1168" t="str">
            <v>N2</v>
          </cell>
        </row>
        <row r="1169">
          <cell r="A1169">
            <v>8828120067</v>
          </cell>
          <cell r="B1169">
            <v>423</v>
          </cell>
          <cell r="C1169" t="str">
            <v>ACOPLE GALVANIZADO N2 23</v>
          </cell>
          <cell r="D1169" t="str">
            <v>Nivel 2</v>
          </cell>
          <cell r="E1169" t="str">
            <v>Uni</v>
          </cell>
          <cell r="F1169">
            <v>10148</v>
          </cell>
          <cell r="G1169" t="str">
            <v>N2</v>
          </cell>
        </row>
        <row r="1170">
          <cell r="A1170">
            <v>8828120074</v>
          </cell>
          <cell r="B1170">
            <v>424</v>
          </cell>
          <cell r="C1170" t="str">
            <v>ACOPLE HEMBRA PARA MANGUERA DE COMBUSTIBLE ½” N2 23</v>
          </cell>
          <cell r="D1170" t="str">
            <v>Nivel 2</v>
          </cell>
          <cell r="E1170" t="str">
            <v>Uni</v>
          </cell>
          <cell r="F1170">
            <v>5760</v>
          </cell>
          <cell r="G1170" t="str">
            <v>N2</v>
          </cell>
        </row>
        <row r="1171">
          <cell r="A1171">
            <v>8828120083</v>
          </cell>
          <cell r="B1171">
            <v>425</v>
          </cell>
          <cell r="C1171" t="str">
            <v>ACOPLE HEMBRA PARA MANGUERA DE COMBUSTIBLE 3/8” N2 23</v>
          </cell>
          <cell r="D1171" t="str">
            <v>Nivel 2</v>
          </cell>
          <cell r="E1171" t="str">
            <v>Uni</v>
          </cell>
          <cell r="F1171">
            <v>5439</v>
          </cell>
          <cell r="G1171" t="str">
            <v>N2</v>
          </cell>
        </row>
        <row r="1172">
          <cell r="A1172">
            <v>8828120091</v>
          </cell>
          <cell r="B1172">
            <v>426</v>
          </cell>
          <cell r="C1172" t="str">
            <v>ACOPLE MACHO PARA MANGUERA DE COMBUSTIBLE ½” N2 23</v>
          </cell>
          <cell r="D1172" t="str">
            <v>Nivel 2</v>
          </cell>
          <cell r="E1172" t="str">
            <v>Uni</v>
          </cell>
          <cell r="F1172">
            <v>6185</v>
          </cell>
          <cell r="G1172" t="str">
            <v>N2</v>
          </cell>
        </row>
        <row r="1173">
          <cell r="A1173">
            <v>8828120098</v>
          </cell>
          <cell r="B1173">
            <v>427</v>
          </cell>
          <cell r="C1173" t="str">
            <v>ACOPLE MACHO PARA MANGUERA DE COMBUSTIBLE 3/8” N2 23</v>
          </cell>
          <cell r="D1173" t="str">
            <v>Nivel 2</v>
          </cell>
          <cell r="E1173" t="str">
            <v>Uni</v>
          </cell>
          <cell r="F1173">
            <v>6400</v>
          </cell>
          <cell r="G1173" t="str">
            <v>N2</v>
          </cell>
        </row>
        <row r="1174">
          <cell r="A1174">
            <v>8828120105</v>
          </cell>
          <cell r="B1174">
            <v>428</v>
          </cell>
          <cell r="C1174" t="str">
            <v>ADAPTACION FABRICACION DE SOPORTE PARA MANEJADORA N2 23</v>
          </cell>
          <cell r="D1174" t="str">
            <v>Nivel 2</v>
          </cell>
          <cell r="E1174" t="str">
            <v>GL</v>
          </cell>
          <cell r="F1174">
            <v>182143</v>
          </cell>
          <cell r="G1174" t="str">
            <v>N2</v>
          </cell>
        </row>
        <row r="1175">
          <cell r="A1175">
            <v>8828120112</v>
          </cell>
          <cell r="B1175">
            <v>429</v>
          </cell>
          <cell r="C1175" t="str">
            <v>AGUA DESMINERALIZADA BOTELLA N2 23</v>
          </cell>
          <cell r="D1175" t="str">
            <v>Nivel 2</v>
          </cell>
          <cell r="E1175" t="str">
            <v>Uni</v>
          </cell>
          <cell r="F1175">
            <v>4038</v>
          </cell>
          <cell r="G1175" t="str">
            <v>N2</v>
          </cell>
        </row>
        <row r="1176">
          <cell r="A1176">
            <v>8828120127</v>
          </cell>
          <cell r="B1176">
            <v>430</v>
          </cell>
          <cell r="C1176" t="str">
            <v>AIRE ACONDICIONADO TIPO MINI-SPLIT 12000 BTU N2 23</v>
          </cell>
          <cell r="D1176" t="str">
            <v>Nivel 2</v>
          </cell>
          <cell r="E1176" t="str">
            <v>Uni</v>
          </cell>
          <cell r="F1176">
            <v>1613677</v>
          </cell>
          <cell r="G1176" t="str">
            <v>N2</v>
          </cell>
        </row>
        <row r="1177">
          <cell r="A1177">
            <v>8828120137</v>
          </cell>
          <cell r="B1177">
            <v>431</v>
          </cell>
          <cell r="C1177" t="str">
            <v>AIRE ACONDICIONADO TIPO MINI-SPLIT 18000 BTU N2 23</v>
          </cell>
          <cell r="D1177" t="str">
            <v>Nivel 2</v>
          </cell>
          <cell r="E1177" t="str">
            <v>Uni</v>
          </cell>
          <cell r="F1177">
            <v>2412020</v>
          </cell>
          <cell r="G1177" t="str">
            <v>N2</v>
          </cell>
        </row>
        <row r="1178">
          <cell r="A1178">
            <v>8828120147</v>
          </cell>
          <cell r="B1178">
            <v>432</v>
          </cell>
          <cell r="C1178" t="str">
            <v>AIRE ACONDICIONADO TIPO MINI-SPLIT 24000 BTU N2 23</v>
          </cell>
          <cell r="D1178" t="str">
            <v>Nivel 2</v>
          </cell>
          <cell r="E1178" t="str">
            <v>Uni</v>
          </cell>
          <cell r="F1178">
            <v>3111847</v>
          </cell>
          <cell r="G1178" t="str">
            <v>N2</v>
          </cell>
        </row>
        <row r="1179">
          <cell r="A1179">
            <v>8828120155</v>
          </cell>
          <cell r="B1179">
            <v>433</v>
          </cell>
          <cell r="C1179" t="str">
            <v>AIRE ACONDICIONADO TIPO MINI-SPLIT 30000 BTU N2 23</v>
          </cell>
          <cell r="D1179" t="str">
            <v>Nivel 2</v>
          </cell>
          <cell r="E1179" t="str">
            <v>Uni</v>
          </cell>
          <cell r="F1179">
            <v>4562457</v>
          </cell>
          <cell r="G1179" t="str">
            <v>N2</v>
          </cell>
        </row>
        <row r="1180">
          <cell r="A1180">
            <v>8828120165</v>
          </cell>
          <cell r="B1180">
            <v>434</v>
          </cell>
          <cell r="C1180" t="str">
            <v>AIRE ACONDICIONADO TIPO MINI-SPLIT 36000 BTU N2 23</v>
          </cell>
          <cell r="D1180" t="str">
            <v>Nivel 2</v>
          </cell>
          <cell r="E1180" t="str">
            <v>Uni</v>
          </cell>
          <cell r="F1180">
            <v>4562457</v>
          </cell>
          <cell r="G1180" t="str">
            <v>N2</v>
          </cell>
        </row>
        <row r="1181">
          <cell r="A1181">
            <v>8828120173</v>
          </cell>
          <cell r="B1181">
            <v>435</v>
          </cell>
          <cell r="C1181" t="str">
            <v>AIRE ACONDICIONADO TIPO PAQUETE 3 TR N2 23</v>
          </cell>
          <cell r="D1181" t="str">
            <v>Nivel 2</v>
          </cell>
          <cell r="E1181" t="str">
            <v>Uni</v>
          </cell>
          <cell r="F1181">
            <v>4725241</v>
          </cell>
          <cell r="G1181" t="str">
            <v>N2</v>
          </cell>
        </row>
        <row r="1182">
          <cell r="A1182">
            <v>8828120185</v>
          </cell>
          <cell r="B1182">
            <v>436</v>
          </cell>
          <cell r="C1182" t="str">
            <v>AIRE ACONDICIONADO TIPO PAQUETE 5 TR N2 23</v>
          </cell>
          <cell r="D1182" t="str">
            <v>Nivel 2</v>
          </cell>
          <cell r="E1182" t="str">
            <v>Uni</v>
          </cell>
          <cell r="F1182">
            <v>10425038</v>
          </cell>
          <cell r="G1182" t="str">
            <v>N2</v>
          </cell>
        </row>
        <row r="1183">
          <cell r="A1183">
            <v>8828120194</v>
          </cell>
          <cell r="B1183">
            <v>437</v>
          </cell>
          <cell r="C1183" t="str">
            <v>AIRE ACONDICIONADO TIPO VENTANA 24000 BTU N2 23</v>
          </cell>
          <cell r="D1183" t="str">
            <v>Nivel 2</v>
          </cell>
          <cell r="E1183" t="str">
            <v>Uni</v>
          </cell>
          <cell r="F1183">
            <v>3945413</v>
          </cell>
          <cell r="G1183" t="str">
            <v>N2</v>
          </cell>
        </row>
        <row r="1184">
          <cell r="A1184">
            <v>8828120205</v>
          </cell>
          <cell r="B1184">
            <v>438</v>
          </cell>
          <cell r="C1184" t="str">
            <v>AIRE ACONDICIONADO TIPO VENTANA 36000 BTU N2 23</v>
          </cell>
          <cell r="D1184" t="str">
            <v>Nivel 2</v>
          </cell>
          <cell r="E1184" t="str">
            <v>Uni</v>
          </cell>
          <cell r="F1184">
            <v>5147796</v>
          </cell>
          <cell r="G1184" t="str">
            <v>N2</v>
          </cell>
        </row>
        <row r="1185">
          <cell r="A1185">
            <v>8828120213</v>
          </cell>
          <cell r="B1185">
            <v>439</v>
          </cell>
          <cell r="C1185" t="str">
            <v>AISLADOR ANSI 52-1 TIPO SUSPENSION N2 23</v>
          </cell>
          <cell r="D1185" t="str">
            <v>Nivel 2</v>
          </cell>
          <cell r="E1185" t="str">
            <v>Uni</v>
          </cell>
          <cell r="F1185">
            <v>23868</v>
          </cell>
          <cell r="G1185" t="str">
            <v>N2</v>
          </cell>
        </row>
        <row r="1186">
          <cell r="A1186">
            <v>8828120228</v>
          </cell>
          <cell r="B1186">
            <v>440</v>
          </cell>
          <cell r="C1186" t="str">
            <v>AISLADOR ANSI 54-2 TIPO TENSOR N2 23</v>
          </cell>
          <cell r="D1186" t="str">
            <v>Nivel 2</v>
          </cell>
          <cell r="E1186" t="str">
            <v>Uni</v>
          </cell>
          <cell r="F1186">
            <v>22984</v>
          </cell>
          <cell r="G1186" t="str">
            <v>N2</v>
          </cell>
        </row>
        <row r="1187">
          <cell r="A1187">
            <v>8828120236</v>
          </cell>
          <cell r="B1187">
            <v>441</v>
          </cell>
          <cell r="C1187" t="str">
            <v>AISLAMIENTO RUBATEX N2 23</v>
          </cell>
          <cell r="D1187" t="str">
            <v>Nivel 2</v>
          </cell>
          <cell r="E1187" t="str">
            <v>M</v>
          </cell>
          <cell r="F1187">
            <v>11217</v>
          </cell>
          <cell r="G1187" t="str">
            <v>N2</v>
          </cell>
        </row>
        <row r="1188">
          <cell r="A1188">
            <v>8828120243</v>
          </cell>
          <cell r="B1188">
            <v>442</v>
          </cell>
          <cell r="C1188" t="str">
            <v>ALAMBRE COBRE DESNUDO AWG 4 N2 23</v>
          </cell>
          <cell r="D1188" t="str">
            <v>Nivel 2</v>
          </cell>
          <cell r="E1188" t="str">
            <v>M</v>
          </cell>
          <cell r="F1188">
            <v>12557</v>
          </cell>
          <cell r="G1188" t="str">
            <v>N2</v>
          </cell>
        </row>
        <row r="1189">
          <cell r="A1189">
            <v>8828118841</v>
          </cell>
          <cell r="B1189">
            <v>443</v>
          </cell>
          <cell r="C1189" t="str">
            <v>ALAMBRE COBRE DESNUDO AWG 6 N2 23</v>
          </cell>
          <cell r="D1189" t="str">
            <v>Nivel 2</v>
          </cell>
          <cell r="E1189" t="str">
            <v>M</v>
          </cell>
          <cell r="F1189">
            <v>8765</v>
          </cell>
          <cell r="G1189" t="str">
            <v>N2</v>
          </cell>
        </row>
        <row r="1190">
          <cell r="A1190">
            <v>8828118852</v>
          </cell>
          <cell r="B1190">
            <v>444</v>
          </cell>
          <cell r="C1190" t="str">
            <v>CAJA EMPOTRAR 18 CIRCUITOS N2 23</v>
          </cell>
          <cell r="D1190" t="str">
            <v>Nivel 2</v>
          </cell>
          <cell r="E1190" t="str">
            <v>Uni</v>
          </cell>
          <cell r="F1190">
            <v>99849</v>
          </cell>
          <cell r="G1190" t="str">
            <v>N2</v>
          </cell>
        </row>
        <row r="1191">
          <cell r="A1191">
            <v>8828118863</v>
          </cell>
          <cell r="B1191">
            <v>445</v>
          </cell>
          <cell r="C1191" t="str">
            <v>ARANDELA DE PRESION DE 1/2" N2 23</v>
          </cell>
          <cell r="D1191" t="str">
            <v>Nivel 2</v>
          </cell>
          <cell r="E1191" t="str">
            <v>Uni</v>
          </cell>
          <cell r="F1191">
            <v>2847</v>
          </cell>
          <cell r="G1191" t="str">
            <v>N2</v>
          </cell>
        </row>
        <row r="1192">
          <cell r="A1192">
            <v>8828118871</v>
          </cell>
          <cell r="B1192">
            <v>446</v>
          </cell>
          <cell r="C1192" t="str">
            <v>CAJA EMPOTRAR 24 CIRCUITOS N2 23</v>
          </cell>
          <cell r="D1192" t="str">
            <v>Nivel 2</v>
          </cell>
          <cell r="E1192" t="str">
            <v>Uni</v>
          </cell>
          <cell r="F1192">
            <v>179948</v>
          </cell>
          <cell r="G1192" t="str">
            <v>N2</v>
          </cell>
        </row>
        <row r="1193">
          <cell r="A1193">
            <v>8828118881</v>
          </cell>
          <cell r="B1193">
            <v>447</v>
          </cell>
          <cell r="C1193" t="str">
            <v>CAJA EMPOTRAR 36 CIRCUITOS N2 23</v>
          </cell>
          <cell r="D1193" t="str">
            <v>Nivel 2</v>
          </cell>
          <cell r="E1193" t="str">
            <v>Uni</v>
          </cell>
          <cell r="F1193">
            <v>219449</v>
          </cell>
          <cell r="G1193" t="str">
            <v>N2</v>
          </cell>
        </row>
        <row r="1194">
          <cell r="A1194">
            <v>8828118892</v>
          </cell>
          <cell r="B1194">
            <v>448</v>
          </cell>
          <cell r="C1194" t="str">
            <v>CAJA EMPOTRAR 6 CIRCUITOS N2 23</v>
          </cell>
          <cell r="D1194" t="str">
            <v>Nivel 2</v>
          </cell>
          <cell r="E1194" t="str">
            <v>Uni</v>
          </cell>
          <cell r="F1194">
            <v>64737</v>
          </cell>
          <cell r="G1194" t="str">
            <v>N2</v>
          </cell>
        </row>
        <row r="1195">
          <cell r="A1195">
            <v>8828118901</v>
          </cell>
          <cell r="B1195">
            <v>449</v>
          </cell>
          <cell r="C1195" t="str">
            <v>CAJA CONTADOR 20 X 32 MONOFASICO N2 23</v>
          </cell>
          <cell r="D1195" t="str">
            <v>Nivel 2</v>
          </cell>
          <cell r="E1195" t="str">
            <v>Uni</v>
          </cell>
          <cell r="F1195">
            <v>60200</v>
          </cell>
          <cell r="G1195" t="str">
            <v>N2</v>
          </cell>
        </row>
        <row r="1196">
          <cell r="A1196">
            <v>8828118911</v>
          </cell>
          <cell r="B1196">
            <v>450</v>
          </cell>
          <cell r="C1196" t="str">
            <v>TRANSFORMADOR 10 KVA MONOFASICO 13.2KV / 220 V N2 23</v>
          </cell>
          <cell r="D1196" t="str">
            <v>Nivel 2</v>
          </cell>
          <cell r="E1196" t="str">
            <v>Uni</v>
          </cell>
          <cell r="F1196">
            <v>3405107</v>
          </cell>
          <cell r="G1196" t="str">
            <v>N2</v>
          </cell>
        </row>
        <row r="1197">
          <cell r="A1197">
            <v>8828118924</v>
          </cell>
          <cell r="B1197">
            <v>451</v>
          </cell>
          <cell r="C1197" t="str">
            <v>CAJA CONTADOR TRIFASICO 27X57X1 N2 23</v>
          </cell>
          <cell r="D1197" t="str">
            <v>Nivel 2</v>
          </cell>
          <cell r="E1197" t="str">
            <v>Uni</v>
          </cell>
          <cell r="F1197">
            <v>107556</v>
          </cell>
          <cell r="G1197" t="str">
            <v>N2</v>
          </cell>
        </row>
        <row r="1198">
          <cell r="A1198">
            <v>8828118934</v>
          </cell>
          <cell r="B1198">
            <v>452</v>
          </cell>
          <cell r="C1198" t="str">
            <v>CAJA DE CONCRETO 30*30 INSPECCION N2 23</v>
          </cell>
          <cell r="D1198" t="str">
            <v>Nivel 2</v>
          </cell>
          <cell r="E1198" t="str">
            <v>Uni</v>
          </cell>
          <cell r="F1198">
            <v>195606</v>
          </cell>
          <cell r="G1198" t="str">
            <v>N2</v>
          </cell>
        </row>
        <row r="1199">
          <cell r="A1199">
            <v>8828118946</v>
          </cell>
          <cell r="B1199">
            <v>453</v>
          </cell>
          <cell r="C1199" t="str">
            <v>CAJA PARA CONTADOR 27X57X16 TRIFASICO N2 23</v>
          </cell>
          <cell r="D1199" t="str">
            <v>Nivel 2</v>
          </cell>
          <cell r="E1199" t="str">
            <v>Uni</v>
          </cell>
          <cell r="F1199">
            <v>174845</v>
          </cell>
          <cell r="G1199" t="str">
            <v>N2</v>
          </cell>
        </row>
        <row r="1200">
          <cell r="A1200">
            <v>8828118965</v>
          </cell>
          <cell r="B1200">
            <v>454</v>
          </cell>
          <cell r="C1200" t="str">
            <v>BARRAJE COBRE 1"X1/4"X30CM N2 23</v>
          </cell>
          <cell r="D1200" t="str">
            <v>Nivel 2</v>
          </cell>
          <cell r="E1200" t="str">
            <v>Uni</v>
          </cell>
          <cell r="F1200">
            <v>93564</v>
          </cell>
          <cell r="G1200" t="str">
            <v>N2</v>
          </cell>
        </row>
        <row r="1201">
          <cell r="A1201">
            <v>8828118976</v>
          </cell>
          <cell r="B1201">
            <v>455</v>
          </cell>
          <cell r="C1201" t="str">
            <v>BARRAJE COBRE 1/2"X1/4"X60CM N2 23</v>
          </cell>
          <cell r="D1201" t="str">
            <v>Nivel 2</v>
          </cell>
          <cell r="E1201" t="str">
            <v>Uni</v>
          </cell>
          <cell r="F1201">
            <v>121106</v>
          </cell>
          <cell r="G1201" t="str">
            <v>N2</v>
          </cell>
        </row>
        <row r="1202">
          <cell r="A1202">
            <v>8828118986</v>
          </cell>
          <cell r="B1202">
            <v>456</v>
          </cell>
          <cell r="C1202" t="str">
            <v>BASE PARA FOTOCELDA N2 23</v>
          </cell>
          <cell r="D1202" t="str">
            <v>Nivel 2</v>
          </cell>
          <cell r="E1202" t="str">
            <v>Uni</v>
          </cell>
          <cell r="F1202">
            <v>8877</v>
          </cell>
          <cell r="G1202" t="str">
            <v>N2</v>
          </cell>
        </row>
        <row r="1203">
          <cell r="A1203">
            <v>8828119410</v>
          </cell>
          <cell r="B1203">
            <v>457</v>
          </cell>
          <cell r="C1203" t="str">
            <v>BATERIA ARRANQUE 31H N2 23</v>
          </cell>
          <cell r="D1203" t="str">
            <v>Nivel 2</v>
          </cell>
          <cell r="E1203" t="str">
            <v>Uni</v>
          </cell>
          <cell r="F1203">
            <v>632400</v>
          </cell>
          <cell r="G1203" t="str">
            <v>N2</v>
          </cell>
        </row>
        <row r="1204">
          <cell r="A1204">
            <v>8828119419</v>
          </cell>
          <cell r="B1204">
            <v>458</v>
          </cell>
          <cell r="C1204" t="str">
            <v>BATERIA ARRANQUE 4D N2 23</v>
          </cell>
          <cell r="D1204" t="str">
            <v>Nivel 2</v>
          </cell>
          <cell r="E1204" t="str">
            <v>Uni</v>
          </cell>
          <cell r="F1204">
            <v>807500</v>
          </cell>
          <cell r="G1204" t="str">
            <v>N2</v>
          </cell>
        </row>
        <row r="1205">
          <cell r="A1205">
            <v>8828119433</v>
          </cell>
          <cell r="B1205">
            <v>459</v>
          </cell>
          <cell r="C1205" t="str">
            <v>BOBINA SOLENOIDE 24 VOLT N2 23</v>
          </cell>
          <cell r="D1205" t="str">
            <v>Nivel 2</v>
          </cell>
          <cell r="E1205" t="str">
            <v>Uni</v>
          </cell>
          <cell r="F1205">
            <v>98647</v>
          </cell>
          <cell r="G1205" t="str">
            <v>N2</v>
          </cell>
        </row>
        <row r="1206">
          <cell r="A1206">
            <v>8828119442</v>
          </cell>
          <cell r="B1206">
            <v>460</v>
          </cell>
          <cell r="C1206" t="str">
            <v>BOBINA SOLENOIDE ALCO 220 V N2 23</v>
          </cell>
          <cell r="D1206" t="str">
            <v>Nivel 2</v>
          </cell>
          <cell r="E1206" t="str">
            <v>Uni</v>
          </cell>
          <cell r="F1206">
            <v>91264</v>
          </cell>
          <cell r="G1206" t="str">
            <v>N2</v>
          </cell>
        </row>
        <row r="1207">
          <cell r="A1207">
            <v>8828119452</v>
          </cell>
          <cell r="B1207">
            <v>461</v>
          </cell>
          <cell r="C1207" t="str">
            <v>BOMBA DE COMBUSTIBLE PARA MOTOR PERKINS N2 23</v>
          </cell>
          <cell r="D1207" t="str">
            <v>Nivel 2</v>
          </cell>
          <cell r="E1207" t="str">
            <v>Uni</v>
          </cell>
          <cell r="F1207">
            <v>76600</v>
          </cell>
          <cell r="G1207" t="str">
            <v>N2</v>
          </cell>
        </row>
        <row r="1208">
          <cell r="A1208">
            <v>8828119464</v>
          </cell>
          <cell r="B1208">
            <v>462</v>
          </cell>
          <cell r="C1208" t="str">
            <v>BOMBA DE LEVANTE LPW REF N2 23</v>
          </cell>
          <cell r="D1208" t="str">
            <v>Nivel 2</v>
          </cell>
          <cell r="E1208" t="str">
            <v>Uni</v>
          </cell>
          <cell r="F1208">
            <v>1596605</v>
          </cell>
          <cell r="G1208" t="str">
            <v>N2</v>
          </cell>
        </row>
        <row r="1209">
          <cell r="A1209">
            <v>8828119473</v>
          </cell>
          <cell r="B1209">
            <v>463</v>
          </cell>
          <cell r="C1209" t="str">
            <v>BOMBA DE TRANFERENCIA PARA PLANTA CUMMINS N2 23</v>
          </cell>
          <cell r="D1209" t="str">
            <v>Nivel 2</v>
          </cell>
          <cell r="E1209" t="str">
            <v>Uni</v>
          </cell>
          <cell r="F1209">
            <v>6028230</v>
          </cell>
          <cell r="G1209" t="str">
            <v>N2</v>
          </cell>
        </row>
        <row r="1210">
          <cell r="A1210">
            <v>8828119482</v>
          </cell>
          <cell r="B1210">
            <v>464</v>
          </cell>
          <cell r="C1210" t="str">
            <v>BOMBILLO PARA LUCES DE OBSTRUCCION 100W N2 23</v>
          </cell>
          <cell r="D1210" t="str">
            <v>Nivel 2</v>
          </cell>
          <cell r="E1210" t="str">
            <v>Uni</v>
          </cell>
          <cell r="F1210">
            <v>100480</v>
          </cell>
          <cell r="G1210" t="str">
            <v>N2</v>
          </cell>
        </row>
        <row r="1211">
          <cell r="A1211">
            <v>8828119493</v>
          </cell>
          <cell r="B1211">
            <v>465</v>
          </cell>
          <cell r="C1211" t="str">
            <v>BOMBIN DE COMBUSTIBLE PARA LA PLANTA LISTER HL6 N2 23</v>
          </cell>
          <cell r="D1211" t="str">
            <v>Nivel 2</v>
          </cell>
          <cell r="E1211" t="str">
            <v>Uni</v>
          </cell>
          <cell r="F1211">
            <v>4764250</v>
          </cell>
          <cell r="G1211" t="str">
            <v>N2</v>
          </cell>
        </row>
        <row r="1212">
          <cell r="A1212">
            <v>8828119502</v>
          </cell>
          <cell r="B1212">
            <v>466</v>
          </cell>
          <cell r="C1212" t="str">
            <v>BORNE BATERIAS DE ARRANQUE N2 23</v>
          </cell>
          <cell r="D1212" t="str">
            <v>Nivel 2</v>
          </cell>
          <cell r="E1212" t="str">
            <v>Uni</v>
          </cell>
          <cell r="F1212">
            <v>7642</v>
          </cell>
          <cell r="G1212" t="str">
            <v>N2</v>
          </cell>
        </row>
        <row r="1213">
          <cell r="A1213">
            <v>8828119511</v>
          </cell>
          <cell r="B1213">
            <v>467</v>
          </cell>
          <cell r="C1213" t="str">
            <v>BREAKEMATIC TRIFASICO N2 23</v>
          </cell>
          <cell r="D1213" t="str">
            <v>Nivel 2</v>
          </cell>
          <cell r="E1213" t="str">
            <v>Uni</v>
          </cell>
          <cell r="F1213">
            <v>331160</v>
          </cell>
          <cell r="G1213" t="str">
            <v>N2</v>
          </cell>
        </row>
        <row r="1214">
          <cell r="A1214">
            <v>8828119521</v>
          </cell>
          <cell r="B1214">
            <v>468</v>
          </cell>
          <cell r="C1214" t="str">
            <v>BREAKER TRIPOLAR 3X100A N2 23</v>
          </cell>
          <cell r="D1214" t="str">
            <v>Nivel 2</v>
          </cell>
          <cell r="E1214" t="str">
            <v>Uni</v>
          </cell>
          <cell r="F1214">
            <v>210122</v>
          </cell>
          <cell r="G1214" t="str">
            <v>N2</v>
          </cell>
        </row>
        <row r="1215">
          <cell r="A1215">
            <v>8828119527</v>
          </cell>
          <cell r="B1215">
            <v>469</v>
          </cell>
          <cell r="C1215" t="str">
            <v>BREAKER TRIPOLAR 3X60A N2 23</v>
          </cell>
          <cell r="D1215" t="str">
            <v>Nivel 2</v>
          </cell>
          <cell r="E1215" t="str">
            <v>Uni</v>
          </cell>
          <cell r="F1215">
            <v>238324</v>
          </cell>
          <cell r="G1215" t="str">
            <v>N2</v>
          </cell>
        </row>
        <row r="1216">
          <cell r="A1216">
            <v>8828119541</v>
          </cell>
          <cell r="B1216">
            <v>470</v>
          </cell>
          <cell r="C1216" t="str">
            <v>BREAKER TRIPOLAR 3X80A N2 23</v>
          </cell>
          <cell r="D1216" t="str">
            <v>Nivel 2</v>
          </cell>
          <cell r="E1216" t="str">
            <v>Uni</v>
          </cell>
          <cell r="F1216">
            <v>238324</v>
          </cell>
          <cell r="G1216" t="str">
            <v>N2</v>
          </cell>
        </row>
        <row r="1217">
          <cell r="A1217">
            <v>8828119549</v>
          </cell>
          <cell r="B1217">
            <v>471</v>
          </cell>
          <cell r="C1217" t="str">
            <v>BREAKER ENCHUFABLE TRIPOLAR 3X100A N2 23</v>
          </cell>
          <cell r="D1217" t="str">
            <v>Nivel 2</v>
          </cell>
          <cell r="E1217" t="str">
            <v>Uni</v>
          </cell>
          <cell r="F1217">
            <v>210122</v>
          </cell>
          <cell r="G1217" t="str">
            <v>N2</v>
          </cell>
        </row>
        <row r="1218">
          <cell r="A1218">
            <v>8828119559</v>
          </cell>
          <cell r="B1218">
            <v>472</v>
          </cell>
          <cell r="C1218" t="str">
            <v>BREAKER ENCHUFABLE TRIPOLAR 3X15A N2 23</v>
          </cell>
          <cell r="D1218" t="str">
            <v>Nivel 2</v>
          </cell>
          <cell r="E1218" t="str">
            <v>Uni</v>
          </cell>
          <cell r="F1218">
            <v>179591</v>
          </cell>
          <cell r="G1218" t="str">
            <v>N2</v>
          </cell>
        </row>
        <row r="1219">
          <cell r="A1219">
            <v>8828119574</v>
          </cell>
          <cell r="B1219">
            <v>473</v>
          </cell>
          <cell r="C1219" t="str">
            <v>BREAKER ENCHUFABLE TRIPOLAR 3X20A N2 23</v>
          </cell>
          <cell r="D1219" t="str">
            <v>Nivel 2</v>
          </cell>
          <cell r="E1219" t="str">
            <v>Uni</v>
          </cell>
          <cell r="F1219">
            <v>179591</v>
          </cell>
          <cell r="G1219" t="str">
            <v>N2</v>
          </cell>
        </row>
        <row r="1220">
          <cell r="A1220">
            <v>8828119582</v>
          </cell>
          <cell r="B1220">
            <v>474</v>
          </cell>
          <cell r="C1220" t="str">
            <v>BREAKER ENCHUFABLE TRIPOLAR 3X30A N2 23</v>
          </cell>
          <cell r="D1220" t="str">
            <v>Nivel 2</v>
          </cell>
          <cell r="E1220" t="str">
            <v>Uni</v>
          </cell>
          <cell r="F1220">
            <v>179591</v>
          </cell>
          <cell r="G1220" t="str">
            <v>N2</v>
          </cell>
        </row>
        <row r="1221">
          <cell r="A1221">
            <v>8828119592</v>
          </cell>
          <cell r="B1221">
            <v>475</v>
          </cell>
          <cell r="C1221" t="str">
            <v>BREAKER ENCHUFABLE TRIPOLAR 3X40A N2 23</v>
          </cell>
          <cell r="D1221" t="str">
            <v>Nivel 2</v>
          </cell>
          <cell r="E1221" t="str">
            <v>Uni</v>
          </cell>
          <cell r="F1221">
            <v>179591</v>
          </cell>
          <cell r="G1221" t="str">
            <v>N2</v>
          </cell>
        </row>
        <row r="1222">
          <cell r="A1222">
            <v>8828119603</v>
          </cell>
          <cell r="B1222">
            <v>476</v>
          </cell>
          <cell r="C1222" t="str">
            <v>BREAKER ENCHUFABLE TRIPOLAR 3X50A N2 23</v>
          </cell>
          <cell r="D1222" t="str">
            <v>Nivel 2</v>
          </cell>
          <cell r="E1222" t="str">
            <v>Uni</v>
          </cell>
          <cell r="F1222">
            <v>179591</v>
          </cell>
          <cell r="G1222" t="str">
            <v>N2</v>
          </cell>
        </row>
        <row r="1223">
          <cell r="A1223">
            <v>8828119611</v>
          </cell>
          <cell r="B1223">
            <v>477</v>
          </cell>
          <cell r="C1223" t="str">
            <v>BREAKER ENCHUFABLE TRIPOLAR 3X60A N2 23</v>
          </cell>
          <cell r="D1223" t="str">
            <v>Nivel 2</v>
          </cell>
          <cell r="E1223" t="str">
            <v>Uni</v>
          </cell>
          <cell r="F1223">
            <v>179591</v>
          </cell>
          <cell r="G1223" t="str">
            <v>N2</v>
          </cell>
        </row>
        <row r="1224">
          <cell r="A1224">
            <v>8828119623</v>
          </cell>
          <cell r="B1224">
            <v>478</v>
          </cell>
          <cell r="C1224" t="str">
            <v>BREAKER ENCHUFABLE TRIPOLAR 3X70A N2 23</v>
          </cell>
          <cell r="D1224" t="str">
            <v>Nivel 2</v>
          </cell>
          <cell r="E1224" t="str">
            <v>Uni</v>
          </cell>
          <cell r="F1224">
            <v>190522</v>
          </cell>
          <cell r="G1224" t="str">
            <v>N2</v>
          </cell>
        </row>
        <row r="1225">
          <cell r="A1225">
            <v>8828119633</v>
          </cell>
          <cell r="B1225">
            <v>479</v>
          </cell>
          <cell r="C1225" t="str">
            <v>Breaker Totalizador tipo Industrial de hasta 150 A N2 23</v>
          </cell>
          <cell r="D1225" t="str">
            <v>Nivel 2</v>
          </cell>
          <cell r="E1225" t="str">
            <v>GL</v>
          </cell>
          <cell r="F1225">
            <v>367098</v>
          </cell>
          <cell r="G1225" t="str">
            <v>N2</v>
          </cell>
        </row>
        <row r="1226">
          <cell r="A1226">
            <v>8828119650</v>
          </cell>
          <cell r="B1226">
            <v>480</v>
          </cell>
          <cell r="C1226" t="str">
            <v>CABLE ALUMINIO AWG 2X6+6 N2 23</v>
          </cell>
          <cell r="D1226" t="str">
            <v>Nivel 2</v>
          </cell>
          <cell r="E1226" t="str">
            <v>M</v>
          </cell>
          <cell r="F1226">
            <v>12737</v>
          </cell>
          <cell r="G1226" t="str">
            <v>N2</v>
          </cell>
        </row>
        <row r="1227">
          <cell r="A1227">
            <v>8828119668</v>
          </cell>
          <cell r="B1227">
            <v>481</v>
          </cell>
          <cell r="C1227" t="str">
            <v>CABLE ALUMINIO AWG 2X8+8 N2 23</v>
          </cell>
          <cell r="D1227" t="str">
            <v>Nivel 2</v>
          </cell>
          <cell r="E1227" t="str">
            <v>M</v>
          </cell>
          <cell r="F1227">
            <v>14432</v>
          </cell>
          <cell r="G1227" t="str">
            <v>N2</v>
          </cell>
        </row>
        <row r="1228">
          <cell r="A1228">
            <v>8828119677</v>
          </cell>
          <cell r="B1228">
            <v>482</v>
          </cell>
          <cell r="C1228" t="str">
            <v>CABLE COBRE DESNUDO AWG 4 N2 23</v>
          </cell>
          <cell r="D1228" t="str">
            <v>Nivel 2</v>
          </cell>
          <cell r="E1228" t="str">
            <v>M</v>
          </cell>
          <cell r="F1228">
            <v>12714</v>
          </cell>
          <cell r="G1228" t="str">
            <v>N2</v>
          </cell>
        </row>
        <row r="1229">
          <cell r="A1229">
            <v>8828119686</v>
          </cell>
          <cell r="B1229">
            <v>483</v>
          </cell>
          <cell r="C1229" t="str">
            <v>CABLE COBRE DESNUDO AWG 6 N2 23</v>
          </cell>
          <cell r="D1229" t="str">
            <v>Nivel 2</v>
          </cell>
          <cell r="E1229" t="str">
            <v>M</v>
          </cell>
          <cell r="F1229">
            <v>8263</v>
          </cell>
          <cell r="G1229" t="str">
            <v>N2</v>
          </cell>
        </row>
        <row r="1230">
          <cell r="A1230">
            <v>8828119694</v>
          </cell>
          <cell r="B1230">
            <v>484</v>
          </cell>
          <cell r="C1230" t="str">
            <v>CABLE COBRE FLEXIBLE VEHICULAR GPT AWG 10 N2 23</v>
          </cell>
          <cell r="D1230" t="str">
            <v>Nivel 2</v>
          </cell>
          <cell r="E1230" t="str">
            <v>M</v>
          </cell>
          <cell r="F1230">
            <v>1799</v>
          </cell>
          <cell r="G1230" t="str">
            <v>N2</v>
          </cell>
        </row>
        <row r="1231">
          <cell r="A1231">
            <v>8828119704</v>
          </cell>
          <cell r="B1231">
            <v>485</v>
          </cell>
          <cell r="C1231" t="str">
            <v>CABLE COBRE FLEXIBLE VEHICULAR GPT AWG 12 N2 23</v>
          </cell>
          <cell r="D1231" t="str">
            <v>Nivel 2</v>
          </cell>
          <cell r="E1231" t="str">
            <v>M</v>
          </cell>
          <cell r="F1231">
            <v>1567</v>
          </cell>
          <cell r="G1231" t="str">
            <v>N2</v>
          </cell>
        </row>
        <row r="1232">
          <cell r="A1232">
            <v>8828119713</v>
          </cell>
          <cell r="B1232">
            <v>486</v>
          </cell>
          <cell r="C1232" t="str">
            <v>CABLE COBRE FLEXIBLE VEHICULAR GPT AWG 14 N2 23</v>
          </cell>
          <cell r="D1232" t="str">
            <v>Nivel 2</v>
          </cell>
          <cell r="E1232" t="str">
            <v>M</v>
          </cell>
          <cell r="F1232">
            <v>1334</v>
          </cell>
          <cell r="G1232" t="str">
            <v>N2</v>
          </cell>
        </row>
        <row r="1233">
          <cell r="A1233">
            <v>8828119722</v>
          </cell>
          <cell r="B1233">
            <v>487</v>
          </cell>
          <cell r="C1233" t="str">
            <v>CABLE COBRE FLEXIBLE VEHICULAR GPT AWG 16 N2 23</v>
          </cell>
          <cell r="D1233" t="str">
            <v>Nivel 2</v>
          </cell>
          <cell r="E1233" t="str">
            <v>M</v>
          </cell>
          <cell r="F1233">
            <v>1102</v>
          </cell>
          <cell r="G1233" t="str">
            <v>N2</v>
          </cell>
        </row>
        <row r="1234">
          <cell r="A1234">
            <v>8828119730</v>
          </cell>
          <cell r="B1234">
            <v>488</v>
          </cell>
          <cell r="C1234" t="str">
            <v>CABLE COBRE FLEXIBLE VEHICULAR GPT AWG 6 N2 23</v>
          </cell>
          <cell r="D1234" t="str">
            <v>Nivel 2</v>
          </cell>
          <cell r="E1234" t="str">
            <v>M</v>
          </cell>
          <cell r="F1234">
            <v>5702</v>
          </cell>
          <cell r="G1234" t="str">
            <v>N2</v>
          </cell>
        </row>
        <row r="1235">
          <cell r="A1235">
            <v>8828119741</v>
          </cell>
          <cell r="B1235">
            <v>489</v>
          </cell>
          <cell r="C1235" t="str">
            <v>CABLE COBRE FLEXIBLE VEHICULAR GPT AWG 8 N2 23</v>
          </cell>
          <cell r="D1235" t="str">
            <v>Nivel 2</v>
          </cell>
          <cell r="E1235" t="str">
            <v>M</v>
          </cell>
          <cell r="F1235">
            <v>4458</v>
          </cell>
          <cell r="G1235" t="str">
            <v>N2</v>
          </cell>
        </row>
        <row r="1236">
          <cell r="A1236">
            <v>8828119751</v>
          </cell>
          <cell r="B1236">
            <v>490</v>
          </cell>
          <cell r="C1236" t="str">
            <v>CABLE CONCENTRICO ANTIFRAUDE AWG 2X6+6 N2 23</v>
          </cell>
          <cell r="D1236" t="str">
            <v>Nivel 2</v>
          </cell>
          <cell r="E1236" t="str">
            <v>M</v>
          </cell>
          <cell r="F1236">
            <v>27844</v>
          </cell>
          <cell r="G1236" t="str">
            <v>N2</v>
          </cell>
        </row>
        <row r="1237">
          <cell r="A1237">
            <v>8828119760</v>
          </cell>
          <cell r="B1237">
            <v>491</v>
          </cell>
          <cell r="C1237" t="str">
            <v>CABLE CONCENTRICO ANTIFRAUDE AWG 2X8+8c N2 23</v>
          </cell>
          <cell r="D1237" t="str">
            <v>Nivel 2</v>
          </cell>
          <cell r="E1237" t="str">
            <v>M</v>
          </cell>
          <cell r="F1237">
            <v>19214</v>
          </cell>
          <cell r="G1237" t="str">
            <v>N2</v>
          </cell>
        </row>
        <row r="1238">
          <cell r="A1238">
            <v>8828119769</v>
          </cell>
          <cell r="B1238">
            <v>492</v>
          </cell>
          <cell r="C1238" t="str">
            <v>CABLE EN ACERO 1/4" N2 23</v>
          </cell>
          <cell r="D1238" t="str">
            <v>Nivel 2</v>
          </cell>
          <cell r="E1238" t="str">
            <v>M</v>
          </cell>
          <cell r="F1238">
            <v>11013</v>
          </cell>
          <cell r="G1238" t="str">
            <v>N2</v>
          </cell>
        </row>
        <row r="1239">
          <cell r="A1239">
            <v>8828119778</v>
          </cell>
          <cell r="B1239">
            <v>493</v>
          </cell>
          <cell r="C1239" t="str">
            <v>CABLE EN ACERO GALVANIZADO DE 1/4" 6X19 HILOS N2 23</v>
          </cell>
          <cell r="D1239" t="str">
            <v>Nivel 2</v>
          </cell>
          <cell r="E1239" t="str">
            <v>M</v>
          </cell>
          <cell r="F1239">
            <v>18420</v>
          </cell>
          <cell r="G1239" t="str">
            <v>N2</v>
          </cell>
        </row>
        <row r="1240">
          <cell r="A1240">
            <v>8828119785</v>
          </cell>
          <cell r="B1240">
            <v>494</v>
          </cell>
          <cell r="C1240" t="str">
            <v>Cableado General y Configurado de ATS de 0 a 15 KVA a Red y a Planta N2 23</v>
          </cell>
          <cell r="D1240" t="str">
            <v>Nivel 2</v>
          </cell>
          <cell r="E1240" t="str">
            <v>GL</v>
          </cell>
          <cell r="F1240">
            <v>674050</v>
          </cell>
          <cell r="G1240" t="str">
            <v>N2</v>
          </cell>
        </row>
        <row r="1241">
          <cell r="A1241">
            <v>8828119792</v>
          </cell>
          <cell r="B1241">
            <v>495</v>
          </cell>
          <cell r="C1241" t="str">
            <v>Cableado General y Configurado de ATS de 15 a 30 KVA a Red y a Planta N2 23</v>
          </cell>
          <cell r="D1241" t="str">
            <v>Nivel 2</v>
          </cell>
          <cell r="E1241" t="str">
            <v>GL</v>
          </cell>
          <cell r="F1241">
            <v>842563</v>
          </cell>
          <cell r="G1241" t="str">
            <v>N2</v>
          </cell>
        </row>
        <row r="1242">
          <cell r="A1242">
            <v>8828119801</v>
          </cell>
          <cell r="B1242">
            <v>496</v>
          </cell>
          <cell r="C1242" t="str">
            <v>CAJA 12 CIRCUITOS N2 23</v>
          </cell>
          <cell r="D1242" t="str">
            <v>Nivel 2</v>
          </cell>
          <cell r="E1242" t="str">
            <v>Uni</v>
          </cell>
          <cell r="F1242">
            <v>172557</v>
          </cell>
          <cell r="G1242" t="str">
            <v>N2</v>
          </cell>
        </row>
        <row r="1243">
          <cell r="A1243">
            <v>8828118996</v>
          </cell>
          <cell r="B1243">
            <v>497</v>
          </cell>
          <cell r="C1243" t="str">
            <v>CAJA 18 CONTACTOS N2 23</v>
          </cell>
          <cell r="D1243" t="str">
            <v>Nivel 2</v>
          </cell>
          <cell r="E1243" t="str">
            <v>Uni</v>
          </cell>
          <cell r="F1243">
            <v>313046</v>
          </cell>
          <cell r="G1243" t="str">
            <v>N2</v>
          </cell>
        </row>
        <row r="1244">
          <cell r="A1244">
            <v>8828119016</v>
          </cell>
          <cell r="B1244">
            <v>498</v>
          </cell>
          <cell r="C1244" t="str">
            <v>CAJA PARA CONTADOR MONOFASICO N2 23</v>
          </cell>
          <cell r="D1244" t="str">
            <v>Nivel 2</v>
          </cell>
          <cell r="E1244" t="str">
            <v>Uni</v>
          </cell>
          <cell r="F1244">
            <v>104374</v>
          </cell>
          <cell r="G1244" t="str">
            <v>N2</v>
          </cell>
        </row>
        <row r="1245">
          <cell r="A1245">
            <v>8828119026</v>
          </cell>
          <cell r="B1245">
            <v>499</v>
          </cell>
          <cell r="C1245" t="str">
            <v>Cambio de Rodamiento Generador 16 KVA N2 23</v>
          </cell>
          <cell r="D1245" t="str">
            <v>Nivel 2</v>
          </cell>
          <cell r="E1245" t="str">
            <v>GL</v>
          </cell>
          <cell r="F1245">
            <v>637390</v>
          </cell>
          <cell r="G1245" t="str">
            <v>N2</v>
          </cell>
        </row>
        <row r="1246">
          <cell r="A1246">
            <v>8828119035</v>
          </cell>
          <cell r="B1246">
            <v>500</v>
          </cell>
          <cell r="C1246" t="str">
            <v>Cambio de Rodamiento Generador 30 KVA N2 23</v>
          </cell>
          <cell r="D1246" t="str">
            <v>Nivel 2</v>
          </cell>
          <cell r="E1246" t="str">
            <v>GL</v>
          </cell>
          <cell r="F1246">
            <v>676575</v>
          </cell>
          <cell r="G1246" t="str">
            <v>N2</v>
          </cell>
        </row>
        <row r="1247">
          <cell r="A1247">
            <v>8828119050</v>
          </cell>
          <cell r="B1247">
            <v>501</v>
          </cell>
          <cell r="C1247" t="str">
            <v>CANECA PLASTICA DE 55 GALONES CON TAPA N2 23</v>
          </cell>
          <cell r="D1247" t="str">
            <v>Nivel 2</v>
          </cell>
          <cell r="E1247" t="str">
            <v>Uni</v>
          </cell>
          <cell r="F1247">
            <v>641126</v>
          </cell>
          <cell r="G1247" t="str">
            <v>N2</v>
          </cell>
        </row>
        <row r="1248">
          <cell r="A1248">
            <v>8828119061</v>
          </cell>
          <cell r="B1248">
            <v>502</v>
          </cell>
          <cell r="C1248" t="str">
            <v>CAPACITOR DE ARRANQUE 10 µf N2 23</v>
          </cell>
          <cell r="D1248" t="str">
            <v>Nivel 2</v>
          </cell>
          <cell r="E1248" t="str">
            <v>Uni</v>
          </cell>
          <cell r="F1248">
            <v>2578</v>
          </cell>
          <cell r="G1248" t="str">
            <v>N2</v>
          </cell>
        </row>
        <row r="1249">
          <cell r="A1249">
            <v>8828119816</v>
          </cell>
          <cell r="B1249">
            <v>503</v>
          </cell>
          <cell r="C1249" t="str">
            <v>CAPACITOR DE ARRAQUE 12.5 µF N2 23</v>
          </cell>
          <cell r="D1249" t="str">
            <v>Nivel 2</v>
          </cell>
          <cell r="E1249" t="str">
            <v>Uni</v>
          </cell>
          <cell r="F1249">
            <v>4045</v>
          </cell>
          <cell r="G1249" t="str">
            <v>N2</v>
          </cell>
        </row>
        <row r="1250">
          <cell r="A1250">
            <v>8828119824</v>
          </cell>
          <cell r="B1250">
            <v>504</v>
          </cell>
          <cell r="C1250" t="str">
            <v>CAPACITOR DE MARCHA 10 µf N2 23</v>
          </cell>
          <cell r="D1250" t="str">
            <v>Nivel 2</v>
          </cell>
          <cell r="E1250" t="str">
            <v>Uni</v>
          </cell>
          <cell r="F1250">
            <v>9031</v>
          </cell>
          <cell r="G1250" t="str">
            <v>N2</v>
          </cell>
        </row>
        <row r="1251">
          <cell r="A1251">
            <v>8828119071</v>
          </cell>
          <cell r="B1251">
            <v>505</v>
          </cell>
          <cell r="C1251" t="str">
            <v>CAPACITOR DE MARCHA12.5 µf N2 23</v>
          </cell>
          <cell r="D1251" t="str">
            <v>Nivel 2</v>
          </cell>
          <cell r="E1251" t="str">
            <v>Uni</v>
          </cell>
          <cell r="F1251">
            <v>10891</v>
          </cell>
          <cell r="G1251" t="str">
            <v>N2</v>
          </cell>
        </row>
        <row r="1252">
          <cell r="A1252">
            <v>8828119079</v>
          </cell>
          <cell r="B1252">
            <v>506</v>
          </cell>
          <cell r="C1252" t="str">
            <v>CAPERUZA FARO 100W 110V N2 23</v>
          </cell>
          <cell r="D1252" t="str">
            <v>Nivel 2</v>
          </cell>
          <cell r="E1252" t="str">
            <v>Uni</v>
          </cell>
          <cell r="F1252">
            <v>141931</v>
          </cell>
          <cell r="G1252" t="str">
            <v>N2</v>
          </cell>
        </row>
        <row r="1253">
          <cell r="A1253">
            <v>8828119089</v>
          </cell>
          <cell r="B1253">
            <v>507</v>
          </cell>
          <cell r="C1253" t="str">
            <v>CAPERUZA FARO 300W 110V N2 23</v>
          </cell>
          <cell r="D1253" t="str">
            <v>Nivel 2</v>
          </cell>
          <cell r="E1253" t="str">
            <v>Uni</v>
          </cell>
          <cell r="F1253">
            <v>69214</v>
          </cell>
          <cell r="G1253" t="str">
            <v>N2</v>
          </cell>
        </row>
        <row r="1254">
          <cell r="A1254">
            <v>8828119097</v>
          </cell>
          <cell r="B1254">
            <v>508</v>
          </cell>
          <cell r="C1254" t="str">
            <v>CAPERUZA LUZ DE OBSTRUCION 200W N2 23</v>
          </cell>
          <cell r="D1254" t="str">
            <v>Nivel 2</v>
          </cell>
          <cell r="E1254" t="str">
            <v>Uni</v>
          </cell>
          <cell r="F1254">
            <v>99892</v>
          </cell>
          <cell r="G1254" t="str">
            <v>N2</v>
          </cell>
        </row>
        <row r="1255">
          <cell r="A1255">
            <v>8828119107</v>
          </cell>
          <cell r="B1255">
            <v>509</v>
          </cell>
          <cell r="C1255" t="str">
            <v>CARGADOR AUTOMATICO BATERIAS 12VDC / 10 A (VOLTIMETRO Y AMPERIMETRO) N2 23</v>
          </cell>
          <cell r="D1255" t="str">
            <v>Nivel 2</v>
          </cell>
          <cell r="E1255" t="str">
            <v>Uni</v>
          </cell>
          <cell r="F1255">
            <v>343103</v>
          </cell>
          <cell r="G1255" t="str">
            <v>N2</v>
          </cell>
        </row>
        <row r="1256">
          <cell r="A1256">
            <v>8828119116</v>
          </cell>
          <cell r="B1256">
            <v>510</v>
          </cell>
          <cell r="C1256" t="str">
            <v>CARGADOR AUTOMATICO BATERIAS 12VDC / 20 A (VOLTIMETRO Y AMPERIMETRO) N2 23</v>
          </cell>
          <cell r="D1256" t="str">
            <v>Nivel 2</v>
          </cell>
          <cell r="E1256" t="str">
            <v>Uni</v>
          </cell>
          <cell r="F1256">
            <v>389105</v>
          </cell>
          <cell r="G1256" t="str">
            <v>N2</v>
          </cell>
        </row>
        <row r="1257">
          <cell r="A1257">
            <v>8828119129</v>
          </cell>
          <cell r="B1257">
            <v>511</v>
          </cell>
          <cell r="C1257" t="str">
            <v>CARGADOR AUTOMATICO BATERIAS 24VDC / 10 A (VOLTIMETRO Y AMPERIMETRO) N2 23</v>
          </cell>
          <cell r="D1257" t="str">
            <v>Nivel 2</v>
          </cell>
          <cell r="E1257" t="str">
            <v>Uni</v>
          </cell>
          <cell r="F1257">
            <v>198109</v>
          </cell>
          <cell r="G1257" t="str">
            <v>N2</v>
          </cell>
        </row>
        <row r="1258">
          <cell r="A1258">
            <v>8828119139</v>
          </cell>
          <cell r="B1258">
            <v>512</v>
          </cell>
          <cell r="C1258" t="str">
            <v>CARGADOR AUTOMATICO BATERIAS 24VDC / 20 A (VOLTIMETRO Y AMPERIMETRO) N2 23</v>
          </cell>
          <cell r="D1258" t="str">
            <v>Nivel 2</v>
          </cell>
          <cell r="E1258" t="str">
            <v>Uni</v>
          </cell>
          <cell r="F1258">
            <v>404669</v>
          </cell>
          <cell r="G1258" t="str">
            <v>N2</v>
          </cell>
        </row>
        <row r="1259">
          <cell r="A1259">
            <v>8828119149</v>
          </cell>
          <cell r="B1259">
            <v>513</v>
          </cell>
          <cell r="C1259" t="str">
            <v>CILINDRO REFRIGERANTE R 407A X 30 LBS N2 23</v>
          </cell>
          <cell r="D1259" t="str">
            <v>Nivel 2</v>
          </cell>
          <cell r="E1259" t="str">
            <v>Uni</v>
          </cell>
          <cell r="F1259">
            <v>665732</v>
          </cell>
          <cell r="G1259" t="str">
            <v>N2</v>
          </cell>
        </row>
        <row r="1260">
          <cell r="A1260">
            <v>8828119159</v>
          </cell>
          <cell r="B1260">
            <v>514</v>
          </cell>
          <cell r="C1260" t="str">
            <v>CILINDRO REFRIGERANTE R 410 X 30 LBS N2 23</v>
          </cell>
          <cell r="D1260" t="str">
            <v>Nivel 2</v>
          </cell>
          <cell r="E1260" t="str">
            <v>Uni</v>
          </cell>
          <cell r="F1260">
            <v>682306</v>
          </cell>
          <cell r="G1260" t="str">
            <v>N2</v>
          </cell>
        </row>
        <row r="1261">
          <cell r="A1261">
            <v>8828119169</v>
          </cell>
          <cell r="B1261">
            <v>515</v>
          </cell>
          <cell r="C1261" t="str">
            <v>CILINDRO REFRIGERANTE R22 X 30 LBS N2 23</v>
          </cell>
          <cell r="D1261" t="str">
            <v>Nivel 2</v>
          </cell>
          <cell r="E1261" t="str">
            <v>Uni</v>
          </cell>
          <cell r="F1261">
            <v>223968</v>
          </cell>
          <cell r="G1261" t="str">
            <v>N2</v>
          </cell>
        </row>
        <row r="1262">
          <cell r="A1262">
            <v>8828119178</v>
          </cell>
          <cell r="B1262">
            <v>516</v>
          </cell>
          <cell r="C1262" t="str">
            <v>CINTA BANDIT 3/4” N2 23</v>
          </cell>
          <cell r="D1262" t="str">
            <v>Nivel 2</v>
          </cell>
          <cell r="E1262" t="str">
            <v>Uni</v>
          </cell>
          <cell r="F1262">
            <v>4997</v>
          </cell>
          <cell r="G1262" t="str">
            <v>N2</v>
          </cell>
        </row>
        <row r="1263">
          <cell r="A1263">
            <v>8828119186</v>
          </cell>
          <cell r="B1263">
            <v>517</v>
          </cell>
          <cell r="C1263" t="str">
            <v>CODO COBRE 1" N2 23</v>
          </cell>
          <cell r="D1263" t="str">
            <v>Nivel 2</v>
          </cell>
          <cell r="E1263" t="str">
            <v>Uni</v>
          </cell>
          <cell r="F1263">
            <v>25086</v>
          </cell>
          <cell r="G1263" t="str">
            <v>N2</v>
          </cell>
        </row>
        <row r="1264">
          <cell r="A1264">
            <v>8828119202</v>
          </cell>
          <cell r="B1264">
            <v>518</v>
          </cell>
          <cell r="C1264" t="str">
            <v>CODO COBRE 1/2" N2 23</v>
          </cell>
          <cell r="D1264" t="str">
            <v>Nivel 2</v>
          </cell>
          <cell r="E1264" t="str">
            <v>Uni</v>
          </cell>
          <cell r="F1264">
            <v>1901</v>
          </cell>
          <cell r="G1264" t="str">
            <v>N2</v>
          </cell>
        </row>
        <row r="1265">
          <cell r="A1265">
            <v>8828119217</v>
          </cell>
          <cell r="B1265">
            <v>519</v>
          </cell>
          <cell r="C1265" t="str">
            <v>COMPRESOR 1 TR. RECIPROCANTE. MONOF. 208-220V. N2 23</v>
          </cell>
          <cell r="D1265" t="str">
            <v>Nivel 2</v>
          </cell>
          <cell r="E1265" t="str">
            <v>Uni</v>
          </cell>
          <cell r="F1265">
            <v>596700</v>
          </cell>
          <cell r="G1265" t="str">
            <v>N2</v>
          </cell>
        </row>
        <row r="1266">
          <cell r="A1266">
            <v>8828119227</v>
          </cell>
          <cell r="B1266">
            <v>520</v>
          </cell>
          <cell r="C1266" t="str">
            <v>COMPRESOR 1.25 TR. MONOF. RECIPROCANTE 220 VOLT. N2 23</v>
          </cell>
          <cell r="D1266" t="str">
            <v>Nivel 2</v>
          </cell>
          <cell r="E1266" t="str">
            <v>Uni</v>
          </cell>
          <cell r="F1266">
            <v>816042</v>
          </cell>
          <cell r="G1266" t="str">
            <v>N2</v>
          </cell>
        </row>
        <row r="1267">
          <cell r="A1267">
            <v>8828119323</v>
          </cell>
          <cell r="B1267">
            <v>521</v>
          </cell>
          <cell r="C1267" t="str">
            <v>COMPRESOR 1.5 TR HERMETICO N2 23</v>
          </cell>
          <cell r="D1267" t="str">
            <v>Nivel 2</v>
          </cell>
          <cell r="E1267" t="str">
            <v>Uni</v>
          </cell>
          <cell r="F1267">
            <v>972061</v>
          </cell>
          <cell r="G1267" t="str">
            <v>N2</v>
          </cell>
        </row>
        <row r="1268">
          <cell r="A1268">
            <v>8828119333</v>
          </cell>
          <cell r="B1268">
            <v>522</v>
          </cell>
          <cell r="C1268" t="str">
            <v>COMPRESOR 1.5 TR. MONOFASICO RECIPROCANTE 208-220VOLT. N2 23</v>
          </cell>
          <cell r="D1268" t="str">
            <v>Nivel 2</v>
          </cell>
          <cell r="E1268" t="str">
            <v>Uni</v>
          </cell>
          <cell r="F1268">
            <v>727859</v>
          </cell>
          <cell r="G1268" t="str">
            <v>N2</v>
          </cell>
        </row>
        <row r="1269">
          <cell r="A1269">
            <v>8828119342</v>
          </cell>
          <cell r="B1269">
            <v>523</v>
          </cell>
          <cell r="C1269" t="str">
            <v>COMPRESOR 18000 BTU 208/220 N2 23</v>
          </cell>
          <cell r="D1269" t="str">
            <v>Nivel 2</v>
          </cell>
          <cell r="E1269" t="str">
            <v>Uni</v>
          </cell>
          <cell r="F1269">
            <v>1258559</v>
          </cell>
          <cell r="G1269" t="str">
            <v>N2</v>
          </cell>
        </row>
        <row r="1270">
          <cell r="A1270">
            <v>8828119349</v>
          </cell>
          <cell r="B1270">
            <v>524</v>
          </cell>
          <cell r="C1270" t="str">
            <v>COMPRESOR ROTATIVO 12 000 BTU 220V N2 23</v>
          </cell>
          <cell r="D1270" t="str">
            <v>Nivel 2</v>
          </cell>
          <cell r="E1270" t="str">
            <v>Uni</v>
          </cell>
          <cell r="F1270">
            <v>503880</v>
          </cell>
          <cell r="G1270" t="str">
            <v>N2</v>
          </cell>
        </row>
        <row r="1271">
          <cell r="A1271">
            <v>8828119356</v>
          </cell>
          <cell r="B1271">
            <v>525</v>
          </cell>
          <cell r="C1271" t="str">
            <v>COMPRESOR ROTATIVO 12.000 BTU 110 VOLT N2 23</v>
          </cell>
          <cell r="D1271" t="str">
            <v>Nivel 2</v>
          </cell>
          <cell r="E1271" t="str">
            <v>Uni</v>
          </cell>
          <cell r="F1271">
            <v>480735</v>
          </cell>
          <cell r="G1271" t="str">
            <v>N2</v>
          </cell>
        </row>
        <row r="1272">
          <cell r="A1272">
            <v>8828119364</v>
          </cell>
          <cell r="B1272">
            <v>526</v>
          </cell>
          <cell r="C1272" t="str">
            <v>COMPRESOR ROTATIVO 18.000 BTU 110 VOLT N2 23</v>
          </cell>
          <cell r="D1272" t="str">
            <v>Nivel 2</v>
          </cell>
          <cell r="E1272" t="str">
            <v>Uni</v>
          </cell>
          <cell r="F1272">
            <v>439253</v>
          </cell>
          <cell r="G1272" t="str">
            <v>N2</v>
          </cell>
        </row>
        <row r="1273">
          <cell r="A1273">
            <v>8828119372</v>
          </cell>
          <cell r="B1273">
            <v>527</v>
          </cell>
          <cell r="C1273" t="str">
            <v>CONDENSADORA PARA AIRE DE 3 TR N2 23</v>
          </cell>
          <cell r="D1273" t="str">
            <v>Nivel 2</v>
          </cell>
          <cell r="E1273" t="str">
            <v>Uni</v>
          </cell>
          <cell r="F1273">
            <v>4469031</v>
          </cell>
          <cell r="G1273" t="str">
            <v>N2</v>
          </cell>
        </row>
        <row r="1274">
          <cell r="A1274">
            <v>8828119381</v>
          </cell>
          <cell r="B1274">
            <v>528</v>
          </cell>
          <cell r="C1274" t="str">
            <v>CONDENSADORA PARA AIRE DE 5 TR N2 23</v>
          </cell>
          <cell r="D1274" t="str">
            <v>Nivel 2</v>
          </cell>
          <cell r="E1274" t="str">
            <v>Uni</v>
          </cell>
          <cell r="F1274">
            <v>6126375</v>
          </cell>
          <cell r="G1274" t="str">
            <v>N2</v>
          </cell>
        </row>
        <row r="1275">
          <cell r="A1275">
            <v>8828119391</v>
          </cell>
          <cell r="B1275">
            <v>529</v>
          </cell>
          <cell r="C1275" t="str">
            <v>CONECTOR VARILLA COOPERWELL 5/8 N2 23</v>
          </cell>
          <cell r="D1275" t="str">
            <v>Nivel 2</v>
          </cell>
          <cell r="E1275" t="str">
            <v>Uni</v>
          </cell>
          <cell r="F1275">
            <v>9992</v>
          </cell>
          <cell r="G1275" t="str">
            <v>N2</v>
          </cell>
        </row>
        <row r="1276">
          <cell r="A1276">
            <v>8828119401</v>
          </cell>
          <cell r="B1276">
            <v>530</v>
          </cell>
          <cell r="C1276" t="str">
            <v>CONJUNTO DE FAROS DE 200W 110V N2 23</v>
          </cell>
          <cell r="D1276" t="str">
            <v>Nivel 2</v>
          </cell>
          <cell r="E1276" t="str">
            <v>Uni</v>
          </cell>
          <cell r="F1276">
            <v>1068946</v>
          </cell>
          <cell r="G1276" t="str">
            <v>N2</v>
          </cell>
        </row>
        <row r="1277">
          <cell r="A1277">
            <v>8828119414</v>
          </cell>
          <cell r="B1277">
            <v>531</v>
          </cell>
          <cell r="C1277" t="str">
            <v>CONJUNTO DE FAROS DE 300W-110V N2 23</v>
          </cell>
          <cell r="D1277" t="str">
            <v>Nivel 2</v>
          </cell>
          <cell r="E1277" t="str">
            <v>Uni</v>
          </cell>
          <cell r="F1277">
            <v>1223183</v>
          </cell>
          <cell r="G1277" t="str">
            <v>N2</v>
          </cell>
        </row>
        <row r="1278">
          <cell r="A1278">
            <v>8828119424</v>
          </cell>
          <cell r="B1278">
            <v>532</v>
          </cell>
          <cell r="C1278" t="str">
            <v>CONJUNTO FARO SENCILLO DE 100W-110V N2 23</v>
          </cell>
          <cell r="D1278" t="str">
            <v>Nivel 2</v>
          </cell>
          <cell r="E1278" t="str">
            <v>Uni</v>
          </cell>
          <cell r="F1278">
            <v>257506</v>
          </cell>
          <cell r="G1278" t="str">
            <v>N2</v>
          </cell>
        </row>
        <row r="1279">
          <cell r="A1279">
            <v>8828119434</v>
          </cell>
          <cell r="B1279">
            <v>533</v>
          </cell>
          <cell r="C1279" t="str">
            <v>CONJUNTO FAROS DE 100W 110V N2 23</v>
          </cell>
          <cell r="D1279" t="str">
            <v>Nivel 2</v>
          </cell>
          <cell r="E1279" t="str">
            <v>Uni</v>
          </cell>
          <cell r="F1279">
            <v>545942</v>
          </cell>
          <cell r="G1279" t="str">
            <v>N2</v>
          </cell>
        </row>
        <row r="1280">
          <cell r="A1280">
            <v>8828119446</v>
          </cell>
          <cell r="B1280">
            <v>534</v>
          </cell>
          <cell r="C1280" t="str">
            <v>CONTACTOR 2P 150A N2 23</v>
          </cell>
          <cell r="D1280" t="str">
            <v>Nivel 2</v>
          </cell>
          <cell r="E1280" t="str">
            <v>Uni</v>
          </cell>
          <cell r="F1280">
            <v>1284605</v>
          </cell>
          <cell r="G1280" t="str">
            <v>N2</v>
          </cell>
        </row>
        <row r="1281">
          <cell r="A1281">
            <v>8828119456</v>
          </cell>
          <cell r="B1281">
            <v>535</v>
          </cell>
          <cell r="C1281" t="str">
            <v>CONTACTOR 12 AMP AC3 2NA+2NC 220V BOBINA 24VAC N2 23</v>
          </cell>
          <cell r="D1281" t="str">
            <v>Nivel 2</v>
          </cell>
          <cell r="E1281" t="str">
            <v>Uni</v>
          </cell>
          <cell r="F1281">
            <v>208858</v>
          </cell>
          <cell r="G1281" t="str">
            <v>N2</v>
          </cell>
        </row>
        <row r="1282">
          <cell r="A1282">
            <v>8828119466</v>
          </cell>
          <cell r="B1282">
            <v>536</v>
          </cell>
          <cell r="C1282" t="str">
            <v>CONTACTOR 12 AMP 3RT 1024 N2 23</v>
          </cell>
          <cell r="D1282" t="str">
            <v>Nivel 2</v>
          </cell>
          <cell r="E1282" t="str">
            <v>Uni</v>
          </cell>
          <cell r="F1282">
            <v>177003</v>
          </cell>
          <cell r="G1282" t="str">
            <v>N2</v>
          </cell>
        </row>
        <row r="1283">
          <cell r="A1283">
            <v>8828119480</v>
          </cell>
          <cell r="B1283">
            <v>537</v>
          </cell>
          <cell r="C1283" t="str">
            <v>CONTACTOR 2 POLOS 20A CON BOBINA A 220 VAC N2 23</v>
          </cell>
          <cell r="D1283" t="str">
            <v>Nivel 2</v>
          </cell>
          <cell r="E1283" t="str">
            <v>Uni</v>
          </cell>
          <cell r="F1283">
            <v>72911</v>
          </cell>
          <cell r="G1283" t="str">
            <v>N2</v>
          </cell>
        </row>
        <row r="1284">
          <cell r="A1284">
            <v>8828119490</v>
          </cell>
          <cell r="B1284">
            <v>538</v>
          </cell>
          <cell r="C1284" t="str">
            <v>CONTACTOR 2 POLOS 25 AMP 24V N2 23</v>
          </cell>
          <cell r="D1284" t="str">
            <v>Nivel 2</v>
          </cell>
          <cell r="E1284" t="str">
            <v>Uni</v>
          </cell>
          <cell r="F1284">
            <v>77350</v>
          </cell>
          <cell r="G1284" t="str">
            <v>N2</v>
          </cell>
        </row>
        <row r="1285">
          <cell r="A1285">
            <v>8828119498</v>
          </cell>
          <cell r="B1285">
            <v>539</v>
          </cell>
          <cell r="C1285" t="str">
            <v>CONTACTOR 2 POLOS 30 AMP 24V N2 23</v>
          </cell>
          <cell r="D1285" t="str">
            <v>Nivel 2</v>
          </cell>
          <cell r="E1285" t="str">
            <v>Uni</v>
          </cell>
          <cell r="F1285">
            <v>33014</v>
          </cell>
          <cell r="G1285" t="str">
            <v>N2</v>
          </cell>
        </row>
        <row r="1286">
          <cell r="A1286">
            <v>8828119509</v>
          </cell>
          <cell r="B1286">
            <v>540</v>
          </cell>
          <cell r="C1286" t="str">
            <v>CONTACTOR 2 POLOS 30 AMP. 120VOLT. N2 23</v>
          </cell>
          <cell r="D1286" t="str">
            <v>Nivel 2</v>
          </cell>
          <cell r="E1286" t="str">
            <v>Uni</v>
          </cell>
          <cell r="F1286">
            <v>21687</v>
          </cell>
          <cell r="G1286" t="str">
            <v>N2</v>
          </cell>
        </row>
        <row r="1287">
          <cell r="A1287">
            <v>8828119518</v>
          </cell>
          <cell r="B1287">
            <v>541</v>
          </cell>
          <cell r="C1287" t="str">
            <v>CONTACTOR 2 POLOS 30 AMP. 24V N2 23</v>
          </cell>
          <cell r="D1287" t="str">
            <v>Nivel 2</v>
          </cell>
          <cell r="E1287" t="str">
            <v>Uni</v>
          </cell>
          <cell r="F1287">
            <v>25951</v>
          </cell>
          <cell r="G1287" t="str">
            <v>N2</v>
          </cell>
        </row>
        <row r="1288">
          <cell r="A1288">
            <v>8828119535</v>
          </cell>
          <cell r="B1288">
            <v>542</v>
          </cell>
          <cell r="C1288" t="str">
            <v>CONTACTOR 2 POLOS 30A 220V N2 23</v>
          </cell>
          <cell r="D1288" t="str">
            <v>Nivel 2</v>
          </cell>
          <cell r="E1288" t="str">
            <v>Uni</v>
          </cell>
          <cell r="F1288">
            <v>29561</v>
          </cell>
          <cell r="G1288" t="str">
            <v>N2</v>
          </cell>
        </row>
        <row r="1289">
          <cell r="A1289">
            <v>8828119544</v>
          </cell>
          <cell r="B1289">
            <v>543</v>
          </cell>
          <cell r="C1289" t="str">
            <v>CONTACTOR 2 POLOS 30AMP -24V QCA-30 N2 23</v>
          </cell>
          <cell r="D1289" t="str">
            <v>Nivel 2</v>
          </cell>
          <cell r="E1289" t="str">
            <v>Uni</v>
          </cell>
          <cell r="F1289">
            <v>29561</v>
          </cell>
          <cell r="G1289" t="str">
            <v>N2</v>
          </cell>
        </row>
        <row r="1290">
          <cell r="A1290">
            <v>8828119554</v>
          </cell>
          <cell r="B1290">
            <v>544</v>
          </cell>
          <cell r="C1290" t="str">
            <v>CONTACTOR 2 POLOS 40 AMP BOBINA 24V N2 23</v>
          </cell>
          <cell r="D1290" t="str">
            <v>Nivel 2</v>
          </cell>
          <cell r="E1290" t="str">
            <v>Uni</v>
          </cell>
          <cell r="F1290">
            <v>26985</v>
          </cell>
          <cell r="G1290" t="str">
            <v>N2</v>
          </cell>
        </row>
        <row r="1291">
          <cell r="A1291">
            <v>8828119564</v>
          </cell>
          <cell r="B1291">
            <v>545</v>
          </cell>
          <cell r="C1291" t="str">
            <v>CONTACTOR 20A BIPOLAR BOBINA 24V N2 23</v>
          </cell>
          <cell r="D1291" t="str">
            <v>Nivel 2</v>
          </cell>
          <cell r="E1291" t="str">
            <v>Uni</v>
          </cell>
          <cell r="F1291">
            <v>99918</v>
          </cell>
          <cell r="G1291" t="str">
            <v>N2</v>
          </cell>
        </row>
        <row r="1292">
          <cell r="A1292">
            <v>8828119573</v>
          </cell>
          <cell r="B1292">
            <v>546</v>
          </cell>
          <cell r="C1292" t="str">
            <v>CONTACTOR 3 P 150 AMP N2 23</v>
          </cell>
          <cell r="D1292" t="str">
            <v>Nivel 2</v>
          </cell>
          <cell r="E1292" t="str">
            <v>Uni</v>
          </cell>
          <cell r="F1292">
            <v>997050</v>
          </cell>
          <cell r="G1292" t="str">
            <v>N2</v>
          </cell>
        </row>
        <row r="1293">
          <cell r="A1293">
            <v>8828119583</v>
          </cell>
          <cell r="B1293">
            <v>547</v>
          </cell>
          <cell r="C1293" t="str">
            <v>CONTACTOR TRIFASICO BOBINA 220 V 20 A N2 23</v>
          </cell>
          <cell r="D1293" t="str">
            <v>Nivel 2</v>
          </cell>
          <cell r="E1293" t="str">
            <v>Uni</v>
          </cell>
          <cell r="F1293">
            <v>592079</v>
          </cell>
          <cell r="G1293" t="str">
            <v>N2</v>
          </cell>
        </row>
        <row r="1294">
          <cell r="A1294">
            <v>8828119593</v>
          </cell>
          <cell r="B1294">
            <v>548</v>
          </cell>
          <cell r="C1294" t="str">
            <v>CONTACTOR TRIFASICO BOBINA 220 V 30 A N2 23</v>
          </cell>
          <cell r="D1294" t="str">
            <v>Nivel 2</v>
          </cell>
          <cell r="E1294" t="str">
            <v>Uni</v>
          </cell>
          <cell r="F1294">
            <v>592079</v>
          </cell>
          <cell r="G1294" t="str">
            <v>N2</v>
          </cell>
        </row>
        <row r="1295">
          <cell r="A1295">
            <v>8828119602</v>
          </cell>
          <cell r="B1295">
            <v>549</v>
          </cell>
          <cell r="C1295" t="str">
            <v>CONTACTOR TRIFASICO BOBINA 220 V 50 A N2 23</v>
          </cell>
          <cell r="D1295" t="str">
            <v>Nivel 2</v>
          </cell>
          <cell r="E1295" t="str">
            <v>Uni</v>
          </cell>
          <cell r="F1295">
            <v>632196</v>
          </cell>
          <cell r="G1295" t="str">
            <v>N2</v>
          </cell>
        </row>
        <row r="1296">
          <cell r="A1296">
            <v>8828119618</v>
          </cell>
          <cell r="B1296">
            <v>550</v>
          </cell>
          <cell r="C1296" t="str">
            <v>CONTROL ANTICONGELANTE N2 23</v>
          </cell>
          <cell r="D1296" t="str">
            <v>Nivel 2</v>
          </cell>
          <cell r="E1296" t="str">
            <v>Uni</v>
          </cell>
          <cell r="F1296">
            <v>210287</v>
          </cell>
          <cell r="G1296" t="str">
            <v>N2</v>
          </cell>
        </row>
        <row r="1297">
          <cell r="A1297">
            <v>8828119628</v>
          </cell>
          <cell r="B1297">
            <v>551</v>
          </cell>
          <cell r="C1297" t="str">
            <v>CONTROL DANFOSS KP5 N2 23</v>
          </cell>
          <cell r="D1297" t="str">
            <v>Nivel 2</v>
          </cell>
          <cell r="E1297" t="str">
            <v>Uni</v>
          </cell>
          <cell r="F1297">
            <v>116337</v>
          </cell>
          <cell r="G1297" t="str">
            <v>N2</v>
          </cell>
        </row>
        <row r="1300">
          <cell r="B1300">
            <v>1</v>
          </cell>
          <cell r="C1300" t="str">
            <v>EXCAVACIONES - DEMOLICIONES</v>
          </cell>
        </row>
        <row r="1301">
          <cell r="A1301">
            <v>8828119638</v>
          </cell>
          <cell r="B1301">
            <v>1.01</v>
          </cell>
          <cell r="C1301" t="str">
            <v>Excavación manual con altura menor a 0,40 m. Incluye retiro y disposición de escombros en escombrera autorizada.</v>
          </cell>
          <cell r="D1301" t="str">
            <v>Mantenimiento CW</v>
          </cell>
          <cell r="E1301" t="str">
            <v>M2</v>
          </cell>
          <cell r="F1301">
            <v>22194.35</v>
          </cell>
          <cell r="G1301" t="str">
            <v>Mantenimiento CW</v>
          </cell>
        </row>
        <row r="1302">
          <cell r="A1302">
            <v>8828119645</v>
          </cell>
          <cell r="B1302">
            <v>1.02</v>
          </cell>
          <cell r="C1302" t="str">
            <v>Excavación A=0,3m por H=0,4m , incluye retiro de geotextil y grava si aplica. Incluye retiro y disposición de escombros en escombrera autorizada.</v>
          </cell>
          <cell r="D1302" t="str">
            <v>Mantenimiento CW</v>
          </cell>
          <cell r="E1302" t="str">
            <v>ML</v>
          </cell>
          <cell r="F1302">
            <v>13932.35</v>
          </cell>
          <cell r="G1302" t="str">
            <v>Mantenimiento CW</v>
          </cell>
        </row>
        <row r="1303">
          <cell r="A1303">
            <v>8828119655</v>
          </cell>
          <cell r="B1303">
            <v>1.03</v>
          </cell>
          <cell r="C1303" t="str">
            <v>Demolición muro en ladrillo macizo. Incluye limpieza de área, retiro y disposición de escombros en escombrera autorizada.</v>
          </cell>
          <cell r="D1303" t="str">
            <v>Mantenimiento CW</v>
          </cell>
          <cell r="E1303" t="str">
            <v>M2</v>
          </cell>
          <cell r="F1303">
            <v>17223.55</v>
          </cell>
          <cell r="G1303" t="str">
            <v>Mantenimiento CW</v>
          </cell>
        </row>
        <row r="1304">
          <cell r="A1304">
            <v>8828119664</v>
          </cell>
          <cell r="B1304">
            <v>1.04</v>
          </cell>
          <cell r="C1304" t="str">
            <v>Demolición muro en bloque. Incluye limpieza de área, retiro y disposición de escombros en escombrera autorizada.</v>
          </cell>
          <cell r="D1304" t="str">
            <v>Mantenimiento CW</v>
          </cell>
          <cell r="E1304" t="str">
            <v>M2</v>
          </cell>
          <cell r="F1304">
            <v>13607.65</v>
          </cell>
          <cell r="G1304" t="str">
            <v>Mantenimiento CW</v>
          </cell>
        </row>
        <row r="1305">
          <cell r="A1305">
            <v>8828119673</v>
          </cell>
          <cell r="B1305">
            <v>1.05</v>
          </cell>
          <cell r="C1305" t="str">
            <v>Regatas en concreto, incluye herramientas manuales o mecánicas requeridas para la ejecución. Incluye limpieza de área, retiro y disposición de escombros en escombrera autorizada.</v>
          </cell>
          <cell r="D1305" t="str">
            <v>Mantenimiento CW</v>
          </cell>
          <cell r="E1305" t="str">
            <v>ML</v>
          </cell>
          <cell r="F1305">
            <v>31245.15</v>
          </cell>
          <cell r="G1305" t="str">
            <v>Mantenimiento CW</v>
          </cell>
        </row>
        <row r="1306">
          <cell r="A1306">
            <v>8828119682</v>
          </cell>
          <cell r="B1306">
            <v>1.06</v>
          </cell>
          <cell r="C1306" t="str">
            <v>Regata en mampostería. Incluye herramientas manuales o mecánicas requeridas para la ejecución. Incluye limpieza de área, retiro y disposición de escombros en escombrera autorizada.</v>
          </cell>
          <cell r="D1306" t="str">
            <v>Mantenimiento CW</v>
          </cell>
          <cell r="E1306" t="str">
            <v>ML</v>
          </cell>
          <cell r="F1306">
            <v>11402.75</v>
          </cell>
          <cell r="G1306" t="str">
            <v>Mantenimiento CW</v>
          </cell>
        </row>
        <row r="1307">
          <cell r="A1307">
            <v>8828119701</v>
          </cell>
          <cell r="B1307">
            <v>1.07</v>
          </cell>
          <cell r="C1307" t="str">
            <v>Demolición de placas o estructuras de concreto reforzado, Incluye retiro de escombros y disposición final en escombrera certificada. Incluye herramientas manuales o mecánicas requeridas para la ejecución. Incluye corte de acero de refuerzo en caso de requerirse. Incluye limpieza de área, retiro y disposición de escombros en escombrera autorizada.</v>
          </cell>
          <cell r="D1307" t="str">
            <v>Mantenimiento CW</v>
          </cell>
          <cell r="E1307" t="str">
            <v>M2</v>
          </cell>
          <cell r="F1307">
            <v>210314.65</v>
          </cell>
          <cell r="G1307" t="str">
            <v>Mantenimiento CW</v>
          </cell>
        </row>
        <row r="1308">
          <cell r="A1308">
            <v>8828119709</v>
          </cell>
          <cell r="B1308">
            <v>1.08</v>
          </cell>
          <cell r="C1308" t="str">
            <v>Demolición en mampostería Incluye retiro de escombros y disposición final en escombrera certificada. Incluye herramientas manuales o mecánicas requeridas para la ejecución. Incluye limpieza de área, retiro y disposición de escombros en escombrera autorizada.</v>
          </cell>
          <cell r="D1308" t="str">
            <v>Mantenimiento CW</v>
          </cell>
          <cell r="E1308" t="str">
            <v>M2</v>
          </cell>
          <cell r="F1308">
            <v>21193.05</v>
          </cell>
          <cell r="G1308" t="str">
            <v>Mantenimiento CW</v>
          </cell>
        </row>
        <row r="1309">
          <cell r="A1309">
            <v>8828119719</v>
          </cell>
          <cell r="B1309">
            <v>1.0900000000000001</v>
          </cell>
          <cell r="C1309" t="str">
            <v>Desmonte y retiro de cubierta de tejas, láminas onduladas, o similar y su cercha en madera o metálica. Incluye toda herramienta y equipos requeridos para la ejecución. Incluye limpieza de área, retiro y disposición de escombros en escombrera autorizada.</v>
          </cell>
          <cell r="D1309" t="str">
            <v>Mantenimiento CW</v>
          </cell>
          <cell r="E1309" t="str">
            <v>M2</v>
          </cell>
          <cell r="F1309">
            <v>15963</v>
          </cell>
          <cell r="G1309" t="str">
            <v>Mantenimiento CW</v>
          </cell>
        </row>
        <row r="1310">
          <cell r="A1310">
            <v>8828119726</v>
          </cell>
          <cell r="B1310">
            <v>1.1000000000000001</v>
          </cell>
          <cell r="C1310" t="str">
            <v>Desmonte y retiro de Luminaria. Incluye limpieza de área, retiro y disposición de escombros en escombrera autorizada.</v>
          </cell>
          <cell r="D1310" t="str">
            <v>Mantenimiento CW</v>
          </cell>
          <cell r="E1310" t="str">
            <v>UN</v>
          </cell>
          <cell r="F1310">
            <v>9894.85</v>
          </cell>
          <cell r="G1310" t="str">
            <v>Mantenimiento CW</v>
          </cell>
        </row>
        <row r="1311">
          <cell r="A1311">
            <v>8828119735</v>
          </cell>
          <cell r="B1311">
            <v>1.1100000000000001</v>
          </cell>
          <cell r="C1311" t="str">
            <v>Retiro Impermeabilización existente. Incluye limpieza de área, retiro y disposición de escombros en escombrera autorizada.</v>
          </cell>
          <cell r="D1311" t="str">
            <v>Mantenimiento CW</v>
          </cell>
          <cell r="E1311" t="str">
            <v>M2</v>
          </cell>
          <cell r="F1311">
            <v>4193.05</v>
          </cell>
          <cell r="G1311" t="str">
            <v>Mantenimiento CW</v>
          </cell>
        </row>
        <row r="1312">
          <cell r="A1312">
            <v>8828119749</v>
          </cell>
          <cell r="B1312">
            <v>1.1200000000000001</v>
          </cell>
          <cell r="C1312" t="str">
            <v>Desmonte aires tipo ventana y tipo panel, instalados en el mini-shelter. Incluye desmonte de accesorios de fijación y de acometidas eléctricas y de control.</v>
          </cell>
          <cell r="D1312" t="str">
            <v>Mantenimiento CW</v>
          </cell>
          <cell r="E1312" t="str">
            <v>UN</v>
          </cell>
          <cell r="F1312">
            <v>73348.2</v>
          </cell>
          <cell r="G1312" t="str">
            <v>Mantenimiento CW</v>
          </cell>
        </row>
        <row r="1313">
          <cell r="A1313">
            <v>8828119773</v>
          </cell>
          <cell r="B1313">
            <v>1.1299999999999999</v>
          </cell>
          <cell r="C1313" t="str">
            <v>Desmonte general estructura de mini-shelters de 3m x 1m x 2,50m incluye desmonte de cubiertas , paneles, pisos y accesorios. Incluye elaboración y entrega de inventario.</v>
          </cell>
          <cell r="D1313" t="str">
            <v>Mantenimiento CW</v>
          </cell>
          <cell r="E1313" t="str">
            <v>UN</v>
          </cell>
          <cell r="F1313">
            <v>523836.3</v>
          </cell>
          <cell r="G1313" t="str">
            <v>Mantenimiento CW</v>
          </cell>
        </row>
        <row r="1314">
          <cell r="B1314">
            <v>2</v>
          </cell>
          <cell r="C1314" t="str">
            <v>ESTUDIOS Y DISEÑOS</v>
          </cell>
          <cell r="D1314" t="str">
            <v>Mantenimiento CW</v>
          </cell>
          <cell r="G1314" t="str">
            <v>Mantenimiento CW</v>
          </cell>
        </row>
        <row r="1315">
          <cell r="A1315">
            <v>8828119781</v>
          </cell>
          <cell r="B1315">
            <v>2.0099999999999998</v>
          </cell>
          <cell r="C1315" t="str">
            <v>Estudio estructural de Edificación con Radio Base existente</v>
          </cell>
          <cell r="D1315" t="str">
            <v>Mantenimiento CW</v>
          </cell>
          <cell r="E1315" t="str">
            <v>GL</v>
          </cell>
          <cell r="F1315">
            <v>2698115.9</v>
          </cell>
          <cell r="G1315" t="str">
            <v>Mantenimiento CW</v>
          </cell>
        </row>
        <row r="1316">
          <cell r="A1316">
            <v>8828119788</v>
          </cell>
          <cell r="B1316">
            <v>2.02</v>
          </cell>
          <cell r="C1316" t="str">
            <v>Protocolo de verticalidad torre hasta 100 m de altura, Incluye protocolo previo y posterior a la actividad a realizar. Incluye documentación e informe de protocolo.</v>
          </cell>
          <cell r="D1316" t="str">
            <v>Mantenimiento CW</v>
          </cell>
          <cell r="E1316" t="str">
            <v>GL</v>
          </cell>
          <cell r="F1316">
            <v>974025.2</v>
          </cell>
          <cell r="G1316" t="str">
            <v>Mantenimiento CW</v>
          </cell>
        </row>
        <row r="1317">
          <cell r="A1317">
            <v>8828119807</v>
          </cell>
          <cell r="B1317">
            <v>2.0299999999999998</v>
          </cell>
          <cell r="C1317" t="str">
            <v>Ajuste de tensión de riendas acorde con la norma EIA/TIA222F - EIA/TIA222G. Incluye todos los elementos y equipos necesarios para la realización. De acuerdo a la altura de la torre.</v>
          </cell>
          <cell r="D1317" t="str">
            <v>Mantenimiento CW</v>
          </cell>
          <cell r="E1317" t="str">
            <v>UN</v>
          </cell>
          <cell r="F1317">
            <v>318112.5</v>
          </cell>
          <cell r="G1317" t="str">
            <v>Mantenimiento CW</v>
          </cell>
        </row>
        <row r="1318">
          <cell r="A1318">
            <v>8828119815</v>
          </cell>
          <cell r="B1318">
            <v>2.04</v>
          </cell>
          <cell r="C1318" t="str">
            <v>Torqueo tornillería torre acorde con la norma EIA/TIA222F - EIA/TIA222G. Incluye protocolo de torque, todos los elementos y equipos necesarios para la realización. De acuerdo a la altura de la torre</v>
          </cell>
          <cell r="D1318" t="str">
            <v>Mantenimiento CW</v>
          </cell>
          <cell r="E1318" t="str">
            <v>UN</v>
          </cell>
          <cell r="F1318">
            <v>1277092.7</v>
          </cell>
          <cell r="G1318" t="str">
            <v>Mantenimiento CW</v>
          </cell>
        </row>
        <row r="1319">
          <cell r="B1319">
            <v>3</v>
          </cell>
          <cell r="C1319" t="str">
            <v>CONCRETOS Y CIMENTACION</v>
          </cell>
          <cell r="D1319" t="str">
            <v>Mantenimiento CW</v>
          </cell>
          <cell r="G1319" t="str">
            <v>Mantenimiento CW</v>
          </cell>
        </row>
        <row r="1320">
          <cell r="A1320">
            <v>8828118879</v>
          </cell>
          <cell r="B1320">
            <v>3.01</v>
          </cell>
          <cell r="C1320" t="str">
            <v>Suministro e instalación de Acero de refuerzo de hasta 420 Mpa, incluye alambre de amarre, y todos lo necesario para su correcta ejecución</v>
          </cell>
          <cell r="D1320" t="str">
            <v>Mantenimiento CW</v>
          </cell>
          <cell r="E1320" t="str">
            <v>Kg</v>
          </cell>
          <cell r="F1320">
            <v>7059.25</v>
          </cell>
          <cell r="G1320" t="str">
            <v>Mantenimiento CW</v>
          </cell>
        </row>
        <row r="1321">
          <cell r="A1321">
            <v>8828118889</v>
          </cell>
          <cell r="B1321">
            <v>3.02</v>
          </cell>
          <cell r="C1321" t="str">
            <v>Suministro e instalación de Concreto 3000 PSI. Incluye Formaleta o encofrado. No incluye acero de refuerzo.</v>
          </cell>
          <cell r="D1321" t="str">
            <v>Mantenimiento CW</v>
          </cell>
          <cell r="E1321" t="str">
            <v>m3</v>
          </cell>
          <cell r="F1321">
            <v>843174.5</v>
          </cell>
          <cell r="G1321" t="str">
            <v>Mantenimiento CW</v>
          </cell>
        </row>
        <row r="1322">
          <cell r="A1322">
            <v>8828118899</v>
          </cell>
          <cell r="B1322">
            <v>3.03</v>
          </cell>
          <cell r="C1322" t="str">
            <v>Alistado de piso en mortero 1:4 impermeabilizado con sika 1, con espesor máximo =0.05m con pendientados para sifones. Incluye aditivo Sika látex o similar para adherencia a concreto inicial. Incluye dilataciones cada 3 o 4 metros.</v>
          </cell>
          <cell r="D1322" t="str">
            <v>Mantenimiento CW</v>
          </cell>
          <cell r="E1322" t="str">
            <v>M2</v>
          </cell>
          <cell r="F1322">
            <v>33869.1</v>
          </cell>
          <cell r="G1322" t="str">
            <v>Mantenimiento CW</v>
          </cell>
        </row>
        <row r="1323">
          <cell r="A1323">
            <v>8828118908</v>
          </cell>
          <cell r="B1323">
            <v>3.04</v>
          </cell>
          <cell r="C1323" t="str">
            <v>Suministro e instalación de concreto ciclópeo. Incluye formaleta o encofrado de requerirse.</v>
          </cell>
          <cell r="D1323" t="str">
            <v>Mantenimiento CW</v>
          </cell>
          <cell r="E1323" t="str">
            <v>M3</v>
          </cell>
          <cell r="F1323">
            <v>355314.45</v>
          </cell>
          <cell r="G1323" t="str">
            <v>Mantenimiento CW</v>
          </cell>
        </row>
        <row r="1324">
          <cell r="A1324">
            <v>8828118917</v>
          </cell>
          <cell r="B1324">
            <v>3.05</v>
          </cell>
          <cell r="C1324" t="str">
            <v>Suministro e instalación de gravilla de 3/4", Espesor de hasta 5 cm.</v>
          </cell>
          <cell r="D1324" t="str">
            <v>Mantenimiento CW</v>
          </cell>
          <cell r="E1324" t="str">
            <v>M2</v>
          </cell>
          <cell r="F1324">
            <v>73430.649999999994</v>
          </cell>
          <cell r="G1324" t="str">
            <v>Mantenimiento CW</v>
          </cell>
        </row>
        <row r="1325">
          <cell r="A1325">
            <v>8828118926</v>
          </cell>
          <cell r="B1325">
            <v>3.06</v>
          </cell>
          <cell r="C1325" t="str">
            <v>Suministro e instalación de relleno en material recebo compactado en capa de 10 cms a una h=0,30m. Incluye equipo o maquinaria requerida para compactación.</v>
          </cell>
          <cell r="D1325" t="str">
            <v>Mantenimiento CW</v>
          </cell>
          <cell r="E1325" t="str">
            <v>M3</v>
          </cell>
          <cell r="F1325">
            <v>73819.100000000006</v>
          </cell>
          <cell r="G1325" t="str">
            <v>Mantenimiento CW</v>
          </cell>
        </row>
        <row r="1326">
          <cell r="A1326">
            <v>8828119823</v>
          </cell>
          <cell r="B1326">
            <v>3.07</v>
          </cell>
          <cell r="C1326" t="str">
            <v>Anclajes en concreto, con epoxico Hilti 1/2" y sikadur 32.</v>
          </cell>
          <cell r="D1326" t="str">
            <v>Mantenimiento CW</v>
          </cell>
          <cell r="E1326" t="str">
            <v>UN</v>
          </cell>
          <cell r="F1326">
            <v>29551.1</v>
          </cell>
          <cell r="G1326" t="str">
            <v>Mantenimiento CW</v>
          </cell>
        </row>
        <row r="1327">
          <cell r="A1327">
            <v>8828119832</v>
          </cell>
          <cell r="B1327">
            <v>3.08</v>
          </cell>
          <cell r="C1327" t="str">
            <v>Suministro e instalación de geotextil no tejido 1600</v>
          </cell>
          <cell r="D1327" t="str">
            <v>Mantenimiento CW</v>
          </cell>
          <cell r="E1327" t="str">
            <v>M2</v>
          </cell>
          <cell r="F1327">
            <v>5847.15</v>
          </cell>
          <cell r="G1327" t="str">
            <v>Mantenimiento CW</v>
          </cell>
        </row>
        <row r="1328">
          <cell r="A1328">
            <v>8828118932</v>
          </cell>
          <cell r="B1328">
            <v>3.09</v>
          </cell>
          <cell r="C1328" t="str">
            <v>Suministro e instalación de tubería corrugada para drenaje flexible, perforada de 4".</v>
          </cell>
          <cell r="D1328" t="str">
            <v>Mantenimiento CW</v>
          </cell>
          <cell r="E1328" t="str">
            <v>ML</v>
          </cell>
          <cell r="F1328">
            <v>230074.6</v>
          </cell>
          <cell r="G1328" t="str">
            <v>Mantenimiento CW</v>
          </cell>
        </row>
        <row r="1329">
          <cell r="A1329">
            <v>8828118942</v>
          </cell>
          <cell r="B1329">
            <v>3.1</v>
          </cell>
          <cell r="C1329" t="str">
            <v>Suministro e instalación de piso vinisol trafico pesado de 3mm color gris.</v>
          </cell>
          <cell r="D1329" t="str">
            <v>Mantenimiento CW</v>
          </cell>
          <cell r="E1329" t="str">
            <v>M2</v>
          </cell>
          <cell r="F1329">
            <v>56887.95</v>
          </cell>
          <cell r="G1329" t="str">
            <v>Mantenimiento CW</v>
          </cell>
        </row>
        <row r="1330">
          <cell r="B1330">
            <v>4</v>
          </cell>
          <cell r="C1330" t="str">
            <v>CERRAMIENTO Y CUBIERTA</v>
          </cell>
          <cell r="D1330" t="str">
            <v>Mantenimiento CW</v>
          </cell>
          <cell r="G1330" t="str">
            <v>Mantenimiento CW</v>
          </cell>
        </row>
        <row r="1331">
          <cell r="A1331">
            <v>8828118951</v>
          </cell>
          <cell r="B1331">
            <v>4.01</v>
          </cell>
          <cell r="C1331" t="str">
            <v>Suministro e instalación de cerramiento en drywall a doble cara (Incluye Accesorios de Instalación)</v>
          </cell>
          <cell r="D1331" t="str">
            <v>Mantenimiento CW</v>
          </cell>
          <cell r="E1331" t="str">
            <v>M2</v>
          </cell>
          <cell r="F1331">
            <v>88269.1</v>
          </cell>
          <cell r="G1331" t="str">
            <v>Mantenimiento CW</v>
          </cell>
        </row>
        <row r="1332">
          <cell r="A1332">
            <v>8828118960</v>
          </cell>
          <cell r="B1332">
            <v>4.0199999999999996</v>
          </cell>
          <cell r="C1332" t="str">
            <v>Suministro e instalación de cerramiento en drywall a una cara (Incluye Accesorios de Instalación)</v>
          </cell>
          <cell r="D1332" t="str">
            <v>Mantenimiento CW</v>
          </cell>
          <cell r="E1332" t="str">
            <v>M2</v>
          </cell>
          <cell r="F1332">
            <v>54660.1</v>
          </cell>
          <cell r="G1332" t="str">
            <v>Mantenimiento CW</v>
          </cell>
        </row>
        <row r="1333">
          <cell r="A1333">
            <v>8828118969</v>
          </cell>
          <cell r="B1333">
            <v>4.03</v>
          </cell>
          <cell r="C1333" t="str">
            <v>Suministro e instalación Cerramiento con lámina de metálica galvanizada o pintada</v>
          </cell>
          <cell r="D1333" t="str">
            <v>Mantenimiento CW</v>
          </cell>
          <cell r="E1333" t="str">
            <v>M2</v>
          </cell>
          <cell r="F1333">
            <v>238358.7</v>
          </cell>
          <cell r="G1333" t="str">
            <v>Mantenimiento CW</v>
          </cell>
        </row>
        <row r="1334">
          <cell r="A1334">
            <v>8828118978</v>
          </cell>
          <cell r="B1334">
            <v>4.04</v>
          </cell>
          <cell r="C1334" t="str">
            <v>Suministro e instalación Cerramiento con lámina de fibrocemento de mínimo 6 mm</v>
          </cell>
          <cell r="D1334" t="str">
            <v>Mantenimiento CW</v>
          </cell>
          <cell r="E1334" t="str">
            <v>M2</v>
          </cell>
          <cell r="F1334">
            <v>157374.95000000001</v>
          </cell>
          <cell r="G1334" t="str">
            <v>Mantenimiento CW</v>
          </cell>
        </row>
        <row r="1335">
          <cell r="A1335">
            <v>8828118988</v>
          </cell>
          <cell r="B1335">
            <v>4.05</v>
          </cell>
          <cell r="C1335" t="str">
            <v>Suministro e instalación Cerramiento o Mimetizado con Lamina de Policarbonato Alveolar</v>
          </cell>
          <cell r="D1335" t="str">
            <v>Mantenimiento CW</v>
          </cell>
          <cell r="E1335" t="str">
            <v>M2</v>
          </cell>
          <cell r="F1335">
            <v>195951.35</v>
          </cell>
          <cell r="G1335" t="str">
            <v>Mantenimiento CW</v>
          </cell>
        </row>
        <row r="1336">
          <cell r="A1336">
            <v>8828118998</v>
          </cell>
          <cell r="B1336">
            <v>4.0599999999999996</v>
          </cell>
          <cell r="C1336" t="str">
            <v>Suministro e instalación Cerramiento o Mimetizado con Fibra de vidrio o Revestimiento Especial</v>
          </cell>
          <cell r="D1336" t="str">
            <v>Mantenimiento CW</v>
          </cell>
          <cell r="E1336" t="str">
            <v>M2</v>
          </cell>
          <cell r="F1336">
            <v>284619.95</v>
          </cell>
          <cell r="G1336" t="str">
            <v>Mantenimiento CW</v>
          </cell>
        </row>
        <row r="1337">
          <cell r="A1337">
            <v>8828119237</v>
          </cell>
          <cell r="B1337">
            <v>4.07</v>
          </cell>
          <cell r="C1337" t="str">
            <v>Mano de obra Retiro y re instalación de concertina de doble cuchilla e= 0,40m Cal 18, incluye guaya y accesorios de fijación.</v>
          </cell>
          <cell r="D1337" t="str">
            <v>Mantenimiento CW</v>
          </cell>
          <cell r="E1337" t="str">
            <v>ML</v>
          </cell>
          <cell r="F1337">
            <v>22949.15</v>
          </cell>
          <cell r="G1337" t="str">
            <v>Mantenimiento CW</v>
          </cell>
        </row>
        <row r="1338">
          <cell r="A1338">
            <v>8828119248</v>
          </cell>
          <cell r="B1338">
            <v>4.08</v>
          </cell>
          <cell r="C1338" t="str">
            <v>Mantenimiento y ajuste de la Concertina de doble cuchilla existente e=0,40m cal 18, incluye guaya y accesorios de fijación.</v>
          </cell>
          <cell r="D1338" t="str">
            <v>Mantenimiento CW</v>
          </cell>
          <cell r="E1338" t="str">
            <v>ML</v>
          </cell>
          <cell r="F1338">
            <v>14391.35</v>
          </cell>
          <cell r="G1338" t="str">
            <v>Mantenimiento CW</v>
          </cell>
        </row>
        <row r="1339">
          <cell r="A1339">
            <v>8828119258</v>
          </cell>
          <cell r="B1339">
            <v>4.09</v>
          </cell>
          <cell r="C1339" t="str">
            <v>Retiro de concertina incluye desmonte de guayas de soporte y accesorios de fijación. Incluye retiro y disposición.</v>
          </cell>
          <cell r="D1339" t="str">
            <v>Mantenimiento CW</v>
          </cell>
          <cell r="E1339" t="str">
            <v>ML</v>
          </cell>
          <cell r="F1339">
            <v>11702.8</v>
          </cell>
          <cell r="G1339" t="str">
            <v>Mantenimiento CW</v>
          </cell>
        </row>
        <row r="1340">
          <cell r="A1340">
            <v>8828119267</v>
          </cell>
          <cell r="B1340">
            <v>4.0999999999999996</v>
          </cell>
          <cell r="C1340" t="str">
            <v>Suministro e instalación de concertina de doble cuchilla e= 0,40 cal 18, debidamente instalada y templeteada. Incluye alambre de púas y accesorios de fijación.</v>
          </cell>
          <cell r="D1340" t="str">
            <v>Mantenimiento CW</v>
          </cell>
          <cell r="E1340" t="str">
            <v>ML</v>
          </cell>
          <cell r="F1340">
            <v>45435.05</v>
          </cell>
          <cell r="G1340" t="str">
            <v>Mantenimiento CW</v>
          </cell>
        </row>
        <row r="1341">
          <cell r="A1341">
            <v>8828119277</v>
          </cell>
          <cell r="B1341">
            <v>4.1100000000000003</v>
          </cell>
          <cell r="C1341" t="str">
            <v>Suministro e instalación de gallinazos en Tubería Galvanizada en Caliente de 2" en forma de Y para la fijar la concertina. De 1 mt de altura, para embeber 0,50 para su fijación.</v>
          </cell>
          <cell r="D1341" t="str">
            <v>Mantenimiento CW</v>
          </cell>
          <cell r="E1341" t="str">
            <v>UN</v>
          </cell>
          <cell r="F1341">
            <v>24966.2</v>
          </cell>
          <cell r="G1341" t="str">
            <v>Mantenimiento CW</v>
          </cell>
        </row>
        <row r="1342">
          <cell r="A1342">
            <v>8828119286</v>
          </cell>
          <cell r="B1342">
            <v>4.12</v>
          </cell>
          <cell r="C1342" t="str">
            <v>Lavado de mampostería con acido, ambas caras</v>
          </cell>
          <cell r="D1342" t="str">
            <v>Mantenimiento CW</v>
          </cell>
          <cell r="E1342" t="str">
            <v>M2</v>
          </cell>
          <cell r="F1342">
            <v>4513.5</v>
          </cell>
          <cell r="G1342" t="str">
            <v>Mantenimiento CW</v>
          </cell>
        </row>
        <row r="1343">
          <cell r="A1343">
            <v>8828119295</v>
          </cell>
          <cell r="B1343">
            <v>4.13</v>
          </cell>
          <cell r="C1343" t="str">
            <v>Suministro e instalación de malla de eslabonada galvanizada calibre 10 hueco 2". Incluye marco en ángulo de 1 1/2 x 3, calibre16 galvanizada en caliente y pisada con platina de 1/2" x 3.16, Incluye marcos y Tubería de fijación.</v>
          </cell>
          <cell r="D1343" t="str">
            <v>Mantenimiento CW</v>
          </cell>
          <cell r="E1343" t="str">
            <v>M2</v>
          </cell>
          <cell r="F1343">
            <v>134495.5</v>
          </cell>
          <cell r="G1343" t="str">
            <v>Mantenimiento CW</v>
          </cell>
        </row>
        <row r="1344">
          <cell r="A1344">
            <v>8828119300</v>
          </cell>
          <cell r="B1344">
            <v>4.1399999999999997</v>
          </cell>
          <cell r="C1344" t="str">
            <v>Suministro e instalación de mampostería en bloque cemento e = 0.20 m a la vista por ambas caras.</v>
          </cell>
          <cell r="D1344" t="str">
            <v>Mantenimiento CW</v>
          </cell>
          <cell r="E1344" t="str">
            <v>M2</v>
          </cell>
          <cell r="F1344">
            <v>62277.8</v>
          </cell>
          <cell r="G1344" t="str">
            <v>Mantenimiento CW</v>
          </cell>
        </row>
        <row r="1345">
          <cell r="A1345">
            <v>8828119856</v>
          </cell>
          <cell r="B1345">
            <v>4.1500000000000004</v>
          </cell>
          <cell r="C1345" t="str">
            <v>Suministro e instalación de mampostería en bloque de arcilla No. 5.</v>
          </cell>
          <cell r="D1345" t="str">
            <v>Mantenimiento CW</v>
          </cell>
          <cell r="E1345" t="str">
            <v>M2</v>
          </cell>
          <cell r="F1345">
            <v>60761.4</v>
          </cell>
          <cell r="G1345" t="str">
            <v>Mantenimiento CW</v>
          </cell>
        </row>
        <row r="1346">
          <cell r="A1346">
            <v>8828119865</v>
          </cell>
          <cell r="B1346">
            <v>4.16</v>
          </cell>
          <cell r="C1346" t="str">
            <v>Suministro e instalación de mampostería en ladrillo prensado tipo Santa Fe ladrillo 12 cm. X 24 cm. X 6,5 cm. a la vista por ambas caras</v>
          </cell>
          <cell r="D1346" t="str">
            <v>Mantenimiento CW</v>
          </cell>
          <cell r="E1346" t="str">
            <v>M2</v>
          </cell>
          <cell r="F1346">
            <v>89940.2</v>
          </cell>
          <cell r="G1346" t="str">
            <v>Mantenimiento CW</v>
          </cell>
        </row>
        <row r="1347">
          <cell r="A1347">
            <v>8828119309</v>
          </cell>
          <cell r="B1347">
            <v>4.17</v>
          </cell>
          <cell r="C1347" t="str">
            <v>Suministro e instalación de estuco plástico</v>
          </cell>
          <cell r="D1347" t="str">
            <v>Mantenimiento CW</v>
          </cell>
          <cell r="E1347" t="str">
            <v>M2</v>
          </cell>
          <cell r="F1347">
            <v>19737</v>
          </cell>
          <cell r="G1347" t="str">
            <v>Mantenimiento CW</v>
          </cell>
        </row>
        <row r="1348">
          <cell r="A1348">
            <v>8828119316</v>
          </cell>
          <cell r="B1348">
            <v>4.18</v>
          </cell>
          <cell r="C1348" t="str">
            <v>Suministro e instalación de pañete impermeabilizado 1:3</v>
          </cell>
          <cell r="D1348" t="str">
            <v>Mantenimiento CW</v>
          </cell>
          <cell r="E1348" t="str">
            <v>M2</v>
          </cell>
          <cell r="F1348">
            <v>24575.200000000001</v>
          </cell>
          <cell r="G1348" t="str">
            <v>Mantenimiento CW</v>
          </cell>
        </row>
        <row r="1349">
          <cell r="A1349">
            <v>8828119327</v>
          </cell>
          <cell r="B1349">
            <v>4.1900000000000004</v>
          </cell>
          <cell r="C1349" t="str">
            <v>Suministro e instalación de pintura en esmalte a 3 manos</v>
          </cell>
          <cell r="D1349" t="str">
            <v>Mantenimiento CW</v>
          </cell>
          <cell r="E1349" t="str">
            <v>M2</v>
          </cell>
          <cell r="F1349">
            <v>29737.25</v>
          </cell>
          <cell r="G1349" t="str">
            <v>Mantenimiento CW</v>
          </cell>
        </row>
        <row r="1350">
          <cell r="A1350">
            <v>8828119336</v>
          </cell>
          <cell r="B1350">
            <v>4.2</v>
          </cell>
          <cell r="C1350" t="str">
            <v>Suministro e instalación de pintura en vinilo tipo intemperie a 3 manos</v>
          </cell>
          <cell r="D1350" t="str">
            <v>Mantenimiento CW</v>
          </cell>
          <cell r="E1350" t="str">
            <v>M2</v>
          </cell>
          <cell r="F1350">
            <v>21478.65</v>
          </cell>
          <cell r="G1350" t="str">
            <v>Mantenimiento CW</v>
          </cell>
        </row>
        <row r="1351">
          <cell r="A1351">
            <v>8828119346</v>
          </cell>
          <cell r="B1351">
            <v>4.21</v>
          </cell>
          <cell r="C1351" t="str">
            <v>Suministro e instalación de pintura en vinilo tipo interior a 3 manos</v>
          </cell>
          <cell r="D1351" t="str">
            <v>Mantenimiento CW</v>
          </cell>
          <cell r="E1351" t="str">
            <v>M2</v>
          </cell>
          <cell r="F1351">
            <v>17690.2</v>
          </cell>
          <cell r="G1351" t="str">
            <v>Mantenimiento CW</v>
          </cell>
        </row>
        <row r="1352">
          <cell r="A1352">
            <v>8828119355</v>
          </cell>
          <cell r="B1352">
            <v>4.22</v>
          </cell>
          <cell r="C1352" t="str">
            <v>Raspado, lijado, aplicación de anticorrosivo y pintura en esmalte para puertas metálicas</v>
          </cell>
          <cell r="D1352" t="str">
            <v>Mantenimiento CW</v>
          </cell>
          <cell r="E1352" t="str">
            <v>M2</v>
          </cell>
          <cell r="F1352">
            <v>32507.4</v>
          </cell>
          <cell r="G1352" t="str">
            <v>Mantenimiento CW</v>
          </cell>
        </row>
        <row r="1353">
          <cell r="A1353">
            <v>8828119874</v>
          </cell>
          <cell r="B1353">
            <v>4.2300000000000004</v>
          </cell>
          <cell r="C1353" t="str">
            <v>Suministro e instalación de puerta metálica doble hoja en lamina doblada cold rolled cal. 16. Tipo Diamantada Pintada con Anticorrosivo y acabado en esmalte, incluye marco y con chapa de seguridad YALE amaestramiento de llaves. Incluye desmonte de elementos existentes, si aplica.</v>
          </cell>
          <cell r="D1353" t="str">
            <v>Mantenimiento CW</v>
          </cell>
          <cell r="E1353" t="str">
            <v>M2</v>
          </cell>
          <cell r="F1353">
            <v>500276.85</v>
          </cell>
          <cell r="G1353" t="str">
            <v>Mantenimiento CW</v>
          </cell>
        </row>
        <row r="1354">
          <cell r="A1354">
            <v>8828119884</v>
          </cell>
          <cell r="B1354">
            <v>4.24</v>
          </cell>
          <cell r="C1354" t="str">
            <v>Suministro e instalación de puerta metálica hoja sencilla en lamina doblada cold rolled cal. 16. entamborada Pintada con Anticorrosivo y acabado en esmalte, incluye marco y con chapa de seguridad YALE con amaestramiento de llaves. Incluye desmonte de elementos existentes, si aplica.</v>
          </cell>
          <cell r="D1354" t="str">
            <v>Mantenimiento CW</v>
          </cell>
          <cell r="E1354" t="str">
            <v>M2</v>
          </cell>
          <cell r="F1354">
            <v>432241.15</v>
          </cell>
          <cell r="G1354" t="str">
            <v>Mantenimiento CW</v>
          </cell>
        </row>
        <row r="1355">
          <cell r="A1355">
            <v>8828119892</v>
          </cell>
          <cell r="B1355">
            <v>4.25</v>
          </cell>
          <cell r="C1355" t="str">
            <v>Mantenimiento de puerta metálica doble hoja en lamina doblada cold rolled cal. 16. Tipo Diamantada Pintada con Anticorrosivo y acabado en esmalte, incluye raspado, cambio de bisagras, arreglo de chapas, arreglo o cambio de marco.</v>
          </cell>
          <cell r="D1355" t="str">
            <v>Mantenimiento CW</v>
          </cell>
          <cell r="E1355" t="str">
            <v>GL</v>
          </cell>
          <cell r="F1355">
            <v>336688.4</v>
          </cell>
          <cell r="G1355" t="str">
            <v>Mantenimiento CW</v>
          </cell>
        </row>
        <row r="1356">
          <cell r="A1356">
            <v>8828119900</v>
          </cell>
          <cell r="B1356">
            <v>4.26</v>
          </cell>
          <cell r="C1356" t="str">
            <v>Mantenimiento de puerta metálica hoja sencilla en lamina doblada cold rolled cal. 16. entamborada Pintada con Anticorrosivo y acabado en esmalte, incluye raspado, cambio de bisagras, arreglo de chapas, arreglo o cambio de marco.</v>
          </cell>
          <cell r="D1356" t="str">
            <v>Mantenimiento CW</v>
          </cell>
          <cell r="E1356" t="str">
            <v>GL</v>
          </cell>
          <cell r="F1356">
            <v>267028.34999999998</v>
          </cell>
          <cell r="G1356" t="str">
            <v>Mantenimiento CW</v>
          </cell>
        </row>
        <row r="1357">
          <cell r="A1357">
            <v>8828119910</v>
          </cell>
          <cell r="B1357">
            <v>4.2699999999999996</v>
          </cell>
          <cell r="C1357" t="str">
            <v>Suministro e instalación de sika Impermeabilizante para muros, ambas caras</v>
          </cell>
          <cell r="D1357" t="str">
            <v>Mantenimiento CW</v>
          </cell>
          <cell r="E1357" t="str">
            <v>M2</v>
          </cell>
          <cell r="F1357">
            <v>11846.45</v>
          </cell>
          <cell r="G1357" t="str">
            <v>Mantenimiento CW</v>
          </cell>
        </row>
        <row r="1358">
          <cell r="A1358">
            <v>8828119925</v>
          </cell>
          <cell r="B1358">
            <v>4.28</v>
          </cell>
          <cell r="C1358" t="str">
            <v>Mantenimiento Malla de eslabonada, marcos metálicos, Tubería de 2" con tapón, accesorios de fijación y portón de acceso en Malla. Incluye raspado, lijado aplicación de anticorrosivo, pintura en esmalte.</v>
          </cell>
          <cell r="D1358" t="str">
            <v>Mantenimiento CW</v>
          </cell>
          <cell r="E1358" t="str">
            <v>M2</v>
          </cell>
          <cell r="F1358">
            <v>11287.15</v>
          </cell>
          <cell r="G1358" t="str">
            <v>Mantenimiento CW</v>
          </cell>
        </row>
        <row r="1359">
          <cell r="A1359">
            <v>8828119934</v>
          </cell>
          <cell r="B1359">
            <v>4.29</v>
          </cell>
          <cell r="C1359" t="str">
            <v>Desmonte Malla de eslabonada, marcos metálicos, Tubería de 2" con tapón, accesorios de fijación y portón de acceso en Malla. incluye retiro transporte y disposición final.</v>
          </cell>
          <cell r="D1359" t="str">
            <v>Mantenimiento CW</v>
          </cell>
          <cell r="E1359" t="str">
            <v>M2</v>
          </cell>
          <cell r="F1359">
            <v>13932.35</v>
          </cell>
          <cell r="G1359" t="str">
            <v>Mantenimiento CW</v>
          </cell>
        </row>
        <row r="1360">
          <cell r="A1360">
            <v>8828119944</v>
          </cell>
          <cell r="B1360">
            <v>4.3</v>
          </cell>
          <cell r="C1360" t="str">
            <v>Suministro e instalación de candado Multilock con amaestramiento de llaves. Tipo intemperie.</v>
          </cell>
          <cell r="D1360" t="str">
            <v>Mantenimiento CW</v>
          </cell>
          <cell r="E1360" t="str">
            <v>UN</v>
          </cell>
          <cell r="F1360">
            <v>433422.65</v>
          </cell>
          <cell r="G1360" t="str">
            <v>Mantenimiento CW</v>
          </cell>
        </row>
        <row r="1361">
          <cell r="A1361">
            <v>8828119954</v>
          </cell>
          <cell r="B1361">
            <v>4.3099999999999996</v>
          </cell>
          <cell r="C1361" t="str">
            <v>Suministro e instalación de candado Yale con amaestramiento de llaves. Tipo intemperie.</v>
          </cell>
          <cell r="D1361" t="str">
            <v>Mantenimiento CW</v>
          </cell>
          <cell r="E1361" t="str">
            <v>UN</v>
          </cell>
          <cell r="F1361">
            <v>117554.15</v>
          </cell>
          <cell r="G1361" t="str">
            <v>Mantenimiento CW</v>
          </cell>
        </row>
        <row r="1362">
          <cell r="A1362">
            <v>8828119962</v>
          </cell>
          <cell r="B1362">
            <v>4.32</v>
          </cell>
          <cell r="C1362" t="str">
            <v>Suministro e instalación de chapa Yale de seguridad con amaestramiento de llaves. Incluye desmonte de elementos existentes, si aplica.</v>
          </cell>
          <cell r="D1362" t="str">
            <v>Mantenimiento CW</v>
          </cell>
          <cell r="E1362" t="str">
            <v>UN</v>
          </cell>
          <cell r="F1362">
            <v>130267.6</v>
          </cell>
          <cell r="G1362" t="str">
            <v>Mantenimiento CW</v>
          </cell>
        </row>
        <row r="1363">
          <cell r="A1363">
            <v>8828119974</v>
          </cell>
          <cell r="B1363">
            <v>4.33</v>
          </cell>
          <cell r="C1363" t="str">
            <v>Suministro e instalación de chapa Medeco de seguridad con amaestramiento de llaves. Incluye desmonte de elementos existentes, si aplica.</v>
          </cell>
          <cell r="D1363" t="str">
            <v>Mantenimiento CW</v>
          </cell>
          <cell r="E1363" t="str">
            <v>UN</v>
          </cell>
          <cell r="F1363">
            <v>253865.25</v>
          </cell>
          <cell r="G1363" t="str">
            <v>Mantenimiento CW</v>
          </cell>
        </row>
        <row r="1364">
          <cell r="A1364">
            <v>8828119982</v>
          </cell>
          <cell r="B1364">
            <v>4.34</v>
          </cell>
          <cell r="C1364" t="str">
            <v>Suministro e instalación de extintor para equipos electrónicos 20 lbs, incluye soporte y forro tipo exterior</v>
          </cell>
          <cell r="D1364" t="str">
            <v>Mantenimiento CW</v>
          </cell>
          <cell r="E1364" t="str">
            <v>UN</v>
          </cell>
          <cell r="F1364">
            <v>101538.45</v>
          </cell>
          <cell r="G1364" t="str">
            <v>Mantenimiento CW</v>
          </cell>
        </row>
        <row r="1365">
          <cell r="A1365">
            <v>8828119991</v>
          </cell>
          <cell r="B1365">
            <v>4.3499999999999996</v>
          </cell>
          <cell r="C1365" t="str">
            <v>Suministro e Instalación de Cubierta/Teja Plástica, Incluye elementos de fijación y transporte</v>
          </cell>
          <cell r="D1365" t="str">
            <v>Mantenimiento CW</v>
          </cell>
          <cell r="E1365" t="str">
            <v>UND</v>
          </cell>
          <cell r="F1365">
            <v>178811.1</v>
          </cell>
          <cell r="G1365" t="str">
            <v>Mantenimiento CW</v>
          </cell>
        </row>
        <row r="1366">
          <cell r="A1366">
            <v>8828119998</v>
          </cell>
          <cell r="B1366">
            <v>4.3600000000000003</v>
          </cell>
          <cell r="C1366" t="str">
            <v>Suministro e Instalación de Cubierta en Teja Fibrocemento, Incluye elementos de fijación y transporte</v>
          </cell>
          <cell r="D1366" t="str">
            <v>Mantenimiento CW</v>
          </cell>
          <cell r="E1366" t="str">
            <v>UND</v>
          </cell>
          <cell r="F1366">
            <v>130748.7</v>
          </cell>
          <cell r="G1366" t="str">
            <v>Mantenimiento CW</v>
          </cell>
        </row>
        <row r="1367">
          <cell r="A1367">
            <v>8828120008</v>
          </cell>
          <cell r="B1367">
            <v>4.37</v>
          </cell>
          <cell r="C1367" t="str">
            <v>Impermeabilización manto fiberglass con foil de aluminio e= 0,03( incluye imprimación de emulsión asfáltica, nivelaciones, sellamiento en los traslapos y aplicación de pintura en aluminio bituminoso)</v>
          </cell>
          <cell r="D1367" t="str">
            <v>Mantenimiento CW</v>
          </cell>
          <cell r="E1367" t="str">
            <v>M2</v>
          </cell>
          <cell r="F1367">
            <v>47196.25</v>
          </cell>
          <cell r="G1367" t="str">
            <v>Mantenimiento CW</v>
          </cell>
        </row>
        <row r="1368">
          <cell r="A1368">
            <v>8828120018</v>
          </cell>
          <cell r="B1368">
            <v>4.38</v>
          </cell>
          <cell r="C1368" t="str">
            <v>Impermeabilización sikalastic 450 y refuerzo con sikafealt o similar. (incluye Imprimación, nivelaciones, sellamiento en los traslapos).</v>
          </cell>
          <cell r="D1368" t="str">
            <v>Mantenimiento CW</v>
          </cell>
          <cell r="E1368" t="str">
            <v>M2</v>
          </cell>
          <cell r="F1368">
            <v>52240.15</v>
          </cell>
          <cell r="G1368" t="str">
            <v>Mantenimiento CW</v>
          </cell>
        </row>
        <row r="1369">
          <cell r="A1369">
            <v>8828120031</v>
          </cell>
          <cell r="B1369">
            <v>4.3899999999999997</v>
          </cell>
          <cell r="C1369" t="str">
            <v>Desmonte de cubierta, incluye mano de obra, materiales y disposición.</v>
          </cell>
          <cell r="D1369" t="str">
            <v>Mantenimiento CW</v>
          </cell>
          <cell r="E1369" t="str">
            <v>M2</v>
          </cell>
          <cell r="F1369">
            <v>14253.65</v>
          </cell>
          <cell r="G1369" t="str">
            <v>Mantenimiento CW</v>
          </cell>
        </row>
        <row r="1370">
          <cell r="A1370">
            <v>8828120040</v>
          </cell>
          <cell r="B1370">
            <v>4.4000000000000004</v>
          </cell>
          <cell r="C1370" t="str">
            <v>Retiro de Impermeabilización existente</v>
          </cell>
          <cell r="D1370" t="str">
            <v>Mantenimiento CW</v>
          </cell>
          <cell r="E1370" t="str">
            <v>M2</v>
          </cell>
          <cell r="F1370">
            <v>7055</v>
          </cell>
          <cell r="G1370" t="str">
            <v>Mantenimiento CW</v>
          </cell>
        </row>
        <row r="1371">
          <cell r="A1371">
            <v>8828120047</v>
          </cell>
          <cell r="B1371">
            <v>4.41</v>
          </cell>
          <cell r="C1371" t="str">
            <v>Suministro e instalación de bajante de aguas lluvias en PVC 3"</v>
          </cell>
          <cell r="D1371" t="str">
            <v>Mantenimiento CW</v>
          </cell>
          <cell r="E1371" t="str">
            <v>ML</v>
          </cell>
          <cell r="F1371">
            <v>19614.599999999999</v>
          </cell>
          <cell r="G1371" t="str">
            <v>Mantenimiento CW</v>
          </cell>
        </row>
        <row r="1372">
          <cell r="A1372">
            <v>8828120057</v>
          </cell>
          <cell r="B1372">
            <v>4.42</v>
          </cell>
          <cell r="C1372" t="str">
            <v>Suministro e instalación de canal para aguas lluvias en PVC</v>
          </cell>
          <cell r="D1372" t="str">
            <v>Mantenimiento CW</v>
          </cell>
          <cell r="E1372" t="str">
            <v>ML</v>
          </cell>
          <cell r="F1372">
            <v>27585.05</v>
          </cell>
          <cell r="G1372" t="str">
            <v>Mantenimiento CW</v>
          </cell>
        </row>
        <row r="1373">
          <cell r="A1373">
            <v>8828120066</v>
          </cell>
          <cell r="B1373">
            <v>4.43</v>
          </cell>
          <cell r="C1373" t="str">
            <v>Suministro s instalación de rejilla para sifón</v>
          </cell>
          <cell r="D1373" t="str">
            <v>Mantenimiento CW</v>
          </cell>
          <cell r="E1373" t="str">
            <v>UN</v>
          </cell>
          <cell r="F1373">
            <v>23219.45</v>
          </cell>
          <cell r="G1373" t="str">
            <v>Mantenimiento CW</v>
          </cell>
        </row>
        <row r="1374">
          <cell r="A1374">
            <v>8828120075</v>
          </cell>
          <cell r="B1374">
            <v>4.4400000000000004</v>
          </cell>
          <cell r="C1374" t="str">
            <v>Mantenimiento de canales (Viga canal) Destapar, asegurar, y limpiar (vigas canales en cubierta -cárcamos existentes en fachada principal -piso y cajas de inspección)</v>
          </cell>
          <cell r="D1374" t="str">
            <v>Mantenimiento CW</v>
          </cell>
          <cell r="E1374" t="str">
            <v>ML</v>
          </cell>
          <cell r="F1374">
            <v>24032.9</v>
          </cell>
          <cell r="G1374" t="str">
            <v>Mantenimiento CW</v>
          </cell>
        </row>
        <row r="1375">
          <cell r="A1375">
            <v>8828120082</v>
          </cell>
          <cell r="B1375">
            <v>4.45</v>
          </cell>
          <cell r="C1375" t="str">
            <v>Suministro e instalación de implementación tipo solapa cubierta (incluye materiales y mano de obra requerida para su correcta ejecución)</v>
          </cell>
          <cell r="D1375" t="str">
            <v>Mantenimiento CW</v>
          </cell>
          <cell r="E1375" t="str">
            <v>ML</v>
          </cell>
          <cell r="F1375">
            <v>31347.15</v>
          </cell>
          <cell r="G1375" t="str">
            <v>Mantenimiento CW</v>
          </cell>
        </row>
        <row r="1376">
          <cell r="A1376">
            <v>8828120092</v>
          </cell>
          <cell r="B1376">
            <v>4.46</v>
          </cell>
          <cell r="C1376" t="str">
            <v>Suministro e instalación de pintura bituminosa</v>
          </cell>
          <cell r="D1376" t="str">
            <v>Mantenimiento CW</v>
          </cell>
          <cell r="E1376" t="str">
            <v>M2</v>
          </cell>
          <cell r="F1376">
            <v>22059.200000000001</v>
          </cell>
          <cell r="G1376" t="str">
            <v>Mantenimiento CW</v>
          </cell>
        </row>
        <row r="1377">
          <cell r="B1377">
            <v>5</v>
          </cell>
          <cell r="C1377" t="str">
            <v>ESTRUCTURA METÁLICA</v>
          </cell>
          <cell r="D1377" t="str">
            <v>Mantenimiento CW</v>
          </cell>
          <cell r="G1377" t="str">
            <v>Mantenimiento CW</v>
          </cell>
        </row>
        <row r="1378">
          <cell r="A1378">
            <v>8828120101</v>
          </cell>
          <cell r="B1378">
            <v>5.01</v>
          </cell>
          <cell r="C1378" t="str">
            <v>Suministro e instalación de perfil OMEGA galvanizado en caliente con elementos de fijación a concreto. Incluye desmonte de elementos existentes, si aplica.</v>
          </cell>
          <cell r="D1378" t="str">
            <v>Mantenimiento CW</v>
          </cell>
          <cell r="E1378" t="str">
            <v>ML</v>
          </cell>
          <cell r="F1378">
            <v>132859.25</v>
          </cell>
          <cell r="G1378" t="str">
            <v>Mantenimiento CW</v>
          </cell>
        </row>
        <row r="1379">
          <cell r="A1379">
            <v>8828120108</v>
          </cell>
          <cell r="B1379">
            <v>5.0199999999999996</v>
          </cell>
          <cell r="C1379" t="str">
            <v>Bandeja portacable MECANO de 20 cm. Semipesado. Inc. Curvas, Soportes, anclajes y accesorios. Incluye desmonte de elementos existentes, si aplica.</v>
          </cell>
          <cell r="D1379" t="str">
            <v>Mantenimiento CW</v>
          </cell>
          <cell r="E1379" t="str">
            <v>ML</v>
          </cell>
          <cell r="F1379">
            <v>85475.15</v>
          </cell>
          <cell r="G1379" t="str">
            <v>Mantenimiento CW</v>
          </cell>
        </row>
        <row r="1380">
          <cell r="A1380">
            <v>8828120115</v>
          </cell>
          <cell r="B1380">
            <v>5.03</v>
          </cell>
          <cell r="C1380" t="str">
            <v>Bandeja portacable MECANO de 30 cm. Semipesado. Inc. Curvas, Soportes, anclajes y accesorios. Incluye desmonte de elementos existentes, si aplica.</v>
          </cell>
          <cell r="D1380" t="str">
            <v>Mantenimiento CW</v>
          </cell>
          <cell r="E1380" t="str">
            <v>ML</v>
          </cell>
          <cell r="F1380">
            <v>105405.95</v>
          </cell>
          <cell r="G1380" t="str">
            <v>Mantenimiento CW</v>
          </cell>
        </row>
        <row r="1381">
          <cell r="A1381">
            <v>8828120123</v>
          </cell>
          <cell r="B1381">
            <v>5.04</v>
          </cell>
          <cell r="C1381" t="str">
            <v>Bandeja portacable MECANO de 40 cm. Semipesado. Inc. Curvas, Soportes, anclajes y accesorios. Incluye desmonte de elementos existentes, si aplica.</v>
          </cell>
          <cell r="D1381" t="str">
            <v>Mantenimiento CW</v>
          </cell>
          <cell r="E1381" t="str">
            <v>ML</v>
          </cell>
          <cell r="F1381">
            <v>126983.2</v>
          </cell>
          <cell r="G1381" t="str">
            <v>Mantenimiento CW</v>
          </cell>
        </row>
        <row r="1382">
          <cell r="A1382">
            <v>8828120132</v>
          </cell>
          <cell r="B1382">
            <v>5.05</v>
          </cell>
          <cell r="C1382" t="str">
            <v>Bandeja portacable MECANO de 60 cm. Semipesado. Inc. Curvas, Soportes, anclajes y accesorios. Incluye desmonte de elementos existentes, si aplica.</v>
          </cell>
          <cell r="D1382" t="str">
            <v>Mantenimiento CW</v>
          </cell>
          <cell r="E1382" t="str">
            <v>ML</v>
          </cell>
          <cell r="F1382">
            <v>156167.95000000001</v>
          </cell>
          <cell r="G1382" t="str">
            <v>Mantenimiento CW</v>
          </cell>
        </row>
        <row r="1383">
          <cell r="A1383">
            <v>8828120143</v>
          </cell>
          <cell r="B1383">
            <v>5.0599999999999996</v>
          </cell>
          <cell r="C1383" t="str">
            <v>Desmonte de Estructura Metálica existente.</v>
          </cell>
          <cell r="D1383" t="str">
            <v>Mantenimiento CW</v>
          </cell>
          <cell r="E1383" t="str">
            <v>KG</v>
          </cell>
          <cell r="F1383">
            <v>1968.6</v>
          </cell>
          <cell r="G1383" t="str">
            <v>Mantenimiento CW</v>
          </cell>
        </row>
        <row r="1384">
          <cell r="A1384">
            <v>8828120151</v>
          </cell>
          <cell r="B1384">
            <v>5.07</v>
          </cell>
          <cell r="C1384" t="str">
            <v>Suministro e instalación de escalera acceso tipo gato galvanizada y/o baranda de protección de caídas galvanizada</v>
          </cell>
          <cell r="D1384" t="str">
            <v>Mantenimiento CW</v>
          </cell>
          <cell r="E1384" t="str">
            <v>ml</v>
          </cell>
          <cell r="F1384">
            <v>262893.95</v>
          </cell>
          <cell r="G1384" t="str">
            <v>Mantenimiento CW</v>
          </cell>
        </row>
        <row r="1385">
          <cell r="A1385">
            <v>8828120160</v>
          </cell>
          <cell r="B1385">
            <v>5.08</v>
          </cell>
          <cell r="C1385" t="str">
            <v>Suministro e Instalación de Línea de vida Certificada con sus accesorios soportes con absorbedor de impacto, Incluye Informe, manuales, certificados, protocolo de línea de vida (Ver especificación detallada)</v>
          </cell>
          <cell r="D1385" t="str">
            <v>Mantenimiento CW</v>
          </cell>
          <cell r="E1385" t="str">
            <v>Und</v>
          </cell>
          <cell r="F1385">
            <v>3030239.8</v>
          </cell>
          <cell r="G1385" t="str">
            <v>Mantenimiento CW</v>
          </cell>
        </row>
        <row r="1386">
          <cell r="A1386">
            <v>8828120169</v>
          </cell>
          <cell r="B1386">
            <v>5.09</v>
          </cell>
          <cell r="C1386" t="str">
            <v>Suministro e instalación de guaya para línea de vida o hilo guarda vida, certificada</v>
          </cell>
          <cell r="D1386" t="str">
            <v>Mantenimiento CW</v>
          </cell>
          <cell r="E1386" t="str">
            <v>ml</v>
          </cell>
          <cell r="F1386">
            <v>17079.900000000001</v>
          </cell>
          <cell r="G1386" t="str">
            <v>Mantenimiento CW</v>
          </cell>
        </row>
        <row r="1387">
          <cell r="A1387">
            <v>8828120177</v>
          </cell>
          <cell r="B1387">
            <v>5.0999999999999996</v>
          </cell>
          <cell r="C1387" t="str">
            <v>Recertificación de Línea de Vida ( Incluye protocolos, informes, traslados de personal de rectificación y validación)</v>
          </cell>
          <cell r="D1387" t="str">
            <v>Mantenimiento CW</v>
          </cell>
          <cell r="E1387" t="str">
            <v>GL</v>
          </cell>
          <cell r="F1387">
            <v>2442647.5499999998</v>
          </cell>
          <cell r="G1387" t="str">
            <v>Mantenimiento CW</v>
          </cell>
        </row>
        <row r="1388">
          <cell r="A1388">
            <v>8828120186</v>
          </cell>
          <cell r="B1388">
            <v>5.1100000000000003</v>
          </cell>
          <cell r="C1388" t="str">
            <v>Mantenimiento torre Autosoportada Raspado o lijado, hidro lavada, y aplicación de pintura, incluye plataformas, soportes, escalerilla vertical y escalera de ascenso.
 Pintura esmalte de POLIURETANO con Base epoxica y Acabado Naranja y Blanco. Debe incluir inhibidor de corrosión.</v>
          </cell>
          <cell r="D1388" t="str">
            <v>Mantenimiento CW</v>
          </cell>
          <cell r="E1388" t="str">
            <v>ML</v>
          </cell>
          <cell r="F1388">
            <v>283377.25</v>
          </cell>
          <cell r="G1388" t="str">
            <v>Mantenimiento CW</v>
          </cell>
        </row>
        <row r="1389">
          <cell r="A1389">
            <v>8828120201</v>
          </cell>
          <cell r="B1389">
            <v>5.12</v>
          </cell>
          <cell r="C1389" t="str">
            <v>Mantenimiento torre riendada Raspado o lijado, hidro lavada, y aplicación de pintura, incluye plataformas, soportes, escalerilla vertical y escalera de ascenso.
 Pintura esmalte de POLIURETANO con Base epoxica y Acabado Naranja y Blanco. Debe incluir inhibidor de corrosión.</v>
          </cell>
          <cell r="D1389" t="str">
            <v>Mantenimiento CW</v>
          </cell>
          <cell r="E1389" t="str">
            <v>ML</v>
          </cell>
          <cell r="F1389">
            <v>274548.3</v>
          </cell>
          <cell r="G1389" t="str">
            <v>Mantenimiento CW</v>
          </cell>
        </row>
        <row r="1390">
          <cell r="A1390">
            <v>8828120210</v>
          </cell>
          <cell r="B1390">
            <v>5.13</v>
          </cell>
          <cell r="C1390" t="str">
            <v>Mantenimiento monopolo Raspado o lijado, hidro lavada, y aplicación de pintura, incluye plataformas, soportes, escalerilla vertical y escalera de ascenso.
 Pintura esmalte de POLIURETANO con Base epoxica y Acabado Naranja y Blanco. Debe incluir inhibidor de corrosión.</v>
          </cell>
          <cell r="D1390" t="str">
            <v>Mantenimiento CW</v>
          </cell>
          <cell r="E1390" t="str">
            <v>ML</v>
          </cell>
          <cell r="F1390">
            <v>286644.65000000002</v>
          </cell>
          <cell r="G1390" t="str">
            <v>Mantenimiento CW</v>
          </cell>
        </row>
        <row r="1391">
          <cell r="A1391">
            <v>8828120219</v>
          </cell>
          <cell r="B1391">
            <v>5.14</v>
          </cell>
          <cell r="C1391" t="str">
            <v>Mantenimiento poste Raspado o lijado, hidro lavada, y aplicación de pintura, incluye plataformas, soportes, escalerilla vertical y escalera de ascenso.
 Pintura esmalte de POLIURETANO con Base epoxica y Acabado Naranja y Blanco. Debe incluir inhibidor de corrosión.</v>
          </cell>
          <cell r="D1391" t="str">
            <v>Mantenimiento CW</v>
          </cell>
          <cell r="E1391" t="str">
            <v>ML</v>
          </cell>
          <cell r="F1391">
            <v>286645.5</v>
          </cell>
          <cell r="G1391" t="str">
            <v>Mantenimiento CW</v>
          </cell>
        </row>
        <row r="1392">
          <cell r="A1392">
            <v>8828120227</v>
          </cell>
          <cell r="B1392">
            <v>5.15</v>
          </cell>
          <cell r="C1392" t="str">
            <v>Mantenimiento mástil Autosoportado, anclado o riendado Raspado o lijado, hidro lavada, y aplicación de pintura, incluye soportes, escalerilla vertical y escalera de ascenso.
 Pintura esmalte de POLIURETANO con Base epoxica y Acabado Naranja y Blanco. Debe incluir inhibidor de corrosión.</v>
          </cell>
          <cell r="D1392" t="str">
            <v>Mantenimiento CW</v>
          </cell>
          <cell r="E1392" t="str">
            <v>ML</v>
          </cell>
          <cell r="F1392">
            <v>245580.3</v>
          </cell>
          <cell r="G1392" t="str">
            <v>Mantenimiento CW</v>
          </cell>
        </row>
        <row r="1393">
          <cell r="A1393">
            <v>8828120235</v>
          </cell>
          <cell r="B1393">
            <v>5.16</v>
          </cell>
          <cell r="C1393" t="str">
            <v>Mantenimiento torre Estructura Autosoportada Raspado o lijado, hidro lavada, y aplicación de pintura, incluye plataformas, soportes, escalerilla vertical y escalera de ascenso.
 Pintura ECOLOGICA ACRILICA Base agua.</v>
          </cell>
          <cell r="D1393" t="str">
            <v>Mantenimiento CW</v>
          </cell>
          <cell r="E1393" t="str">
            <v>ML</v>
          </cell>
          <cell r="F1393">
            <v>280661.5</v>
          </cell>
          <cell r="G1393" t="str">
            <v>Mantenimiento CW</v>
          </cell>
        </row>
        <row r="1394">
          <cell r="A1394">
            <v>8828120247</v>
          </cell>
          <cell r="B1394">
            <v>5.17</v>
          </cell>
          <cell r="C1394" t="str">
            <v>Mantenimiento torre riendada Raspado o lijado, hidro lavada, y aplicación de pintura, incluye plataformas, soportes, escalerilla vertical y escalera de ascenso.
 Pintura ECOLOGICA ACRILICA Base agua.</v>
          </cell>
          <cell r="D1394" t="str">
            <v>Mantenimiento CW</v>
          </cell>
          <cell r="E1394" t="str">
            <v>ML</v>
          </cell>
          <cell r="F1394">
            <v>259778.7</v>
          </cell>
          <cell r="G1394" t="str">
            <v>Mantenimiento CW</v>
          </cell>
        </row>
        <row r="1395">
          <cell r="A1395">
            <v>8828120253</v>
          </cell>
          <cell r="B1395">
            <v>5.18</v>
          </cell>
          <cell r="C1395" t="str">
            <v>Mantenimiento monopolo Raspado o lijado, hidro lavada, y aplicación de pintura, incluye plataformas, soportes, escalerilla vertical y escalera de ascenso.
 Pintura ECOLOGICA ACRILICA Base agua.</v>
          </cell>
          <cell r="D1395" t="str">
            <v>Mantenimiento CW</v>
          </cell>
          <cell r="E1395" t="str">
            <v>ML</v>
          </cell>
          <cell r="F1395">
            <v>259858.6</v>
          </cell>
          <cell r="G1395" t="str">
            <v>Mantenimiento CW</v>
          </cell>
        </row>
        <row r="1396">
          <cell r="A1396">
            <v>8828120259</v>
          </cell>
          <cell r="B1396">
            <v>5.19</v>
          </cell>
          <cell r="C1396" t="str">
            <v>Mantenimiento poste Raspado o lijado, hidro lavada, y aplicación de pintura, incluye plataformas, soportes, escalerilla vertical y escalera de ascenso.
 Pintura ECOLOGICA ACRILICA Base agua.</v>
          </cell>
          <cell r="D1396" t="str">
            <v>Mantenimiento CW</v>
          </cell>
          <cell r="E1396" t="str">
            <v>ML</v>
          </cell>
          <cell r="F1396">
            <v>258414.45</v>
          </cell>
          <cell r="G1396" t="str">
            <v>Mantenimiento CW</v>
          </cell>
        </row>
        <row r="1397">
          <cell r="A1397">
            <v>8828120265</v>
          </cell>
          <cell r="B1397">
            <v>5.2</v>
          </cell>
          <cell r="C1397" t="str">
            <v>Mantenimiento mástil Autosoportado, anclado o riendada Raspado o lijado, hidro lavada, y aplicación de pintura, incluye soportes, escalerilla vertical y escalera de ascenso.
 Pintura ECOLOGICA ACRILICA Base agua.</v>
          </cell>
          <cell r="D1397" t="str">
            <v>Mantenimiento CW</v>
          </cell>
          <cell r="E1397" t="str">
            <v>ML</v>
          </cell>
          <cell r="F1397">
            <v>222540.2</v>
          </cell>
          <cell r="G1397" t="str">
            <v>Mantenimiento CW</v>
          </cell>
        </row>
        <row r="1398">
          <cell r="A1398">
            <v>8828120270</v>
          </cell>
          <cell r="B1398">
            <v>5.21</v>
          </cell>
          <cell r="C1398" t="str">
            <v>Suministro e instalación de pasamuros en acero inoxidable de dos perforaciones x 4"</v>
          </cell>
          <cell r="D1398" t="str">
            <v>Mantenimiento CW</v>
          </cell>
          <cell r="E1398" t="str">
            <v>UN</v>
          </cell>
          <cell r="F1398">
            <v>156564.04999999999</v>
          </cell>
          <cell r="G1398" t="str">
            <v>Mantenimiento CW</v>
          </cell>
        </row>
        <row r="1399">
          <cell r="A1399">
            <v>8828120274</v>
          </cell>
          <cell r="B1399">
            <v>5.22</v>
          </cell>
          <cell r="C1399" t="str">
            <v>Suministro e instalación de piso en malla expandida cal. 10 (incl marcos, soportes y acces. De fijación a las estructuras)</v>
          </cell>
          <cell r="D1399" t="str">
            <v>Mantenimiento CW</v>
          </cell>
          <cell r="E1399" t="str">
            <v>M2</v>
          </cell>
          <cell r="F1399">
            <v>236388.4</v>
          </cell>
          <cell r="G1399" t="str">
            <v>Mantenimiento CW</v>
          </cell>
        </row>
        <row r="1400">
          <cell r="A1400">
            <v>8828120278</v>
          </cell>
          <cell r="B1400">
            <v>5.23</v>
          </cell>
          <cell r="C1400" t="str">
            <v>Soporte para pararrayos en Tubería metálica Ø 2" x 4,5 sobresale de la estructura 3 metros. Incluye accesorios de fijación. Todas las piezas se entregan galvanizadas y pintadas según especificaciones de Aeronáutica.</v>
          </cell>
          <cell r="D1400" t="str">
            <v>Mantenimiento CW</v>
          </cell>
          <cell r="E1400" t="str">
            <v>UN</v>
          </cell>
          <cell r="F1400">
            <v>369574.9</v>
          </cell>
          <cell r="G1400" t="str">
            <v>Mantenimiento CW</v>
          </cell>
        </row>
        <row r="1401">
          <cell r="A1401">
            <v>8828120281</v>
          </cell>
          <cell r="B1401">
            <v>5.24</v>
          </cell>
          <cell r="C1401" t="str">
            <v>Cambio de perros de sujeción para riendas de guaya 1/2" galvanizado. Incluye suministro e instalación.</v>
          </cell>
          <cell r="D1401" t="str">
            <v>Mantenimiento CW</v>
          </cell>
          <cell r="E1401" t="str">
            <v>UND</v>
          </cell>
          <cell r="F1401">
            <v>20898.099999999999</v>
          </cell>
          <cell r="G1401" t="str">
            <v>Mantenimiento CW</v>
          </cell>
        </row>
        <row r="1402">
          <cell r="A1402">
            <v>8828119007</v>
          </cell>
          <cell r="B1402">
            <v>5.25</v>
          </cell>
          <cell r="C1402" t="str">
            <v>Cambio de tensores para riendas de guaya 1/2" Incluye varilla roscada y tensor tipo T, tornillos y tuercas. Galvanizado. Incluye suministro e instalación.</v>
          </cell>
          <cell r="D1402" t="str">
            <v>Mantenimiento CW</v>
          </cell>
          <cell r="E1402" t="str">
            <v>UND</v>
          </cell>
          <cell r="F1402">
            <v>26702.75</v>
          </cell>
          <cell r="G1402" t="str">
            <v>Mantenimiento CW</v>
          </cell>
        </row>
        <row r="1403">
          <cell r="A1403">
            <v>8828119017</v>
          </cell>
          <cell r="B1403">
            <v>5.26</v>
          </cell>
          <cell r="C1403" t="str">
            <v>Cambio de grillete para riendas de guaya 1/2". Grillete galvanizado. Incluye suministro e instalación.</v>
          </cell>
          <cell r="D1403" t="str">
            <v>Mantenimiento CW</v>
          </cell>
          <cell r="E1403" t="str">
            <v>UND</v>
          </cell>
          <cell r="F1403">
            <v>15043.3</v>
          </cell>
          <cell r="G1403" t="str">
            <v>Mantenimiento CW</v>
          </cell>
        </row>
        <row r="1404">
          <cell r="A1404">
            <v>8828119028</v>
          </cell>
          <cell r="B1404">
            <v>5.27</v>
          </cell>
          <cell r="C1404" t="str">
            <v>Cambio de accesorios de Riendas ( Torniquetes, guardacabos, camisas protectoras, conectores de cable, abrazaderas, casquillos). Incluye suministro e instalación.</v>
          </cell>
          <cell r="D1404" t="str">
            <v>Mantenimiento CW</v>
          </cell>
          <cell r="E1404" t="str">
            <v>UND</v>
          </cell>
          <cell r="F1404">
            <v>23260.25</v>
          </cell>
          <cell r="G1404" t="str">
            <v>Mantenimiento CW</v>
          </cell>
        </row>
        <row r="1405">
          <cell r="A1405">
            <v>8828119036</v>
          </cell>
          <cell r="B1405">
            <v>5.28</v>
          </cell>
          <cell r="C1405" t="str">
            <v>Suministro e instalación de reja de seguridad tipo bancaria en acero de 1/2" liso cuadrado y marco en ángulo 1 1/2"x3/8"</v>
          </cell>
          <cell r="D1405" t="str">
            <v>Mantenimiento CW</v>
          </cell>
          <cell r="E1405" t="str">
            <v>M2</v>
          </cell>
          <cell r="F1405">
            <v>169756.9</v>
          </cell>
          <cell r="G1405" t="str">
            <v>Mantenimiento CW</v>
          </cell>
        </row>
        <row r="1406">
          <cell r="A1406">
            <v>8828119045</v>
          </cell>
          <cell r="B1406">
            <v>5.29</v>
          </cell>
          <cell r="C1406" t="str">
            <v>Suministro e instalación de estructura metálica en acero galvanizado para refuerzo, soportes, bases y adecuaciones en general.</v>
          </cell>
          <cell r="D1406" t="str">
            <v>Mantenimiento CW</v>
          </cell>
          <cell r="E1406" t="str">
            <v>Kg</v>
          </cell>
          <cell r="F1406">
            <v>12911.5</v>
          </cell>
          <cell r="G1406" t="str">
            <v>Mantenimiento CW</v>
          </cell>
        </row>
        <row r="1407">
          <cell r="A1407">
            <v>8828119055</v>
          </cell>
          <cell r="B1407">
            <v>5.3</v>
          </cell>
          <cell r="C1407" t="str">
            <v>Reemplazo riendas de estructura riendada acorde con la norma EIA/TIA222F - EIA/TIA222G. Incluye desmonte riendas a reemplazar, suministro e instalación de riendas nuevas. Incluye todos los elementos y equipos necesarios para la realización. Rienda de 1/2" con alma de acero.</v>
          </cell>
          <cell r="D1407" t="str">
            <v>Mantenimiento CW</v>
          </cell>
          <cell r="E1407" t="str">
            <v>ML</v>
          </cell>
          <cell r="F1407">
            <v>18110.95</v>
          </cell>
          <cell r="G1407" t="str">
            <v>Mantenimiento CW</v>
          </cell>
        </row>
        <row r="1408">
          <cell r="A1408">
            <v>8828119064</v>
          </cell>
          <cell r="B1408">
            <v>5.31</v>
          </cell>
          <cell r="C1408" t="str">
            <v>Reemplazo riendas de estructura riendada acorde con la norma EIA/TIA222F - EIA/TIA222G. Incluye desmonte riendas a reemplazar, suministro e instalación de riendas nuevas. Incluye todos los elementos y equipos necesarios para la realización. Rienda de 1/4" con alma de acero.</v>
          </cell>
          <cell r="D1408" t="str">
            <v>Mantenimiento CW</v>
          </cell>
          <cell r="E1408" t="str">
            <v>ML</v>
          </cell>
          <cell r="F1408">
            <v>13293.15</v>
          </cell>
          <cell r="G1408" t="str">
            <v>Mantenimiento CW</v>
          </cell>
        </row>
        <row r="1409">
          <cell r="A1409">
            <v>8828119072</v>
          </cell>
          <cell r="B1409">
            <v>5.32</v>
          </cell>
          <cell r="C1409" t="str">
            <v>Reemplazo riendas de estructura riendada acorde con la norma EIA/TIA222F - EIA/TIA222G. Incluye desmonte riendas a reemplazar, suministro e instalación de riendas nuevas. Incluye todos los elementos y equipos necesarios para la realización. Rienda de 3/8" con alma de acero.</v>
          </cell>
          <cell r="D1409" t="str">
            <v>Mantenimiento CW</v>
          </cell>
          <cell r="E1409" t="str">
            <v>ML</v>
          </cell>
          <cell r="F1409">
            <v>14686.3</v>
          </cell>
          <cell r="G1409" t="str">
            <v>Mantenimiento CW</v>
          </cell>
        </row>
        <row r="1410">
          <cell r="B1410">
            <v>6</v>
          </cell>
          <cell r="C1410" t="str">
            <v>ADMINISTRATIVO</v>
          </cell>
          <cell r="D1410" t="str">
            <v>Mantenimiento CW</v>
          </cell>
          <cell r="G1410" t="str">
            <v>Mantenimiento CW</v>
          </cell>
        </row>
        <row r="1411">
          <cell r="A1411">
            <v>8828119081</v>
          </cell>
          <cell r="B1411">
            <v>6.01</v>
          </cell>
          <cell r="C1411" t="str">
            <v>Servicio de SST - HSEQ ***</v>
          </cell>
          <cell r="D1411" t="str">
            <v>Mantenimiento CW</v>
          </cell>
          <cell r="E1411" t="str">
            <v>Día</v>
          </cell>
          <cell r="F1411">
            <v>163166.85</v>
          </cell>
          <cell r="G1411" t="str">
            <v>Mantenimiento CW</v>
          </cell>
        </row>
        <row r="1412">
          <cell r="A1412">
            <v>8828119090</v>
          </cell>
          <cell r="B1412">
            <v>6.02</v>
          </cell>
          <cell r="C1412" t="str">
            <v>Sistemas de ingeniería para actividades en alturas (Andamios certificados, líneas de vida portátiles, elementos de fijación o anclajes certificados) adicionales a las condiciones normales de trabajo ***</v>
          </cell>
          <cell r="D1412" t="str">
            <v>Mantenimiento CW</v>
          </cell>
          <cell r="E1412" t="str">
            <v>Día</v>
          </cell>
          <cell r="F1412">
            <v>212376.75</v>
          </cell>
          <cell r="G1412" t="str">
            <v>Mantenimiento CW</v>
          </cell>
        </row>
        <row r="1413">
          <cell r="A1413">
            <v>8828119099</v>
          </cell>
          <cell r="B1413">
            <v>6.03</v>
          </cell>
          <cell r="C1413" t="str">
            <v>Alquiler carro Canasta (Mínimo 4 horas)</v>
          </cell>
          <cell r="D1413" t="str">
            <v>Mantenimiento CW</v>
          </cell>
          <cell r="E1413" t="str">
            <v>Hora</v>
          </cell>
          <cell r="F1413">
            <v>232603.35</v>
          </cell>
          <cell r="G1413" t="str">
            <v>Mantenimiento CW</v>
          </cell>
        </row>
        <row r="1416">
          <cell r="B1416">
            <v>1</v>
          </cell>
          <cell r="C1416" t="str">
            <v>DESMONTES Y RETIROS ELECTRICOS</v>
          </cell>
          <cell r="G1416" t="str">
            <v>Mantenimiento Electrico</v>
          </cell>
        </row>
        <row r="1417">
          <cell r="A1417">
            <v>8828119108</v>
          </cell>
          <cell r="B1417">
            <v>1.01</v>
          </cell>
          <cell r="C1417" t="str">
            <v>Retiro acometida externa, desde transformador, hasta tablero de medidores y/o planta eléctrica, incluye retiro de la tubería y cableado.</v>
          </cell>
          <cell r="D1417" t="str">
            <v>Mantenimiento Electrico</v>
          </cell>
          <cell r="E1417" t="str">
            <v>ML</v>
          </cell>
          <cell r="F1417">
            <v>10816.25</v>
          </cell>
          <cell r="G1417" t="str">
            <v>Mantenimiento Electrico</v>
          </cell>
        </row>
        <row r="1418">
          <cell r="A1418">
            <v>8828119117</v>
          </cell>
          <cell r="B1418">
            <v>1.02</v>
          </cell>
          <cell r="C1418" t="str">
            <v>Retiro sistema de puesta a tierra y busbar existentes, existente en Estación base, Incluye retiro omegas, soportes, cable 2/0, terminales, busbar con sus accesorios y elaboración del inventario.</v>
          </cell>
          <cell r="D1418" t="str">
            <v>Mantenimiento Electrico</v>
          </cell>
          <cell r="E1418" t="str">
            <v>Glb</v>
          </cell>
          <cell r="F1418">
            <v>121863.65</v>
          </cell>
          <cell r="G1418" t="str">
            <v>Mantenimiento Electrico</v>
          </cell>
        </row>
        <row r="1419">
          <cell r="A1419">
            <v>8828119125</v>
          </cell>
          <cell r="B1419">
            <v>1.03</v>
          </cell>
          <cell r="C1419" t="str">
            <v>Retiro acometida externa, desde transformador a tablero eléctrico general (TGD) y/o planta eléctrica, incluye retiro de la tubería y cableado existente; Incluye transportes, mano de obra , herramientas y limpieza de zona de trabajo</v>
          </cell>
          <cell r="D1419" t="str">
            <v>Mantenimiento Electrico</v>
          </cell>
          <cell r="E1419" t="str">
            <v>ML</v>
          </cell>
          <cell r="F1419">
            <v>10816.25</v>
          </cell>
          <cell r="G1419" t="str">
            <v>Mantenimiento Electrico</v>
          </cell>
        </row>
        <row r="1420">
          <cell r="A1420">
            <v>8828119136</v>
          </cell>
          <cell r="B1420">
            <v>1.04</v>
          </cell>
          <cell r="C1420" t="str">
            <v>Desconexión y desmonte de transformador existente de hasta 75 kVA. Incluye maniobra en MT en caliente, grúa certificada, transporte de personal y herramienta necesaria, limpieza de zona de trabajo.</v>
          </cell>
          <cell r="D1420" t="str">
            <v>Mantenimiento Electrico</v>
          </cell>
          <cell r="E1420" t="str">
            <v>UN</v>
          </cell>
          <cell r="F1420">
            <v>1719241.45</v>
          </cell>
          <cell r="G1420" t="str">
            <v>Mantenimiento Electrico</v>
          </cell>
        </row>
        <row r="1421">
          <cell r="A1421">
            <v>8828119146</v>
          </cell>
          <cell r="B1421">
            <v>1.05</v>
          </cell>
          <cell r="C1421" t="str">
            <v>Desconexión y desmonte de transformador existente de hasta 75 kVA, en frio (Con red desenergizada), transporte de personal y herramienta necesaria, limpieza de zona de trabajo.</v>
          </cell>
          <cell r="D1421" t="str">
            <v>Mantenimiento Electrico</v>
          </cell>
          <cell r="E1421" t="str">
            <v>UN</v>
          </cell>
          <cell r="F1421">
            <v>362993.35</v>
          </cell>
          <cell r="G1421" t="str">
            <v>Mantenimiento Electrico</v>
          </cell>
        </row>
        <row r="1422">
          <cell r="B1422">
            <v>2</v>
          </cell>
          <cell r="C1422" t="str">
            <v>ELECTRICO</v>
          </cell>
          <cell r="D1422" t="str">
            <v>Mantenimiento Electrico</v>
          </cell>
          <cell r="G1422" t="str">
            <v>Mantenimiento Electrico</v>
          </cell>
        </row>
        <row r="1423">
          <cell r="A1423">
            <v>8828119158</v>
          </cell>
          <cell r="B1423">
            <v>2.04</v>
          </cell>
          <cell r="C1423" t="str">
            <v>Suministro e instalación de conduleta de 3/4" IMLB – Iluram o similar. Deberá tener certificación RETIE del producto instalado.</v>
          </cell>
          <cell r="D1423" t="str">
            <v>Mantenimiento Electrico</v>
          </cell>
          <cell r="E1423" t="str">
            <v>UN</v>
          </cell>
          <cell r="F1423">
            <v>12869</v>
          </cell>
          <cell r="G1423" t="str">
            <v>Mantenimiento Electrico</v>
          </cell>
        </row>
        <row r="1424">
          <cell r="A1424">
            <v>8828119167</v>
          </cell>
          <cell r="B1424">
            <v>2.02</v>
          </cell>
          <cell r="C1424" t="str">
            <v>Suministro e instalación de conduleta conduleta de 1" IMLB – Iluram o similar. Deberá tener certificación RETIE del producto instalado</v>
          </cell>
          <cell r="D1424" t="str">
            <v>Mantenimiento Electrico</v>
          </cell>
          <cell r="E1424" t="str">
            <v>UN</v>
          </cell>
          <cell r="F1424">
            <v>18773.099999999999</v>
          </cell>
          <cell r="G1424" t="str">
            <v>Mantenimiento Electrico</v>
          </cell>
        </row>
        <row r="1425">
          <cell r="A1425">
            <v>8828119177</v>
          </cell>
          <cell r="B1425">
            <v>2.0099999999999998</v>
          </cell>
          <cell r="C1425" t="str">
            <v>Suministro e instalación de conduleta de 1 1/2" IMLB - Iluram o similar. Deberá tener certificación RETIE del producto instalado</v>
          </cell>
          <cell r="D1425" t="str">
            <v>Mantenimiento Electrico</v>
          </cell>
          <cell r="E1425" t="str">
            <v>UN</v>
          </cell>
          <cell r="F1425">
            <v>31059.85</v>
          </cell>
          <cell r="G1425" t="str">
            <v>Mantenimiento Electrico</v>
          </cell>
        </row>
        <row r="1426">
          <cell r="A1426">
            <v>8828119185</v>
          </cell>
          <cell r="B1426">
            <v>2.0299999999999998</v>
          </cell>
          <cell r="C1426" t="str">
            <v>Suministro e instalación de conduleta de 2" IMLB – Iluram o similar. Deberá tener certificación RETIE del producto instalado</v>
          </cell>
          <cell r="D1426" t="str">
            <v>Mantenimiento Electrico</v>
          </cell>
          <cell r="E1426" t="str">
            <v>UN</v>
          </cell>
          <cell r="F1426">
            <v>43183.4</v>
          </cell>
          <cell r="G1426" t="str">
            <v>Mantenimiento Electrico</v>
          </cell>
        </row>
        <row r="1427">
          <cell r="A1427">
            <v>8828119192</v>
          </cell>
          <cell r="B1427">
            <v>2.0499999999999998</v>
          </cell>
          <cell r="C1427" t="str">
            <v>Suministro e instalación de cable 1/0 ACSR para red eléctrica de MT. Incluye transporte, mano de obra, herramientas necesarias para instalación y limpieza del área de trabajo</v>
          </cell>
          <cell r="D1427" t="str">
            <v>Mantenimiento Electrico</v>
          </cell>
          <cell r="E1427" t="str">
            <v>ML</v>
          </cell>
          <cell r="F1427">
            <v>4714.95</v>
          </cell>
          <cell r="G1427" t="str">
            <v>Mantenimiento Electrico</v>
          </cell>
        </row>
        <row r="1428">
          <cell r="A1428">
            <v>8828119201</v>
          </cell>
          <cell r="B1428">
            <v>2.06</v>
          </cell>
          <cell r="C1428" t="str">
            <v>Suministro e instalación de cable 2 ACSR para red eléctrica de MT. Incluye transporte, mano de obra, herramientas necesarias para instalación y limpieza del área de trabajo</v>
          </cell>
          <cell r="D1428" t="str">
            <v>Mantenimiento Electrico</v>
          </cell>
          <cell r="E1428" t="str">
            <v>ML</v>
          </cell>
          <cell r="F1428">
            <v>3434</v>
          </cell>
          <cell r="G1428" t="str">
            <v>Mantenimiento Electrico</v>
          </cell>
        </row>
        <row r="1429">
          <cell r="A1429">
            <v>8828119211</v>
          </cell>
          <cell r="B1429">
            <v>2.0699999999999998</v>
          </cell>
          <cell r="C1429" t="str">
            <v>Suministro e instalación de cable 2/0 ACSR para red eléctrica de MT. Incluye transporte, mano de obra, herramientas necesarias para instalación y limpieza del área de trabajo</v>
          </cell>
          <cell r="D1429" t="str">
            <v>Mantenimiento Electrico</v>
          </cell>
          <cell r="E1429" t="str">
            <v>ML</v>
          </cell>
          <cell r="F1429">
            <v>5472.3</v>
          </cell>
          <cell r="G1429" t="str">
            <v>Mantenimiento Electrico</v>
          </cell>
        </row>
        <row r="1430">
          <cell r="A1430">
            <v>8828119218</v>
          </cell>
          <cell r="B1430">
            <v>2.08</v>
          </cell>
          <cell r="C1430" t="str">
            <v>Suministro e instalación de cable 4/0 ACSR para red eléctrica de MT. Incluye transporte, mano de obra, herramientas necesarias para instalación y limpieza del área de trabajo</v>
          </cell>
          <cell r="D1430" t="str">
            <v>Mantenimiento Electrico</v>
          </cell>
          <cell r="E1430" t="str">
            <v>ML</v>
          </cell>
          <cell r="F1430">
            <v>14551.15</v>
          </cell>
          <cell r="G1430" t="str">
            <v>Mantenimiento Electrico</v>
          </cell>
        </row>
        <row r="1431">
          <cell r="A1431">
            <v>8828118943</v>
          </cell>
          <cell r="B1431">
            <v>2.09</v>
          </cell>
          <cell r="C1431" t="str">
    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    </cell>
          <cell r="D1431" t="str">
            <v>Mantenimiento Electrico</v>
          </cell>
          <cell r="E1431" t="str">
            <v>Global</v>
          </cell>
          <cell r="F1431">
            <v>1086294.8999999999</v>
          </cell>
          <cell r="G1431" t="str">
            <v>Mantenimiento Electrico</v>
          </cell>
        </row>
        <row r="1432">
          <cell r="A1432">
            <v>8828118953</v>
          </cell>
          <cell r="B1432">
            <v>2.1</v>
          </cell>
          <cell r="C1432" t="str">
            <v>Diseño, Sum. e inst. de Tablero para 12 circuitos BIFASICO con espacio para totalizador y cofre tipo intemperie. IP65 Incluye breakers: 1 de 2*50A; 1 de 2*63A, Totalizador tripolar 63 Amp. Barra de Tierras y neutro.</v>
          </cell>
          <cell r="D1432" t="str">
            <v>Mantenimiento Electrico</v>
          </cell>
          <cell r="E1432" t="str">
            <v>Un</v>
          </cell>
          <cell r="F1432">
            <v>1088700.3999999999</v>
          </cell>
          <cell r="G1432" t="str">
            <v>Mantenimiento Electrico</v>
          </cell>
        </row>
        <row r="1433">
          <cell r="A1433">
            <v>8828118962</v>
          </cell>
          <cell r="B1433">
            <v>2.11</v>
          </cell>
          <cell r="C1433" t="str">
            <v>Suministro e instalación gabinete – cofre tipo intemperie IP 65 para instalación tablero Trifásico de 12 circuitos con espacio para Totalizador. Dimensiones 50x70x 30 cms . Nota el tablero de 12 circuitos, breaker y totalizador no forma parte de este ITEM</v>
          </cell>
          <cell r="D1433" t="str">
            <v>Mantenimiento Electrico</v>
          </cell>
          <cell r="E1433" t="str">
            <v>Un</v>
          </cell>
          <cell r="F1433">
            <v>608884.75</v>
          </cell>
          <cell r="G1433" t="str">
            <v>Mantenimiento Electrico</v>
          </cell>
        </row>
        <row r="1434">
          <cell r="A1434">
            <v>8828118971</v>
          </cell>
          <cell r="B1434">
            <v>2.12</v>
          </cell>
          <cell r="C1434" t="str">
            <v>Contratación del suministro eléctrico baja tensión para cualquier electrificadora . Incluye solicitud de factibilidad, acompañamientos para visitas técnicas, radicación de documentos ante la electrificadora</v>
          </cell>
          <cell r="D1434" t="str">
            <v>Mantenimiento Electrico</v>
          </cell>
          <cell r="E1434" t="str">
            <v>Global</v>
          </cell>
          <cell r="F1434">
            <v>2835439.35</v>
          </cell>
          <cell r="G1434" t="str">
            <v>Mantenimiento Electrico</v>
          </cell>
        </row>
        <row r="1435">
          <cell r="A1435">
            <v>8828119228</v>
          </cell>
          <cell r="B1435">
            <v>2.13</v>
          </cell>
          <cell r="C1435" t="str">
            <v>Solicitud de ampliación y/o reducción de carga para sitio existente, trámites y legalización; incluye certificado de RETIE.</v>
          </cell>
          <cell r="D1435" t="str">
            <v>Mantenimiento Electrico</v>
          </cell>
          <cell r="E1435" t="str">
            <v>UN</v>
          </cell>
          <cell r="F1435">
            <v>2893305.65</v>
          </cell>
          <cell r="G1435" t="str">
            <v>Mantenimiento Electrico</v>
          </cell>
        </row>
        <row r="1436">
          <cell r="A1436">
            <v>8828119240</v>
          </cell>
          <cell r="B1436">
            <v>2.14</v>
          </cell>
          <cell r="C1436" t="str">
            <v>Suministro e Instalación de Breaker Industrial para Totalizador hasta 63 A en TGD o donde se indique por parte de WOM Incluye suministro e instalación de Breaker tipo industrial desde 20 A, hasta 63 A de 50 kA, bifásico o trifásico según requerimiento y tablero a implementar. Incluye retiro de breaker existente, marcación, torqueo y limpieza de zona de trabajo</v>
          </cell>
          <cell r="D1436" t="str">
            <v>Mantenimiento Electrico</v>
          </cell>
          <cell r="E1436" t="str">
            <v>UN</v>
          </cell>
          <cell r="F1436">
            <v>356193.35</v>
          </cell>
          <cell r="G1436" t="str">
            <v>Mantenimiento Electrico</v>
          </cell>
        </row>
        <row r="1437">
          <cell r="A1437">
            <v>8828119260</v>
          </cell>
          <cell r="B1437">
            <v>2.15</v>
          </cell>
          <cell r="C1437" t="str">
            <v>Suministro e Instalación de Breaker tripolar hasta 63A en TGD o donde se indique por parte de WOM, Incluye suministro e instalación de Breaker tripolar hasta 63 A de 25 kA según requerimiento y tablero a implementar. Incluye retiro de breaker existente, marcación, torqueo y limpieza de zona de trabajo</v>
          </cell>
          <cell r="D1437" t="str">
            <v>Mantenimiento Electrico</v>
          </cell>
          <cell r="E1437" t="str">
            <v>UN</v>
          </cell>
          <cell r="F1437">
            <v>263461.75</v>
          </cell>
          <cell r="G1437" t="str">
            <v>Mantenimiento Electrico</v>
          </cell>
        </row>
        <row r="1438">
          <cell r="A1438">
            <v>8828119269</v>
          </cell>
          <cell r="B1438">
            <v>2.16</v>
          </cell>
          <cell r="C1438" t="str">
            <v>Suministro e Instalación de Breaker bipolar hasta 63 A en TGD, Incluye suministro e instalación de Breaker bipolar hasta 63 A de 25 kA según requerimiento y tablero a implementar. Incluye retiro de breaker existente, marcación, torqueo y limpieza de zona de trabajo</v>
          </cell>
          <cell r="D1438" t="str">
            <v>Mantenimiento Electrico</v>
          </cell>
          <cell r="E1438" t="str">
            <v>UN</v>
          </cell>
          <cell r="F1438">
            <v>151697.79999999999</v>
          </cell>
          <cell r="G1438" t="str">
            <v>Mantenimiento Electrico</v>
          </cell>
        </row>
        <row r="1439">
          <cell r="A1439">
            <v>8828118980</v>
          </cell>
          <cell r="B1439">
            <v>2.17</v>
          </cell>
          <cell r="C1439" t="str">
            <v>Suministro e Instalación de Breaker monopolar hasta 63 A en TGD o donde se indique por parte de WOM, Incluye suministro e instalación de Breaker monopolar hasta 63 A de 25 kA según requerimiento y tablero a implementar. Incluye retiro de breaker existente, marcación, torqueo y limpieza de zona de trabajo</v>
          </cell>
          <cell r="D1439" t="str">
            <v>Mantenimiento Electrico</v>
          </cell>
          <cell r="E1439" t="str">
            <v>UN</v>
          </cell>
          <cell r="F1439">
            <v>50565.65</v>
          </cell>
          <cell r="G1439" t="str">
            <v>Mantenimiento Electrico</v>
          </cell>
        </row>
        <row r="1440">
          <cell r="A1440">
            <v>8828118997</v>
          </cell>
          <cell r="B1440">
            <v>2.1800000000000002</v>
          </cell>
          <cell r="C1440" t="str">
            <v>Suministro e instalación de trenzado antifraude en aluminio (Al) hasta 3X2 AWG THHW/THHN; Incluye suministro e instalación de cable alimentador antifraude de 4 hilos, conforme regulación de la acometida, incluye elementos de fijación, terminales, marquillas y demás requeridos para su instalación.</v>
          </cell>
          <cell r="D1440" t="str">
            <v>Mantenimiento Electrico</v>
          </cell>
          <cell r="E1440" t="str">
            <v>ML</v>
          </cell>
          <cell r="F1440">
            <v>26496.2</v>
          </cell>
          <cell r="G1440" t="str">
            <v>Mantenimiento Electrico</v>
          </cell>
        </row>
        <row r="1441">
          <cell r="A1441">
            <v>8828119006</v>
          </cell>
          <cell r="B1441">
            <v>2.19</v>
          </cell>
          <cell r="C1441" t="str">
            <v>Suministro e instalación de Cable trenzado antifraude en Cobre hasta 4X6 AWG THHW/ THNW; Incluye suministro e instalación de cable alimentador antifraude de 4 hilos, conforme regulación de la acometida, incluye elementos de fijación, terminales, marquillas y demás requeridos para su instalación.</v>
          </cell>
          <cell r="D1441" t="str">
            <v>Mantenimiento Electrico</v>
          </cell>
          <cell r="E1441" t="str">
            <v>ML</v>
          </cell>
          <cell r="F1441">
            <v>68769.25</v>
          </cell>
          <cell r="G1441" t="str">
            <v>Mantenimiento Electrico</v>
          </cell>
        </row>
        <row r="1442">
          <cell r="A1442">
            <v>8828119014</v>
          </cell>
          <cell r="B1442">
            <v>2.2000000000000002</v>
          </cell>
          <cell r="C1442" t="str">
            <v>Suministro e instalación de Cable trenzado antifraude en Aluminio hasta 4X6 AWG THHW/ THNW; Incluye suministro e instalación de cable alimentador antifraude de 4 hilos, conforme regulación de la acometida, incluye elementos de fijación, terminales, marquillas y demás requeridos para su instalación.</v>
          </cell>
          <cell r="D1442" t="str">
            <v>Mantenimiento Electrico</v>
          </cell>
          <cell r="E1442" t="str">
            <v>ML</v>
          </cell>
          <cell r="F1442">
            <v>56229.2</v>
          </cell>
          <cell r="G1442" t="str">
            <v>Mantenimiento Electrico</v>
          </cell>
        </row>
        <row r="1443">
          <cell r="A1443">
            <v>8828119025</v>
          </cell>
          <cell r="B1443">
            <v>2.21</v>
          </cell>
          <cell r="C1443" t="str">
            <v>Suministro e instalación de Cable encauchetado en cobre 4X8 AWG THHN, Incluye suministro e instalación de cable encauchetado 4 hilos calibre 8 cada uno, conforme regulación de la acometida, incluye elementos de fijación, terminales, marquillas y demás requeridos para su instalación.</v>
          </cell>
          <cell r="D1443" t="str">
            <v>Mantenimiento Electrico</v>
          </cell>
          <cell r="E1443" t="str">
            <v>ML</v>
          </cell>
          <cell r="F1443">
            <v>54914.25</v>
          </cell>
          <cell r="G1443" t="str">
            <v>Mantenimiento Electrico</v>
          </cell>
        </row>
        <row r="1444">
          <cell r="A1444">
            <v>8828119033</v>
          </cell>
          <cell r="B1444">
            <v>2.2200000000000002</v>
          </cell>
          <cell r="C1444" t="str">
            <v>Suministro e instalación de Cable encauchetado en aluminio 4X8 AWG THHN, Incluye suministro e instalación de cable encauchetado 4 hilos calibre 8 cada uno, conforme regulación de la acometida, incluye elementos de fijación, terminales, marquillas y demás requeridos para su instalación.</v>
          </cell>
          <cell r="D1444" t="str">
            <v>Mantenimiento Electrico</v>
          </cell>
          <cell r="E1444" t="str">
            <v>ML</v>
          </cell>
          <cell r="F1444">
            <v>31552.85</v>
          </cell>
          <cell r="G1444" t="str">
            <v>Mantenimiento Electrico</v>
          </cell>
        </row>
        <row r="1445">
          <cell r="A1445">
            <v>8828119043</v>
          </cell>
          <cell r="B1445">
            <v>2.23</v>
          </cell>
          <cell r="C1445" t="str">
            <v>Suministro e instalación de Cable encauchetado en aluminio 3X4 AWG THHN, Incluye suministro e instalación de cable encauchetado 3 hilos calibre 4 cada uno, conforme regulación de la acometida, incluye elementos de fijación, terminales, marquillas y demás requeridos para su instalación.</v>
          </cell>
          <cell r="D1445" t="str">
            <v>Mantenimiento Electrico</v>
          </cell>
          <cell r="E1445" t="str">
            <v>ML</v>
          </cell>
          <cell r="F1445">
            <v>22349.9</v>
          </cell>
          <cell r="G1445" t="str">
            <v>Mantenimiento Electrico</v>
          </cell>
        </row>
        <row r="1446">
          <cell r="A1446">
            <v>8828119052</v>
          </cell>
          <cell r="B1446">
            <v>2.2400000000000002</v>
          </cell>
          <cell r="C1446" t="str">
            <v>Suministro e instalación de Cable de aluminio calibre 2 AWG THHN, Incluye suministro e instalación de cable hasta calibre 2 AWG, conforme diagrama unifilar, incluye elementos de fijación, terminales marquillas y/ código de colores y demás requeridos para su instalación.</v>
          </cell>
          <cell r="D1446" t="str">
            <v>Mantenimiento Electrico</v>
          </cell>
          <cell r="E1446" t="str">
            <v>ML</v>
          </cell>
          <cell r="F1446">
            <v>10771.2</v>
          </cell>
          <cell r="G1446" t="str">
            <v>Mantenimiento Electrico</v>
          </cell>
        </row>
        <row r="1447">
          <cell r="A1447">
            <v>8828119066</v>
          </cell>
          <cell r="B1447">
            <v>2.25</v>
          </cell>
          <cell r="C1447" t="str">
            <v>Suministro e instalación de Cable de aluminio calibre 4 AWG THHN, Incluye suministro e instalación de cable hasta calibre 4 AWG, conforme diagrama unifilar, incluye elementos de fijación, terminales marquillas y/ código de colores y demás requeridos para su instalación.</v>
          </cell>
          <cell r="D1447" t="str">
            <v>Mantenimiento Electrico</v>
          </cell>
          <cell r="E1447" t="str">
            <v>ML</v>
          </cell>
          <cell r="F1447">
            <v>7685.7</v>
          </cell>
          <cell r="G1447" t="str">
            <v>Mantenimiento Electrico</v>
          </cell>
        </row>
        <row r="1448">
          <cell r="A1448">
            <v>8828119073</v>
          </cell>
          <cell r="B1448">
            <v>2.2599999999999998</v>
          </cell>
          <cell r="C1448" t="str">
            <v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v>
          </cell>
          <cell r="D1448" t="str">
            <v>Mantenimiento Electrico</v>
          </cell>
          <cell r="E1448" t="str">
            <v>ML</v>
          </cell>
          <cell r="F1448">
            <v>3413.6</v>
          </cell>
          <cell r="G1448" t="str">
            <v>Mantenimiento Electrico</v>
          </cell>
        </row>
        <row r="1449">
          <cell r="A1449">
            <v>8828119082</v>
          </cell>
          <cell r="B1449">
            <v>2.27</v>
          </cell>
          <cell r="C1449" t="str">
            <v>Suministro e instalación de Cable de aluminio calibre 8 AWG THHN/THHW, Incluye suministro e instalación de cable hasta calibre 8 AWG, conforme diagrama unifilar, incluye elementos de fijación, terminales marquillas y/ código de colores y demás requeridos para su instalación.</v>
          </cell>
          <cell r="D1449" t="str">
            <v>Mantenimiento Electrico</v>
          </cell>
          <cell r="E1449" t="str">
            <v>ML</v>
          </cell>
          <cell r="F1449">
            <v>2527.9</v>
          </cell>
          <cell r="G1449" t="str">
            <v>Mantenimiento Electrico</v>
          </cell>
        </row>
        <row r="1450">
          <cell r="A1450">
            <v>8828119092</v>
          </cell>
          <cell r="B1450">
            <v>2.2799999999999998</v>
          </cell>
          <cell r="C1450" t="str">
            <v>Suministro e instalación de Cable de aluminio calibre # 1/0 AWG, THHN/THHW. Incluye accesorios de montaje y fijación; desmonte y limpieza del área de trabajo.</v>
          </cell>
          <cell r="D1450" t="str">
            <v>Mantenimiento Electrico</v>
          </cell>
          <cell r="E1450" t="str">
            <v>ML</v>
          </cell>
          <cell r="F1450">
            <v>9223.35</v>
          </cell>
          <cell r="G1450" t="str">
            <v>Mantenimiento Electrico</v>
          </cell>
        </row>
        <row r="1451">
          <cell r="A1451">
            <v>8828119100</v>
          </cell>
          <cell r="B1451">
            <v>2.29</v>
          </cell>
          <cell r="C1451" t="str">
            <v>Suministro e instalación de Cable de Aluminio THHW/THHN # 2/0 AWG. Incluye accesorios de montaje y fijación; desmonte y limpieza del área de trabajo.</v>
          </cell>
          <cell r="D1451" t="str">
            <v>Mantenimiento Electrico</v>
          </cell>
          <cell r="E1451" t="str">
            <v>ML</v>
          </cell>
          <cell r="F1451">
            <v>12378.55</v>
          </cell>
          <cell r="G1451" t="str">
            <v>Mantenimiento Electrico</v>
          </cell>
        </row>
        <row r="1452">
          <cell r="A1452">
            <v>8828119109</v>
          </cell>
          <cell r="B1452">
            <v>2.2999999999999998</v>
          </cell>
          <cell r="C1452" t="str">
            <v>Suministro e instalación de Cable de cobre THHW/THHN # 2/0 AWG. Incluye accesorios de montaje y fijación; desmonte y limpieza del área de trabajo.</v>
          </cell>
          <cell r="D1452" t="str">
            <v>Mantenimiento Electrico</v>
          </cell>
          <cell r="E1452" t="str">
            <v>ML</v>
          </cell>
          <cell r="F1452">
            <v>56229.2</v>
          </cell>
          <cell r="G1452" t="str">
            <v>Mantenimiento Electrico</v>
          </cell>
        </row>
        <row r="1453">
          <cell r="A1453">
            <v>8828119119</v>
          </cell>
          <cell r="B1453">
            <v>2.31</v>
          </cell>
          <cell r="C1453" t="str">
            <v>Suministro e instalación de Cable de cobre desnudo # 2/0 AWG. Incluye accesorios de montaje y fijación; desmonte y limpieza del área de trabajo.</v>
          </cell>
          <cell r="D1453" t="str">
            <v>Mantenimiento Electrico</v>
          </cell>
          <cell r="E1453" t="str">
            <v>ML</v>
          </cell>
          <cell r="F1453">
            <v>53196.4</v>
          </cell>
          <cell r="G1453" t="str">
            <v>Mantenimiento Electrico</v>
          </cell>
        </row>
        <row r="1454">
          <cell r="A1454">
            <v>8828119128</v>
          </cell>
          <cell r="B1454">
            <v>2.3199999999999998</v>
          </cell>
          <cell r="C1454" t="str">
            <v>Cambio, suministro e instalación Gabinete o armario de hasta 4 medidores (Aplica para Codensa, ESSA, CENS), incluye demoliciones, resanes y acabados final de muro o fachada</v>
          </cell>
          <cell r="D1454" t="str">
            <v>Mantenimiento Electrico</v>
          </cell>
          <cell r="E1454" t="str">
            <v>Global</v>
          </cell>
          <cell r="F1454">
            <v>6808562.0499999998</v>
          </cell>
          <cell r="G1454" t="str">
            <v>Mantenimiento Electrico</v>
          </cell>
        </row>
        <row r="1455">
          <cell r="A1455">
            <v>8828119138</v>
          </cell>
          <cell r="B1455">
            <v>2.33</v>
          </cell>
          <cell r="C1455" t="str">
            <v>Cambio, suministro e instalación Gabinete para 4 medidores (Aplica para las siguientes electrificadoras EPM, CHEC, DISPAC, EDEQ, EEP) incluye demoliciones, resanes y acabados final de muro o fachada</v>
          </cell>
          <cell r="D1455" t="str">
            <v>Mantenimiento Electrico</v>
          </cell>
          <cell r="E1455" t="str">
            <v>Global</v>
          </cell>
          <cell r="F1455">
            <v>1408208.6</v>
          </cell>
          <cell r="G1455" t="str">
            <v>Mantenimiento Electrico</v>
          </cell>
        </row>
        <row r="1456">
          <cell r="A1456">
            <v>8828119148</v>
          </cell>
          <cell r="B1456">
            <v>2.34</v>
          </cell>
          <cell r="C1456" t="str">
            <v>Cambio, suministro e instalación Gabinete o armario de 6 medidores (Aplica para Codensa, ESSA, CENS), incluye demoliciones, resanes y acabados final de muro o fachada</v>
          </cell>
          <cell r="D1456" t="str">
            <v>Mantenimiento Electrico</v>
          </cell>
          <cell r="E1456" t="str">
            <v>Global</v>
          </cell>
          <cell r="F1456">
            <v>8157545.2000000002</v>
          </cell>
          <cell r="G1456" t="str">
            <v>Mantenimiento Electrico</v>
          </cell>
        </row>
        <row r="1457">
          <cell r="A1457">
            <v>8828119157</v>
          </cell>
          <cell r="B1457">
            <v>2.35</v>
          </cell>
          <cell r="C1457" t="str">
            <v>Cambio, suministro e instalación Gabinete o armario de 12 medidores (Aplica para Codensa, ESSA, CENS), incluye demoliciones, resanes y acabados final de muro o fachada</v>
          </cell>
          <cell r="D1457" t="str">
            <v>Mantenimiento Electrico</v>
          </cell>
          <cell r="E1457" t="str">
            <v>global</v>
          </cell>
          <cell r="F1457">
            <v>13523398.85</v>
          </cell>
          <cell r="G1457" t="str">
            <v>Mantenimiento Electrico</v>
          </cell>
        </row>
        <row r="1458">
          <cell r="A1458">
            <v>8828119166</v>
          </cell>
          <cell r="B1458">
            <v>2.36</v>
          </cell>
          <cell r="C1458" t="str">
            <v>Cambio, suministro e instalación de Cable encauchetado hasta 3 x 8 para luz de obstrucción. Incluye disposición de residuos.</v>
          </cell>
          <cell r="D1458" t="str">
            <v>Mantenimiento Electrico</v>
          </cell>
          <cell r="E1458" t="str">
            <v>ML</v>
          </cell>
          <cell r="F1458">
            <v>36130.949999999997</v>
          </cell>
          <cell r="G1458" t="str">
            <v>Mantenimiento Electrico</v>
          </cell>
        </row>
        <row r="1459">
          <cell r="A1459">
            <v>8828119176</v>
          </cell>
          <cell r="B1459">
            <v>2.37</v>
          </cell>
          <cell r="C1459" t="str">
            <v>Capacete 1 1/2" - ICV-6 Iluram</v>
          </cell>
          <cell r="D1459" t="str">
            <v>Mantenimiento Electrico</v>
          </cell>
          <cell r="E1459" t="str">
            <v>UN</v>
          </cell>
          <cell r="F1459">
            <v>6968.3</v>
          </cell>
          <cell r="G1459" t="str">
            <v>Mantenimiento Electrico</v>
          </cell>
        </row>
        <row r="1460">
          <cell r="A1460">
            <v>8828119184</v>
          </cell>
          <cell r="B1460">
            <v>2.38</v>
          </cell>
          <cell r="C1460" t="str">
            <v>Capacete 2" - ICV-6 Iluram</v>
          </cell>
          <cell r="D1460" t="str">
            <v>Mantenimiento Electrico</v>
          </cell>
          <cell r="E1460" t="str">
            <v>UN</v>
          </cell>
          <cell r="F1460">
            <v>14463.6</v>
          </cell>
          <cell r="G1460" t="str">
            <v>Mantenimiento Electrico</v>
          </cell>
        </row>
        <row r="1461">
          <cell r="A1461">
            <v>8828119196</v>
          </cell>
          <cell r="B1461">
            <v>2.39</v>
          </cell>
          <cell r="C1461" t="str">
            <v>Coraza de 3/4" tipo Americana. Incluye terminales americanas y accesorios de fijación. Para salida de luces de obstrucción. Incluye retiro de escombros.</v>
          </cell>
          <cell r="D1461" t="str">
            <v>Mantenimiento Electrico</v>
          </cell>
          <cell r="E1461" t="str">
            <v>ML</v>
          </cell>
          <cell r="F1461">
            <v>17171.7</v>
          </cell>
          <cell r="G1461" t="str">
            <v>Mantenimiento Electrico</v>
          </cell>
        </row>
        <row r="1462">
          <cell r="A1462">
            <v>8828119206</v>
          </cell>
          <cell r="B1462">
            <v>2.4</v>
          </cell>
          <cell r="C1462" t="str">
            <v>Coraza Tipo Americano 1 1/2", Incluye canalización, uniones, terminales, curvas y accesorios de fijación. (1 curva equivale a 1 ml). Incluye retiro de escombros.</v>
          </cell>
          <cell r="D1462" t="str">
            <v>Mantenimiento Electrico</v>
          </cell>
          <cell r="E1462" t="str">
            <v>ML</v>
          </cell>
          <cell r="F1462">
            <v>29782.3</v>
          </cell>
          <cell r="G1462" t="str">
            <v>Mantenimiento Electrico</v>
          </cell>
        </row>
        <row r="1463">
          <cell r="A1463">
            <v>8828119214</v>
          </cell>
          <cell r="B1463">
            <v>2.41</v>
          </cell>
          <cell r="C1463" t="str">
            <v>Coraza Tipo Americano 1", Incluye canalización, uniones, terminales, curvas y accesorios de fijación. (1 curva equivale a 1 ml). Incluye retiro de escombros.</v>
          </cell>
          <cell r="D1463" t="str">
            <v>Mantenimiento Electrico</v>
          </cell>
          <cell r="E1463" t="str">
            <v>ML</v>
          </cell>
          <cell r="F1463">
            <v>21564.5</v>
          </cell>
          <cell r="G1463" t="str">
            <v>Mantenimiento Electrico</v>
          </cell>
        </row>
        <row r="1464">
          <cell r="A1464">
            <v>8828119224</v>
          </cell>
          <cell r="B1464">
            <v>2.42</v>
          </cell>
          <cell r="C1464" t="str">
            <v>Coraza Tipo Americano 2", Incluye canalización, uniones, terminales, curvas y accesorios de fijación. (1 curva equivale a 1 ml). Incluye retiro de escombros.</v>
          </cell>
          <cell r="D1464" t="str">
            <v>Mantenimiento Electrico</v>
          </cell>
          <cell r="E1464" t="str">
            <v>ML</v>
          </cell>
          <cell r="F1464">
            <v>31730.5</v>
          </cell>
          <cell r="G1464" t="str">
            <v>Mantenimiento Electrico</v>
          </cell>
        </row>
        <row r="1465">
          <cell r="A1465">
            <v>8828119235</v>
          </cell>
          <cell r="B1465">
            <v>2.4300000000000002</v>
          </cell>
          <cell r="C1465" t="str">
            <v>Cortacircuito intercambiable. Marca : Celsa. Tipo : 7,8/15kV-100A-20kA 150 KvBIL, incluye fusible y certificado de pruebas ante electrificadora local.</v>
          </cell>
          <cell r="D1465" t="str">
            <v>Mantenimiento Electrico</v>
          </cell>
          <cell r="E1465" t="str">
            <v>UN</v>
          </cell>
          <cell r="F1465">
            <v>34951.15</v>
          </cell>
          <cell r="G1465" t="str">
            <v>Mantenimiento Electrico</v>
          </cell>
        </row>
        <row r="1466">
          <cell r="A1466">
            <v>8828119244</v>
          </cell>
          <cell r="B1466">
            <v>2.44</v>
          </cell>
          <cell r="C1466" t="str">
            <v>Suministro e instalación de Pararrayos hasta 15 KV, 10 kA polimétrico, incluye transporte de personal, herramienta materiales y equipos necesarios, incluye la maniobra en frio, y limpieza de zona de trabajo, protocolos de producto RETIE.</v>
          </cell>
          <cell r="D1466" t="str">
            <v>Mantenimiento Electrico</v>
          </cell>
          <cell r="E1466" t="str">
            <v>UN</v>
          </cell>
          <cell r="F1466">
            <v>226874.35</v>
          </cell>
          <cell r="G1466" t="str">
            <v>Mantenimiento Electrico</v>
          </cell>
        </row>
        <row r="1467">
          <cell r="A1467">
            <v>8828119254</v>
          </cell>
          <cell r="B1467">
            <v>2.4500000000000002</v>
          </cell>
          <cell r="C1467" t="str">
            <v>Cortacircuito Expulsión 15-27Kv-100A/12KA 150KV Bil, con fusible incluido, incluye transporte de personal, herramienta materiales y equipos necesarios, incluye la maniobra en frio, y limpieza de zona de trabajo, protocolos de producto RETIE.</v>
          </cell>
          <cell r="D1467" t="str">
            <v>Mantenimiento Electrico</v>
          </cell>
          <cell r="E1467" t="str">
            <v>UN</v>
          </cell>
          <cell r="F1467">
            <v>369923.4</v>
          </cell>
          <cell r="G1467" t="str">
            <v>Mantenimiento Electrico</v>
          </cell>
        </row>
        <row r="1468">
          <cell r="A1468">
            <v>8828119263</v>
          </cell>
          <cell r="B1468">
            <v>2.46</v>
          </cell>
          <cell r="C1468" t="str">
            <v>Cambio, suministro e instalación de Fusible desde 5A hasta 15 Apara media tensión o velas de cañuelas tipo H</v>
          </cell>
          <cell r="D1468" t="str">
            <v>Mantenimiento Electrico</v>
          </cell>
          <cell r="E1468" t="str">
            <v>UN</v>
          </cell>
          <cell r="F1468">
            <v>12329.25</v>
          </cell>
          <cell r="G1468" t="str">
            <v>Mantenimiento Electrico</v>
          </cell>
        </row>
        <row r="1469">
          <cell r="A1469">
            <v>8828119276</v>
          </cell>
          <cell r="B1469">
            <v>2.4700000000000002</v>
          </cell>
          <cell r="C1469" t="str">
            <v>Maniobra en caliente para apertura y/o cierre de cortacircuitos para transformador.</v>
          </cell>
          <cell r="D1469" t="str">
            <v>Mantenimiento Electrico</v>
          </cell>
          <cell r="E1469" t="str">
            <v>Glb</v>
          </cell>
          <cell r="F1469">
            <v>288948.15000000002</v>
          </cell>
          <cell r="G1469" t="str">
            <v>Mantenimiento Electrico</v>
          </cell>
        </row>
        <row r="1470">
          <cell r="A1470">
            <v>8828119285</v>
          </cell>
          <cell r="B1470">
            <v>2.48</v>
          </cell>
          <cell r="C1470" t="str">
            <v>Suministro e instalación para la reposición del sistema de puesta a tierra para el trasformador en poste y sus protecciones, incluye varilla de cobre de 5/8" x 2,44 m, cinta de aterrizaje para tierras, conectores y accesorios de montaje, incluye todas las actividades necesarias para su ejecución.</v>
          </cell>
          <cell r="D1470" t="str">
            <v>Mantenimiento Electrico</v>
          </cell>
          <cell r="E1470" t="str">
            <v>Glb</v>
          </cell>
          <cell r="F1470">
            <v>737120</v>
          </cell>
          <cell r="G1470" t="str">
            <v>Mantenimiento Electrico</v>
          </cell>
        </row>
        <row r="1471">
          <cell r="A1471">
            <v>8828119279</v>
          </cell>
          <cell r="B1471">
            <v>2.4900000000000002</v>
          </cell>
          <cell r="C1471" t="str">
            <v>Diagnóstico y reparación de transformador 15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v>
          </cell>
          <cell r="D1471" t="str">
            <v>Mantenimiento Electrico</v>
          </cell>
          <cell r="E1471" t="str">
            <v>UN</v>
          </cell>
          <cell r="F1471">
            <v>4611612.0999999996</v>
          </cell>
          <cell r="G1471" t="str">
            <v>Mantenimiento Electrico</v>
          </cell>
        </row>
        <row r="1472">
          <cell r="A1472">
            <v>8828119298</v>
          </cell>
          <cell r="B1472">
            <v>2.5</v>
          </cell>
          <cell r="C1472" t="str">
            <v>Diagnóstico y reparación de transformador 30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v>
          </cell>
          <cell r="D1472" t="str">
            <v>Mantenimiento Electrico</v>
          </cell>
          <cell r="E1472" t="str">
            <v>UN</v>
          </cell>
          <cell r="F1472">
            <v>7396783.2999999998</v>
          </cell>
          <cell r="G1472" t="str">
            <v>Mantenimiento Electrico</v>
          </cell>
        </row>
        <row r="1473">
          <cell r="A1473">
            <v>8828119305</v>
          </cell>
          <cell r="B1473">
            <v>2.5099999999999998</v>
          </cell>
          <cell r="C1473" t="str">
            <v>Diagnóstico y reparación de transformador 45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v>
          </cell>
          <cell r="D1473" t="str">
            <v>Mantenimiento Electrico</v>
          </cell>
          <cell r="E1473" t="str">
            <v>UN</v>
          </cell>
          <cell r="F1473">
            <v>9055750.4000000004</v>
          </cell>
          <cell r="G1473" t="str">
            <v>Mantenimiento Electrico</v>
          </cell>
        </row>
        <row r="1474">
          <cell r="A1474">
            <v>8828119314</v>
          </cell>
          <cell r="B1474">
            <v>2.52</v>
          </cell>
          <cell r="C1474" t="str">
            <v>Estructura de transición poste estándar para media tensión, según electrificadora Local. Incluye crucetas, protecciones, pararrayos, puentes en cable y accesorios de montaje y fijación.</v>
          </cell>
          <cell r="D1474" t="str">
            <v>Mantenimiento Electrico</v>
          </cell>
          <cell r="E1474" t="str">
            <v>UN</v>
          </cell>
          <cell r="F1474">
            <v>1213582.3999999999</v>
          </cell>
          <cell r="G1474" t="str">
            <v>Mantenimiento Electrico</v>
          </cell>
        </row>
        <row r="1475">
          <cell r="A1475">
            <v>8828119322</v>
          </cell>
          <cell r="B1475">
            <v>2.5299999999999998</v>
          </cell>
          <cell r="C1475" t="str">
            <v>Cambio, suministro e instalación Interruptor sencillo 220V.</v>
          </cell>
          <cell r="D1475" t="str">
            <v>Mantenimiento Electrico</v>
          </cell>
          <cell r="E1475" t="str">
            <v>UN</v>
          </cell>
          <cell r="F1475">
            <v>16488.3</v>
          </cell>
          <cell r="G1475" t="str">
            <v>Mantenimiento Electrico</v>
          </cell>
        </row>
        <row r="1476">
          <cell r="A1476">
            <v>8828119329</v>
          </cell>
          <cell r="B1476">
            <v>2.54</v>
          </cell>
          <cell r="C1476" t="str">
            <v>Cambio, suministro e instalación de Juego de faros dobles Tipo led Marca ILURAM o similar.</v>
          </cell>
          <cell r="D1476" t="str">
            <v>Mantenimiento Electrico</v>
          </cell>
          <cell r="E1476" t="str">
            <v>UN</v>
          </cell>
          <cell r="F1476">
            <v>600748.55000000005</v>
          </cell>
          <cell r="G1476" t="str">
            <v>Mantenimiento Electrico</v>
          </cell>
        </row>
        <row r="1477">
          <cell r="A1477">
            <v>8828119339</v>
          </cell>
          <cell r="B1477">
            <v>2.5499999999999998</v>
          </cell>
          <cell r="C1477" t="str">
            <v>Cambio, suministro e instalación de Juego de luces de obstrucción Tipo led Marca ILURAM o similar incluye caja de control y faros dobles.</v>
          </cell>
          <cell r="D1477" t="str">
            <v>Mantenimiento Electrico</v>
          </cell>
          <cell r="E1477" t="str">
            <v>UN</v>
          </cell>
          <cell r="F1477">
            <v>1193234.25</v>
          </cell>
          <cell r="G1477" t="str">
            <v>Mantenimiento Electrico</v>
          </cell>
        </row>
        <row r="1478">
          <cell r="A1478">
            <v>8828119351</v>
          </cell>
          <cell r="B1478">
            <v>2.56</v>
          </cell>
          <cell r="C1478" t="str">
            <v>Mantenimiento luces de obstrucción incluye caja de control, alimentación y aterrizaje. Incluye revisión total, cableado desde tablero, revisión de los faros, revisión de la fotocelda.</v>
          </cell>
          <cell r="D1478" t="str">
            <v>Mantenimiento Electrico</v>
          </cell>
          <cell r="E1478" t="str">
            <v>UN</v>
          </cell>
          <cell r="F1478">
            <v>152799.4</v>
          </cell>
          <cell r="G1478" t="str">
            <v>Mantenimiento Electrico</v>
          </cell>
        </row>
        <row r="1479">
          <cell r="A1479">
            <v>8828119359</v>
          </cell>
          <cell r="B1479">
            <v>2.57</v>
          </cell>
          <cell r="C1479" t="str">
            <v>Transferencia manual para planta eléctrica portátil compuesta por cofre y 5 borneras dobles de conexión para circuito de planta y circuito de energía comercial.</v>
          </cell>
          <cell r="D1479" t="str">
            <v>Mantenimiento Electrico</v>
          </cell>
          <cell r="E1479" t="str">
            <v>GL</v>
          </cell>
          <cell r="F1479">
            <v>1122504.8999999999</v>
          </cell>
          <cell r="G1479" t="str">
            <v>Mantenimiento Electrico</v>
          </cell>
        </row>
        <row r="1480">
          <cell r="A1480">
            <v>8828119367</v>
          </cell>
          <cell r="B1480">
            <v>2.58</v>
          </cell>
          <cell r="C1480" t="str">
            <v>Cambio de Transformador 15 kVA, 2F - 3F, 11400/ 208-110 V. No incluye protecciones del transformador, incluye la maniobra y el desmonte del transformador existente.</v>
          </cell>
          <cell r="D1480" t="str">
            <v>Mantenimiento Electrico</v>
          </cell>
          <cell r="E1480" t="str">
            <v>UN</v>
          </cell>
          <cell r="F1480">
            <v>9359752.9000000004</v>
          </cell>
          <cell r="G1480" t="str">
            <v>Mantenimiento Electrico</v>
          </cell>
        </row>
        <row r="1481">
          <cell r="A1481">
            <v>8828119374</v>
          </cell>
          <cell r="B1481">
            <v>2.59</v>
          </cell>
          <cell r="C1481" t="str">
            <v>Cambio de Transformador 30 kVA, 2F - 3F, 13200/ 208-110 V. No incluye protecciones del transformador, incluye la maniobra y el desmonte del transformador existente.</v>
          </cell>
          <cell r="D1481" t="str">
            <v>Mantenimiento Electrico</v>
          </cell>
          <cell r="E1481" t="str">
            <v>UN</v>
          </cell>
          <cell r="F1481">
            <v>15410597.75</v>
          </cell>
          <cell r="G1481" t="str">
            <v>Mantenimiento Electrico</v>
          </cell>
        </row>
        <row r="1482">
          <cell r="A1482">
            <v>8828119386</v>
          </cell>
          <cell r="B1482">
            <v>2.6</v>
          </cell>
          <cell r="C1482" t="str">
            <v>Cambio de transformador de 45 KVA, 2F - 3F, 11400/ 208-110 V, No incluye protecciones del transformador, incluye la maniobra y el desmonte del transformador existente.</v>
          </cell>
          <cell r="D1482" t="str">
            <v>Mantenimiento Electrico</v>
          </cell>
          <cell r="E1482" t="str">
            <v>UN</v>
          </cell>
          <cell r="F1482">
            <v>17912877.899999999</v>
          </cell>
          <cell r="G1482" t="str">
            <v>Mantenimiento Electrico</v>
          </cell>
        </row>
        <row r="1483">
          <cell r="A1483">
            <v>8828119395</v>
          </cell>
          <cell r="B1483">
            <v>2.61</v>
          </cell>
          <cell r="C1483" t="str">
            <v>Cambio de Transformador 45 KVA, 2F - 3F, 13200/ 208-110 V. No incluye protecciones del transformador, incluye la maniobra y el desmonte del transformador existente.</v>
          </cell>
          <cell r="D1483" t="str">
            <v>Mantenimiento Electrico</v>
          </cell>
          <cell r="E1483" t="str">
            <v>UN</v>
          </cell>
          <cell r="F1483">
            <v>18865388.75</v>
          </cell>
          <cell r="G1483" t="str">
            <v>Mantenimiento Electrico</v>
          </cell>
        </row>
        <row r="1484">
          <cell r="A1484">
            <v>8828119403</v>
          </cell>
          <cell r="B1484">
            <v>2.62</v>
          </cell>
          <cell r="C1484" t="str">
            <v>Tubería Conduit Galvanizada 1 ", Incluye canalización, uniones, terminales, curvas y accesorios de fijación. (1 curva equivale a 1 ml). Incluye desmonte de tubería existe, mano de obra y limpieza del área de trabajo.</v>
          </cell>
          <cell r="D1484" t="str">
            <v>Mantenimiento Electrico</v>
          </cell>
          <cell r="E1484" t="str">
            <v>ML</v>
          </cell>
          <cell r="F1484">
            <v>37733.199999999997</v>
          </cell>
          <cell r="G1484" t="str">
            <v>Mantenimiento Electrico</v>
          </cell>
        </row>
        <row r="1485">
          <cell r="A1485">
            <v>8828119413</v>
          </cell>
          <cell r="B1485">
            <v>2.63</v>
          </cell>
          <cell r="C1485" t="str">
            <v>Tubería Conduit Galvanizada 1 1/2", Incluye canalización, uniones, terminales, curvas y accesorios de fijación. (1 curva equivale a 1 ml). Incluye desmonte de tubería existe, mano de obra y limpieza del área de trabajo.</v>
          </cell>
          <cell r="D1485" t="str">
            <v>Mantenimiento Electrico</v>
          </cell>
          <cell r="E1485" t="str">
            <v>ML</v>
          </cell>
          <cell r="F1485">
            <v>60016.800000000003</v>
          </cell>
          <cell r="G1485" t="str">
            <v>Mantenimiento Electrico</v>
          </cell>
        </row>
        <row r="1486">
          <cell r="A1486">
            <v>8828119423</v>
          </cell>
          <cell r="B1486">
            <v>2.64</v>
          </cell>
          <cell r="C1486" t="str">
            <v>Tubería Conduit Galvanizada 2", Incluye canalización, uniones, terminales, curvas y accesorios de fijación. (1 curva equivale a 1 ml). Incluye desmonte de tubería existe, mano de obra y limpieza del área de trabajo.</v>
          </cell>
          <cell r="D1486" t="str">
            <v>Mantenimiento Electrico</v>
          </cell>
          <cell r="E1486" t="str">
            <v>ML</v>
          </cell>
          <cell r="F1486">
            <v>74567.100000000006</v>
          </cell>
          <cell r="G1486" t="str">
            <v>Mantenimiento Electrico</v>
          </cell>
        </row>
        <row r="1487">
          <cell r="A1487">
            <v>8828119431</v>
          </cell>
          <cell r="B1487">
            <v>2.65</v>
          </cell>
          <cell r="C1487" t="str">
            <v>Tubería Conduit Galvanizada 3/4", Incluye canalización, uniones, terminales, curvas y accesorios de fijación. (1 curva equivale a 1 ml). Incluye desmonte de tubería existe, mano de obra y limpieza del área de trabajo.</v>
          </cell>
          <cell r="D1487" t="str">
            <v>Mantenimiento Electrico</v>
          </cell>
          <cell r="E1487" t="str">
            <v>ML</v>
          </cell>
          <cell r="F1487">
            <v>30304.2</v>
          </cell>
          <cell r="G1487" t="str">
            <v>Mantenimiento Electrico</v>
          </cell>
        </row>
        <row r="1488">
          <cell r="A1488">
            <v>8828119450</v>
          </cell>
          <cell r="B1488">
            <v>2.66</v>
          </cell>
          <cell r="C1488" t="str">
            <v>Tubería EMT 1 ". Incluye uniones, terminales, curvas y accesorios de fijación. (1 curva equivale a 1 ml. Incluye desmonte de tubería existe, mano de obra y limpieza del área de trabajo.</v>
          </cell>
          <cell r="D1488" t="str">
            <v>Mantenimiento Electrico</v>
          </cell>
          <cell r="E1488" t="str">
            <v>ML</v>
          </cell>
          <cell r="F1488">
            <v>18012.349999999999</v>
          </cell>
          <cell r="G1488" t="str">
            <v>Mantenimiento Electrico</v>
          </cell>
        </row>
        <row r="1489">
          <cell r="A1489">
            <v>8828119463</v>
          </cell>
          <cell r="B1489">
            <v>2.67</v>
          </cell>
          <cell r="C1489" t="str">
            <v>Tubería EMT 1 1/2". Incluye uniones, terminales, curvas y accesorios de fijación. (1 curva equivale a 1 ml). Incluye desmonte de tubería existe, mano de obra y limpieza del área de trabajo.</v>
          </cell>
          <cell r="D1489" t="str">
            <v>Mantenimiento Electrico</v>
          </cell>
          <cell r="E1489" t="str">
            <v>ML</v>
          </cell>
          <cell r="F1489">
            <v>38476.949999999997</v>
          </cell>
          <cell r="G1489" t="str">
            <v>Mantenimiento Electrico</v>
          </cell>
        </row>
        <row r="1490">
          <cell r="A1490">
            <v>8828119472</v>
          </cell>
          <cell r="B1490">
            <v>2.68</v>
          </cell>
          <cell r="C1490" t="str">
            <v>Tubería EMT 1/2". Incluye uniones, terminales, curvas y accesorios de fijación. (1 curva equivale a 1 ml). Incluye desmonte de tubería existe, mano de obra y limpieza del área de trabajo.</v>
          </cell>
          <cell r="D1490" t="str">
            <v>Mantenimiento Electrico</v>
          </cell>
          <cell r="E1490" t="str">
            <v>ML</v>
          </cell>
          <cell r="F1490">
            <v>8283.25</v>
          </cell>
          <cell r="G1490" t="str">
            <v>Mantenimiento Electrico</v>
          </cell>
        </row>
        <row r="1491">
          <cell r="A1491">
            <v>8828119481</v>
          </cell>
          <cell r="B1491">
            <v>2.69</v>
          </cell>
          <cell r="C1491" t="str">
            <v>Tubería EMT 2". Incluye uniones, terminales, curvas y accesorios de fijación. (1 curva equivale a 1 ml). Incluye desmonte de tubería existe, mano de obra y limpieza del área de trabajo.</v>
          </cell>
          <cell r="D1491" t="str">
            <v>Mantenimiento Electrico</v>
          </cell>
          <cell r="E1491" t="str">
            <v>ML</v>
          </cell>
          <cell r="F1491">
            <v>49958.75</v>
          </cell>
          <cell r="G1491" t="str">
            <v>Mantenimiento Electrico</v>
          </cell>
        </row>
        <row r="1492">
          <cell r="A1492">
            <v>8828119491</v>
          </cell>
          <cell r="B1492">
            <v>2.7</v>
          </cell>
          <cell r="C1492" t="str">
            <v>Tubería EMT 3/4". Incluye uniones, terminales, curvas y accesorios de fijación. (1 curva equivale a 1 ml).Incluye desmonte de tubería existe, mano de obra y limpieza del área de trabajo.</v>
          </cell>
          <cell r="D1492" t="str">
            <v>Mantenimiento Electrico</v>
          </cell>
          <cell r="E1492" t="str">
            <v>ML</v>
          </cell>
          <cell r="F1492">
            <v>13146.95</v>
          </cell>
          <cell r="G1492" t="str">
            <v>Mantenimiento Electrico</v>
          </cell>
        </row>
        <row r="1493">
          <cell r="A1493">
            <v>8828119500</v>
          </cell>
          <cell r="B1493">
            <v>2.71</v>
          </cell>
          <cell r="C1493" t="str">
            <v>Tubería PVC 1 ", uniones, terminales, curvas y accesorios de fijación. (1 curva equivale a 1 ml). Incluye desmonte de tubería existe, mano de obra y limpieza del área de trabajo.</v>
          </cell>
          <cell r="D1493" t="str">
            <v>Mantenimiento Electrico</v>
          </cell>
          <cell r="E1493" t="str">
            <v>ML</v>
          </cell>
          <cell r="F1493">
            <v>4530.5</v>
          </cell>
          <cell r="G1493" t="str">
            <v>Mantenimiento Electrico</v>
          </cell>
        </row>
        <row r="1494">
          <cell r="A1494">
            <v>8828119510</v>
          </cell>
          <cell r="B1494">
            <v>2.72</v>
          </cell>
          <cell r="C1494" t="str">
            <v>Tubería PVC 1 1/2", uniones, terminales, curvas y accesorios de fijación. (1 curva equivale a 1 ml). Incluye desmonte de tubería existe, mano de obra y limpieza del área de trabajo.</v>
          </cell>
          <cell r="D1494" t="str">
            <v>Mantenimiento Electrico</v>
          </cell>
          <cell r="E1494" t="str">
            <v>ML</v>
          </cell>
          <cell r="F1494">
            <v>6684.4</v>
          </cell>
          <cell r="G1494" t="str">
            <v>Mantenimiento Electrico</v>
          </cell>
        </row>
        <row r="1495">
          <cell r="A1495">
            <v>8828119519</v>
          </cell>
          <cell r="B1495">
            <v>2.73</v>
          </cell>
          <cell r="C1495" t="str">
            <v>Tubería PVC 2", uniones, terminales, curvas y accesorios de fijación. (1 curva equivale a 1 ml). Incluye desmonte de tubería existe, mano de obra y limpieza del área de trabajo.</v>
          </cell>
          <cell r="D1495" t="str">
            <v>Mantenimiento Electrico</v>
          </cell>
          <cell r="E1495" t="str">
            <v>ML</v>
          </cell>
          <cell r="F1495">
            <v>8940.2999999999993</v>
          </cell>
          <cell r="G1495" t="str">
            <v>Mantenimiento Electrico</v>
          </cell>
        </row>
        <row r="1496">
          <cell r="A1496">
            <v>8828119526</v>
          </cell>
          <cell r="B1496">
            <v>2.74</v>
          </cell>
          <cell r="C1496" t="str">
            <v>Tubería PVC 3/4", uniones, terminales, curvas y accesorios de fijación. (1 curva equivale a 1 ml). Incluye desmonte de tubería existe, mano de obra y limpieza del área de trabajo.</v>
          </cell>
          <cell r="D1496" t="str">
            <v>Mantenimiento Electrico</v>
          </cell>
          <cell r="E1496" t="str">
            <v>ML</v>
          </cell>
          <cell r="F1496">
            <v>3884.5</v>
          </cell>
          <cell r="G1496" t="str">
            <v>Mantenimiento Electrico</v>
          </cell>
        </row>
        <row r="1497">
          <cell r="A1497">
            <v>8828119536</v>
          </cell>
          <cell r="B1497">
            <v>2.75</v>
          </cell>
          <cell r="C1497" t="str">
            <v>Medición sistema de puesta a tierra en estaciones existentes mediante el método de caída de potencial ( o recomendado por el RETIE), la medición debe ser ejecutada mínimo en dos direcciones diferentes, tomando al menos las mediciones a 5 m, 10 m y 15m. Se debe presentar informe fotográfico con firma de profesional y especificación de telurómetro utilizado con certificado de calibración menor a 1 año de la fecha de medición, incluye carta de responsabilidad por parte de ingeniero electricista.</v>
          </cell>
          <cell r="D1497" t="str">
            <v>Mantenimiento Electrico</v>
          </cell>
          <cell r="E1497" t="str">
            <v>Glb</v>
          </cell>
          <cell r="F1497">
            <v>323622.2</v>
          </cell>
          <cell r="G1497" t="str">
            <v>Mantenimiento Electrico</v>
          </cell>
        </row>
        <row r="1498">
          <cell r="A1498">
            <v>8828119545</v>
          </cell>
          <cell r="B1498">
            <v>2.76</v>
          </cell>
          <cell r="C1498" t="str">
            <v>Suministro , instalación de Pararrayo tipo Franklin , debe sobre salir 3m por encima de la estructura incluye soporte galvanizado en caliente y accesorios de fijación. El cable 2/0 AWG 
 ( 19 Hilos ) irá por el interior del soporte.</v>
          </cell>
          <cell r="D1498" t="str">
            <v>Mantenimiento Electrico</v>
          </cell>
          <cell r="E1498" t="str">
            <v>UN</v>
          </cell>
          <cell r="F1498">
            <v>410753.15</v>
          </cell>
          <cell r="G1498" t="str">
            <v>Mantenimiento Electrico</v>
          </cell>
        </row>
        <row r="1499">
          <cell r="A1499">
            <v>8828119555</v>
          </cell>
          <cell r="B1499">
            <v>2.77</v>
          </cell>
          <cell r="C1499" t="str">
            <v>Suministro e instalación de Varillas de cobre de cobre de 5/8" *2,40 m</v>
          </cell>
          <cell r="D1499" t="str">
            <v>Mantenimiento Electrico</v>
          </cell>
          <cell r="E1499" t="str">
            <v>UN</v>
          </cell>
          <cell r="F1499">
            <v>290248.65000000002</v>
          </cell>
          <cell r="G1499" t="str">
            <v>Mantenimiento Electrico</v>
          </cell>
        </row>
        <row r="1500">
          <cell r="A1500">
            <v>8828119569</v>
          </cell>
          <cell r="B1500">
            <v>2.78</v>
          </cell>
          <cell r="C1500" t="str">
            <v>Conector bimetálico</v>
          </cell>
          <cell r="D1500" t="str">
            <v>Mantenimiento Electrico</v>
          </cell>
          <cell r="E1500" t="str">
            <v>UN</v>
          </cell>
          <cell r="F1500">
            <v>10449.049999999999</v>
          </cell>
          <cell r="G1500" t="str">
            <v>Mantenimiento Electrico</v>
          </cell>
        </row>
        <row r="1501">
          <cell r="A1501">
            <v>8828119579</v>
          </cell>
          <cell r="B1501">
            <v>2.79</v>
          </cell>
          <cell r="C1501" t="str">
            <v>Borna para ponchar desde calibre 2 a calibre 4/0</v>
          </cell>
          <cell r="D1501" t="str">
            <v>Mantenimiento Electrico</v>
          </cell>
          <cell r="E1501" t="str">
            <v>UN</v>
          </cell>
          <cell r="F1501">
            <v>7644.05</v>
          </cell>
          <cell r="G1501" t="str">
            <v>Mantenimiento Electrico</v>
          </cell>
        </row>
        <row r="1502">
          <cell r="A1502">
            <v>8828119589</v>
          </cell>
          <cell r="B1502">
            <v>2.8</v>
          </cell>
          <cell r="C1502" t="str">
            <v>Cable de cobre desnudo No 2/0 para aterrizaje de sistema de puesta a tierra.</v>
          </cell>
          <cell r="D1502" t="str">
            <v>Mantenimiento Electrico</v>
          </cell>
          <cell r="E1502" t="str">
            <v>ML</v>
          </cell>
          <cell r="F1502">
            <v>49574.55</v>
          </cell>
          <cell r="G1502" t="str">
            <v>Mantenimiento Electrico</v>
          </cell>
        </row>
        <row r="1503">
          <cell r="A1503">
            <v>8828119598</v>
          </cell>
          <cell r="B1503">
            <v>2.81</v>
          </cell>
          <cell r="C1503" t="str">
            <v>Cajas de inspección para tierra de 30X30 con marco y tapa en lamina de alfajor galvanizada</v>
          </cell>
          <cell r="D1503" t="str">
            <v>Mantenimiento Electrico</v>
          </cell>
          <cell r="E1503" t="str">
            <v>UN</v>
          </cell>
          <cell r="F1503">
            <v>119906.95</v>
          </cell>
          <cell r="G1503" t="str">
            <v>Mantenimiento Electrico</v>
          </cell>
        </row>
        <row r="1504">
          <cell r="A1504">
            <v>8828119607</v>
          </cell>
          <cell r="B1504">
            <v>2.82</v>
          </cell>
          <cell r="C1504" t="str">
            <v>Platina Aluminio o Galvanizada 300*100 con 22 perforaciones de 3/8". Incluye aisladores, desmonte de elementos existentes y fijaciones, si aplica.</v>
          </cell>
          <cell r="D1504" t="str">
            <v>Mantenimiento Electrico</v>
          </cell>
          <cell r="E1504" t="str">
            <v>UN</v>
          </cell>
          <cell r="F1504">
            <v>65735.600000000006</v>
          </cell>
          <cell r="G1504" t="str">
            <v>Mantenimiento Electrico</v>
          </cell>
        </row>
        <row r="1505">
          <cell r="A1505">
            <v>8828119620</v>
          </cell>
          <cell r="B1505">
            <v>2.83</v>
          </cell>
          <cell r="C1505" t="str">
            <v>Suministro e instalación de favigel (bolsa de 25 Kg).</v>
          </cell>
          <cell r="D1505" t="str">
            <v>Mantenimiento Electrico</v>
          </cell>
          <cell r="E1505" t="str">
            <v>UN</v>
          </cell>
          <cell r="F1505">
            <v>160580.29999999999</v>
          </cell>
          <cell r="G1505" t="str">
            <v>Mantenimiento Electrico</v>
          </cell>
        </row>
        <row r="1506">
          <cell r="A1506">
            <v>8828119630</v>
          </cell>
          <cell r="B1506">
            <v>2.84</v>
          </cell>
          <cell r="C1506" t="str">
            <v>Soldadura exotérmica Cadwell 115 incluye molde cable- cable, cable -varilla, cable -estructura.</v>
          </cell>
          <cell r="D1506" t="str">
            <v>Mantenimiento Electrico</v>
          </cell>
          <cell r="E1506" t="str">
            <v>UN</v>
          </cell>
          <cell r="F1506">
            <v>46115.9</v>
          </cell>
          <cell r="G1506" t="str">
            <v>Mantenimiento Electrico</v>
          </cell>
        </row>
        <row r="1507">
          <cell r="B1507">
            <v>3</v>
          </cell>
          <cell r="C1507" t="str">
            <v>ADMINISTRATIVO</v>
          </cell>
          <cell r="D1507" t="str">
            <v>Mantenimiento Electrico</v>
          </cell>
          <cell r="G1507" t="str">
            <v>Mantenimiento Electrico</v>
          </cell>
        </row>
        <row r="1508">
          <cell r="A1508">
            <v>8828119646</v>
          </cell>
          <cell r="B1508">
            <v>3.01</v>
          </cell>
          <cell r="C1508" t="str">
            <v>Servicio de SST - HSEQ. Incluye registro fotográfico de actividades y procedimientos, matricula profesional.</v>
          </cell>
          <cell r="D1508" t="str">
            <v>Mantenimiento Electrico</v>
          </cell>
          <cell r="E1508" t="str">
            <v>Día</v>
          </cell>
          <cell r="F1508">
            <v>163166.85</v>
          </cell>
          <cell r="G1508" t="str">
            <v>Mantenimiento Electrico</v>
          </cell>
        </row>
        <row r="1509">
          <cell r="A1509">
            <v>8828119656</v>
          </cell>
          <cell r="B1509">
            <v>3.02</v>
          </cell>
          <cell r="C1509" t="str">
            <v>HSEQ: En el panorama de la aseguramiento de la calidad, seguridad industrial y medio ambiente se debe cumplir con la Guía SSOMA y resolución 1409 de 2012, para sitios WOM</v>
          </cell>
          <cell r="D1509" t="str">
            <v>Mantenimiento Electrico</v>
          </cell>
          <cell r="E1509" t="str">
            <v>Día</v>
          </cell>
          <cell r="F1509">
            <v>32362.05</v>
          </cell>
          <cell r="G1509" t="str">
            <v>Mantenimiento Electrico</v>
          </cell>
        </row>
        <row r="1510">
          <cell r="B1510">
            <v>4</v>
          </cell>
          <cell r="C1510" t="str">
            <v>ADICIONALES</v>
          </cell>
          <cell r="D1510" t="str">
            <v>Mantenimiento Electrico</v>
          </cell>
          <cell r="G1510" t="str">
            <v>Mantenimiento Electrico</v>
          </cell>
        </row>
        <row r="1511">
          <cell r="A1511">
            <v>8828119665</v>
          </cell>
          <cell r="B1511">
            <v>4.01</v>
          </cell>
          <cell r="C1511" t="str">
            <v>Cambio, suministro e instalación tablero eléctrico General TGD IPE 65 de 0,4x0,6x0.3m con chapa de seguridad completo según la siguientes especificaciones técnicas: Bifásico Trifilar 240/120 V o Trifásico tetrafilar 208/120 V – 220/127 V. Incluye accesorios de fijación, certificación RETIE del fabricante como de todos los elementos eléctricos que lo conforman, transporte y limpieza del área de trabajo. Ver especificación.</v>
          </cell>
          <cell r="D1511" t="str">
            <v>Mantenimiento Electrico</v>
          </cell>
          <cell r="E1511" t="str">
            <v>GL</v>
          </cell>
          <cell r="F1511">
            <v>4550933.1500000004</v>
          </cell>
          <cell r="G1511" t="str">
            <v>Mantenimiento Electrico</v>
          </cell>
        </row>
        <row r="1512">
          <cell r="A1512">
            <v>8828119674</v>
          </cell>
          <cell r="B1512">
            <v>4.0199999999999996</v>
          </cell>
          <cell r="C1512" t="str">
            <v>Suministro e instalación de un DPS o supresor de picos Clase I y II; con una capacidad de detención del impulso de corriente de rayo de hasta 50 KA (10/350) por polo, para instalar en Riel DIN estándar; modular; Modos de Protección: L–G; N–G. Su elemento protector debe ser a base de Varistor de Óxido de Zinc. Supresores marca OBBO BETTERMAN, FATECH, u otras marcas reconocidas que cumplan con las especificaciones técnicas y tengan certificado de conformidad de producto RETIE Vigente.
 Para estaciones Monofásicas Trifilar 240/120 V, el DPS debe ser Tripolar (protección al neutro incluida).
 Para estaciones Trifásicas, el DPS debe ser Tetrapolar (protección al neutro incluida),</v>
          </cell>
          <cell r="D1512" t="str">
            <v>Mantenimiento Electrico</v>
          </cell>
          <cell r="E1512" t="str">
            <v>UND</v>
          </cell>
          <cell r="F1512">
            <v>1911391.6</v>
          </cell>
          <cell r="G1512" t="str">
            <v>Mantenimiento Electrico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7"/>
  <sheetViews>
    <sheetView tabSelected="1" workbookViewId="0">
      <selection sqref="A1:XFD767"/>
    </sheetView>
  </sheetViews>
  <sheetFormatPr baseColWidth="10" defaultColWidth="8.88671875" defaultRowHeight="14.4" x14ac:dyDescent="0.3"/>
  <cols>
    <col min="3" max="3" width="27.33203125" customWidth="1"/>
  </cols>
  <sheetData>
    <row r="1" spans="1:42" ht="9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21.75" customHeight="1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6" t="s">
        <v>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4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9" customHeight="1" thickBot="1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45" customHeight="1" x14ac:dyDescent="0.3">
      <c r="A4" s="12" t="s">
        <v>1</v>
      </c>
      <c r="B4" s="13" t="s">
        <v>2</v>
      </c>
      <c r="C4" s="14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5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6" t="s">
        <v>13</v>
      </c>
      <c r="N4" s="17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8" t="s">
        <v>20</v>
      </c>
      <c r="U4" s="19" t="s">
        <v>21</v>
      </c>
      <c r="V4" s="18" t="s">
        <v>22</v>
      </c>
      <c r="W4" s="20" t="s">
        <v>23</v>
      </c>
      <c r="X4" s="18" t="s">
        <v>24</v>
      </c>
      <c r="Y4" s="5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2" ht="21" customHeight="1" x14ac:dyDescent="0.3">
      <c r="A5" s="22">
        <v>1</v>
      </c>
      <c r="B5" s="23">
        <v>1</v>
      </c>
      <c r="C5" s="23" t="s">
        <v>25</v>
      </c>
      <c r="D5" s="23" t="str">
        <f>VLOOKUP(C5,'[1]1.CUADRO RESUMEN DE SITIOS '!$C$5:$L$1052,2,FALSE())</f>
        <v>JSUC_00022</v>
      </c>
      <c r="E5" s="24">
        <f>VLOOKUP(C5,'[1]1.CUADRO RESUMEN DE SITIOS '!$C$5:$L$1052,3,FALSE())</f>
        <v>45899</v>
      </c>
      <c r="F5" s="23">
        <f>VLOOKUP(C5,'[1]1.CUADRO RESUMEN DE SITIOS '!$C$5:$L$1052,4,FALSE())</f>
        <v>8.5423100000000005</v>
      </c>
      <c r="G5" s="23">
        <f>VLOOKUP(C5,'[1]1.CUADRO RESUMEN DE SITIOS '!$C$5:$L$1052,5,FALSE())</f>
        <v>-74.627200000000002</v>
      </c>
      <c r="H5" s="23" t="str">
        <f>VLOOKUP(C5,'[1]1.CUADRO RESUMEN DE SITIOS '!$C$5:$L$1052,6,FALSE())</f>
        <v>Sucre</v>
      </c>
      <c r="I5" s="23" t="str">
        <f>VLOOKUP(C5,'[1]1.CUADRO RESUMEN DE SITIOS '!$C$5:$L$1052,7,FALSE())</f>
        <v>WOM</v>
      </c>
      <c r="J5" s="25" t="str">
        <f>VLOOKUP(C5,'[1]1.CUADRO RESUMEN DE SITIOS '!$C$5:$L$1052,8,FALSE())</f>
        <v>COSTA</v>
      </c>
      <c r="K5" s="23" t="str">
        <f>VLOOKUP(C5,'[1]1.CUADRO RESUMEN DE SITIOS '!$C$5:$L$1052,9,FALSE())</f>
        <v>Elkis Sandoval</v>
      </c>
      <c r="L5" s="26" t="str">
        <f>VLOOKUP(C5,'[1]1.CUADRO RESUMEN DE SITIOS '!$C$5:$L$1052,10,FALSE())</f>
        <v>Terminado</v>
      </c>
      <c r="M5" s="26">
        <v>1</v>
      </c>
      <c r="N5" s="26"/>
      <c r="O5" s="26"/>
      <c r="P5" s="26"/>
      <c r="Q5" s="26"/>
      <c r="R5" s="27">
        <v>120000</v>
      </c>
      <c r="S5" s="27"/>
      <c r="T5" s="28">
        <v>1</v>
      </c>
      <c r="U5" s="29">
        <f t="shared" ref="U5:U26" si="0">T5*R5</f>
        <v>120000</v>
      </c>
      <c r="V5" s="29" t="s">
        <v>26</v>
      </c>
      <c r="W5" s="30"/>
      <c r="X5" s="29" t="s">
        <v>27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42" ht="21" customHeight="1" x14ac:dyDescent="0.3">
      <c r="A6" s="22">
        <v>2</v>
      </c>
      <c r="B6" s="23">
        <v>1</v>
      </c>
      <c r="C6" s="23" t="s">
        <v>28</v>
      </c>
      <c r="D6" s="23" t="str">
        <f>VLOOKUP(C6,'[1]1.CUADRO RESUMEN DE SITIOS '!$C$5:$L$1052,2,FALSE())</f>
        <v>JSUC_00490</v>
      </c>
      <c r="E6" s="24">
        <f>VLOOKUP(C6,'[1]1.CUADRO RESUMEN DE SITIOS '!$C$5:$L$1052,3,FALSE())</f>
        <v>45876</v>
      </c>
      <c r="F6" s="23">
        <f>VLOOKUP(C6,'[1]1.CUADRO RESUMEN DE SITIOS '!$C$5:$L$1052,4,FALSE())</f>
        <v>8.7529590000000006</v>
      </c>
      <c r="G6" s="23">
        <f>VLOOKUP(C6,'[1]1.CUADRO RESUMEN DE SITIOS '!$C$5:$L$1052,5,FALSE())</f>
        <v>-75.271915000000007</v>
      </c>
      <c r="H6" s="23" t="str">
        <f>VLOOKUP(C6,'[1]1.CUADRO RESUMEN DE SITIOS '!$C$5:$L$1052,6,FALSE())</f>
        <v>Sucre</v>
      </c>
      <c r="I6" s="23" t="str">
        <f>VLOOKUP(C6,'[1]1.CUADRO RESUMEN DE SITIOS '!$C$5:$L$1052,7,FALSE())</f>
        <v>WOM</v>
      </c>
      <c r="J6" s="25" t="str">
        <f>VLOOKUP(C6,'[1]1.CUADRO RESUMEN DE SITIOS '!$C$5:$L$1052,8,FALSE())</f>
        <v>COSTA</v>
      </c>
      <c r="K6" s="23" t="str">
        <f>VLOOKUP(C6,'[1]1.CUADRO RESUMEN DE SITIOS '!$C$5:$L$1052,9,FALSE())</f>
        <v>Elkis Sandoval</v>
      </c>
      <c r="L6" s="26" t="str">
        <f>VLOOKUP(C6,'[1]1.CUADRO RESUMEN DE SITIOS '!$C$5:$L$1052,10,FALSE())</f>
        <v>Terminado</v>
      </c>
      <c r="M6" s="26">
        <v>8828120200</v>
      </c>
      <c r="N6" s="26">
        <f>VLOOKUP(M6,[1]LPU!$A$2:$G$1512,2,FALSE())</f>
        <v>57</v>
      </c>
      <c r="O6" s="26" t="str">
        <f>VLOOKUP(M6,[1]LPU!$A$2:$G$1512,3,FALSE)</f>
        <v>Apertura y Cierre de Cañuelas incluye Fusible</v>
      </c>
      <c r="P6" s="26" t="str">
        <f>VLOOKUP(M6,[1]LPU!$A$2:$G$1512,4,FALSE())</f>
        <v>ENERGÍA</v>
      </c>
      <c r="Q6" s="26" t="str">
        <f>VLOOKUP(M6,[1]LPU!$A$2:$G$1512,5,FALSE())</f>
        <v>U</v>
      </c>
      <c r="R6" s="27">
        <f>VLOOKUP(M6,[1]LPU!$A$2:$G$1512,6,FALSE())</f>
        <v>51840</v>
      </c>
      <c r="S6" s="27" t="str">
        <f>VLOOKUP(M6,[1]LPU!$A$2:$G$1512,7,FALSE())</f>
        <v>LPU FLM</v>
      </c>
      <c r="T6" s="28">
        <v>2.500009645</v>
      </c>
      <c r="U6" s="29">
        <f t="shared" si="0"/>
        <v>129600.4999968</v>
      </c>
      <c r="V6" s="29" t="s">
        <v>26</v>
      </c>
      <c r="W6" s="30"/>
      <c r="X6" s="29" t="s">
        <v>27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1:42" ht="21" customHeight="1" x14ac:dyDescent="0.3">
      <c r="A7" s="22">
        <v>3</v>
      </c>
      <c r="B7" s="23">
        <v>1</v>
      </c>
      <c r="C7" s="23" t="s">
        <v>29</v>
      </c>
      <c r="D7" s="23" t="str">
        <f>VLOOKUP(C7,'[1]1.CUADRO RESUMEN DE SITIOS '!$C$5:$L$1052,2,FALSE())</f>
        <v>JSUC_00036</v>
      </c>
      <c r="E7" s="24">
        <f>VLOOKUP(C7,'[1]1.CUADRO RESUMEN DE SITIOS '!$C$5:$L$1052,3,FALSE())</f>
        <v>45783</v>
      </c>
      <c r="F7" s="23">
        <f>VLOOKUP(C7,'[1]1.CUADRO RESUMEN DE SITIOS '!$C$5:$L$1052,4,FALSE())</f>
        <v>8.4451000000000001</v>
      </c>
      <c r="G7" s="23">
        <f>VLOOKUP(C7,'[1]1.CUADRO RESUMEN DE SITIOS '!$C$5:$L$1052,5,FALSE())</f>
        <v>-74.642240000000001</v>
      </c>
      <c r="H7" s="23" t="str">
        <f>VLOOKUP(C7,'[1]1.CUADRO RESUMEN DE SITIOS '!$C$5:$L$1052,6,FALSE())</f>
        <v>Sucre</v>
      </c>
      <c r="I7" s="23" t="str">
        <f>VLOOKUP(C7,'[1]1.CUADRO RESUMEN DE SITIOS '!$C$5:$L$1052,7,FALSE())</f>
        <v>WOM</v>
      </c>
      <c r="J7" s="25" t="str">
        <f>VLOOKUP(C7,'[1]1.CUADRO RESUMEN DE SITIOS '!$C$5:$L$1052,8,FALSE())</f>
        <v>COSTA</v>
      </c>
      <c r="K7" s="23" t="str">
        <f>VLOOKUP(C7,'[1]1.CUADRO RESUMEN DE SITIOS '!$C$5:$L$1052,9,FALSE())</f>
        <v>Elkis Sandoval</v>
      </c>
      <c r="L7" s="26" t="str">
        <f>VLOOKUP(C7,'[1]1.CUADRO RESUMEN DE SITIOS '!$C$5:$L$1052,10,FALSE())</f>
        <v>Terminado</v>
      </c>
      <c r="M7" s="26">
        <v>8828120200</v>
      </c>
      <c r="N7" s="26">
        <f>VLOOKUP(M7,[1]LPU!$A$2:$G$1512,2,FALSE())</f>
        <v>57</v>
      </c>
      <c r="O7" s="26" t="str">
        <f>VLOOKUP(M7,[1]LPU!$A$2:$G$1512,3,FALSE)</f>
        <v>Apertura y Cierre de Cañuelas incluye Fusible</v>
      </c>
      <c r="P7" s="26" t="str">
        <f>VLOOKUP(M7,[1]LPU!$A$2:$G$1512,4,FALSE())</f>
        <v>ENERGÍA</v>
      </c>
      <c r="Q7" s="26" t="str">
        <f>VLOOKUP(M7,[1]LPU!$A$2:$G$1512,5,FALSE())</f>
        <v>U</v>
      </c>
      <c r="R7" s="27">
        <f>VLOOKUP(M7,[1]LPU!$A$2:$G$1512,6,FALSE())</f>
        <v>51840</v>
      </c>
      <c r="S7" s="27" t="str">
        <f>VLOOKUP(M7,[1]LPU!$A$2:$G$1512,7,FALSE())</f>
        <v>LPU FLM</v>
      </c>
      <c r="T7" s="28">
        <v>2.500009645</v>
      </c>
      <c r="U7" s="29">
        <f t="shared" si="0"/>
        <v>129600.4999968</v>
      </c>
      <c r="V7" s="29" t="s">
        <v>26</v>
      </c>
      <c r="W7" s="30"/>
      <c r="X7" s="29" t="s">
        <v>27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:42" ht="21" customHeight="1" x14ac:dyDescent="0.3">
      <c r="A8" s="22">
        <v>4</v>
      </c>
      <c r="B8" s="23">
        <v>1</v>
      </c>
      <c r="C8" s="23" t="s">
        <v>30</v>
      </c>
      <c r="D8" s="23" t="str">
        <f>VLOOKUP(C8,'[1]1.CUADRO RESUMEN DE SITIOS '!$C$5:$L$1052,2,FALSE())</f>
        <v>JCOR_00031</v>
      </c>
      <c r="E8" s="24">
        <f>VLOOKUP(C8,'[1]1.CUADRO RESUMEN DE SITIOS '!$C$5:$L$1052,3,FALSE())</f>
        <v>45784</v>
      </c>
      <c r="F8" s="23">
        <f>VLOOKUP(C8,'[1]1.CUADRO RESUMEN DE SITIOS '!$C$5:$L$1052,4,FALSE())</f>
        <v>8.5621299999999998</v>
      </c>
      <c r="G8" s="23">
        <f>VLOOKUP(C8,'[1]1.CUADRO RESUMEN DE SITIOS '!$C$5:$L$1052,5,FALSE())</f>
        <v>-75.399050000000003</v>
      </c>
      <c r="H8" s="23" t="str">
        <f>VLOOKUP(C8,'[1]1.CUADRO RESUMEN DE SITIOS '!$C$5:$L$1052,6,FALSE())</f>
        <v>Córdoba</v>
      </c>
      <c r="I8" s="23" t="str">
        <f>VLOOKUP(C8,'[1]1.CUADRO RESUMEN DE SITIOS '!$C$5:$L$1052,7,FALSE())</f>
        <v>WOM</v>
      </c>
      <c r="J8" s="25" t="str">
        <f>VLOOKUP(C8,'[1]1.CUADRO RESUMEN DE SITIOS '!$C$5:$L$1052,8,FALSE())</f>
        <v>COSTA</v>
      </c>
      <c r="K8" s="23" t="str">
        <f>VLOOKUP(C8,'[1]1.CUADRO RESUMEN DE SITIOS '!$C$5:$L$1052,9,FALSE())</f>
        <v>Elkis Sandoval</v>
      </c>
      <c r="L8" s="26" t="str">
        <f>VLOOKUP(C8,'[1]1.CUADRO RESUMEN DE SITIOS '!$C$5:$L$1052,10,FALSE())</f>
        <v>Terminado</v>
      </c>
      <c r="M8" s="26">
        <v>8828120200</v>
      </c>
      <c r="N8" s="26">
        <f>VLOOKUP(M8,[1]LPU!$A$2:$G$1512,2,FALSE())</f>
        <v>57</v>
      </c>
      <c r="O8" s="26" t="str">
        <f>VLOOKUP(M8,[1]LPU!$A$2:$G$1512,3,FALSE)</f>
        <v>Apertura y Cierre de Cañuelas incluye Fusible</v>
      </c>
      <c r="P8" s="26" t="str">
        <f>VLOOKUP(M8,[1]LPU!$A$2:$G$1512,4,FALSE())</f>
        <v>ENERGÍA</v>
      </c>
      <c r="Q8" s="26" t="str">
        <f>VLOOKUP(M8,[1]LPU!$A$2:$G$1512,5,FALSE())</f>
        <v>U</v>
      </c>
      <c r="R8" s="27">
        <f>VLOOKUP(M8,[1]LPU!$A$2:$G$1512,6,FALSE())</f>
        <v>51840</v>
      </c>
      <c r="S8" s="27" t="str">
        <f>VLOOKUP(M8,[1]LPU!$A$2:$G$1512,7,FALSE())</f>
        <v>LPU FLM</v>
      </c>
      <c r="T8" s="28">
        <v>2.6042000000000001</v>
      </c>
      <c r="U8" s="31">
        <f t="shared" si="0"/>
        <v>135001.728</v>
      </c>
      <c r="V8" s="29" t="s">
        <v>26</v>
      </c>
      <c r="W8" s="30"/>
      <c r="X8" s="29" t="s">
        <v>31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spans="1:42" ht="21" customHeight="1" x14ac:dyDescent="0.3">
      <c r="A9" s="22">
        <v>5</v>
      </c>
      <c r="B9" s="23">
        <v>1</v>
      </c>
      <c r="C9" s="23" t="s">
        <v>32</v>
      </c>
      <c r="D9" s="23" t="str">
        <f>VLOOKUP(C9,'[1]1.CUADRO RESUMEN DE SITIOS '!$C$5:$L$1052,2,FALSE())</f>
        <v>CES_05968</v>
      </c>
      <c r="E9" s="24">
        <f>VLOOKUP(C9,'[1]1.CUADRO RESUMEN DE SITIOS '!$C$5:$L$1052,3,FALSE())</f>
        <v>45786</v>
      </c>
      <c r="F9" s="23">
        <f>VLOOKUP(C9,'[1]1.CUADRO RESUMEN DE SITIOS '!$C$5:$L$1052,4,FALSE())</f>
        <v>9.0143299999999993</v>
      </c>
      <c r="G9" s="23">
        <f>VLOOKUP(C9,'[1]1.CUADRO RESUMEN DE SITIOS '!$C$5:$L$1052,5,FALSE())</f>
        <v>-73.746899999999997</v>
      </c>
      <c r="H9" s="23" t="str">
        <f>VLOOKUP(C9,'[1]1.CUADRO RESUMEN DE SITIOS '!$C$5:$L$1052,6,FALSE())</f>
        <v>Cesar</v>
      </c>
      <c r="I9" s="23" t="str">
        <f>VLOOKUP(C9,'[1]1.CUADRO RESUMEN DE SITIOS '!$C$5:$L$1052,7,FALSE())</f>
        <v>WOM</v>
      </c>
      <c r="J9" s="25" t="str">
        <f>VLOOKUP(C9,'[1]1.CUADRO RESUMEN DE SITIOS '!$C$5:$L$1052,8,FALSE())</f>
        <v>COSTA</v>
      </c>
      <c r="K9" s="23" t="str">
        <f>VLOOKUP(C9,'[1]1.CUADRO RESUMEN DE SITIOS '!$C$5:$L$1052,9,FALSE())</f>
        <v>Elkis Sandoval</v>
      </c>
      <c r="L9" s="26" t="str">
        <f>VLOOKUP(C9,'[1]1.CUADRO RESUMEN DE SITIOS '!$C$5:$L$1052,10,FALSE())</f>
        <v>Terminado</v>
      </c>
      <c r="M9" s="26">
        <v>8828120200</v>
      </c>
      <c r="N9" s="26">
        <f>VLOOKUP(M9,[1]LPU!$A$2:$G$1512,2,FALSE())</f>
        <v>57</v>
      </c>
      <c r="O9" s="26" t="str">
        <f>VLOOKUP(M9,[1]LPU!$A$2:$G$1512,3,FALSE)</f>
        <v>Apertura y Cierre de Cañuelas incluye Fusible</v>
      </c>
      <c r="P9" s="26" t="str">
        <f>VLOOKUP(M9,[1]LPU!$A$2:$G$1512,4,FALSE())</f>
        <v>ENERGÍA</v>
      </c>
      <c r="Q9" s="26" t="str">
        <f>VLOOKUP(M9,[1]LPU!$A$2:$G$1512,5,FALSE())</f>
        <v>U</v>
      </c>
      <c r="R9" s="27">
        <f>VLOOKUP(M9,[1]LPU!$A$2:$G$1512,6,FALSE())</f>
        <v>51840</v>
      </c>
      <c r="S9" s="27" t="str">
        <f>VLOOKUP(M9,[1]LPU!$A$2:$G$1512,7,FALSE())</f>
        <v>LPU FLM</v>
      </c>
      <c r="T9" s="28">
        <v>5</v>
      </c>
      <c r="U9" s="29">
        <f t="shared" si="0"/>
        <v>259200</v>
      </c>
      <c r="V9" s="29" t="s">
        <v>26</v>
      </c>
      <c r="W9" s="30"/>
      <c r="X9" s="29" t="s">
        <v>27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</row>
    <row r="10" spans="1:42" ht="21" customHeight="1" x14ac:dyDescent="0.3">
      <c r="A10" s="22">
        <v>6</v>
      </c>
      <c r="B10" s="23">
        <v>1</v>
      </c>
      <c r="C10" s="23" t="s">
        <v>33</v>
      </c>
      <c r="D10" s="23" t="str">
        <f>VLOOKUP(C10,'[1]1.CUADRO RESUMEN DE SITIOS '!$C$5:$L$1052,2,FALSE())</f>
        <v>JSUC_00070</v>
      </c>
      <c r="E10" s="24">
        <f>VLOOKUP(C10,'[1]1.CUADRO RESUMEN DE SITIOS '!$C$5:$L$1052,3,FALSE())</f>
        <v>45787</v>
      </c>
      <c r="F10" s="23">
        <f>VLOOKUP(C10,'[1]1.CUADRO RESUMEN DE SITIOS '!$C$5:$L$1052,4,FALSE())</f>
        <v>8.70627</v>
      </c>
      <c r="G10" s="23">
        <f>VLOOKUP(C10,'[1]1.CUADRO RESUMEN DE SITIOS '!$C$5:$L$1052,5,FALSE())</f>
        <v>-75.221459999999993</v>
      </c>
      <c r="H10" s="23" t="str">
        <f>VLOOKUP(C10,'[1]1.CUADRO RESUMEN DE SITIOS '!$C$5:$L$1052,6,FALSE())</f>
        <v>Sucre</v>
      </c>
      <c r="I10" s="23" t="str">
        <f>VLOOKUP(C10,'[1]1.CUADRO RESUMEN DE SITIOS '!$C$5:$L$1052,7,FALSE())</f>
        <v>WOM</v>
      </c>
      <c r="J10" s="25" t="str">
        <f>VLOOKUP(C10,'[1]1.CUADRO RESUMEN DE SITIOS '!$C$5:$L$1052,8,FALSE())</f>
        <v>COSTA</v>
      </c>
      <c r="K10" s="23" t="str">
        <f>VLOOKUP(C10,'[1]1.CUADRO RESUMEN DE SITIOS '!$C$5:$L$1052,9,FALSE())</f>
        <v>Elkis Sandoval</v>
      </c>
      <c r="L10" s="26" t="str">
        <f>VLOOKUP(C10,'[1]1.CUADRO RESUMEN DE SITIOS '!$C$5:$L$1052,10,FALSE())</f>
        <v>Terminado</v>
      </c>
      <c r="M10" s="26">
        <v>8828120200</v>
      </c>
      <c r="N10" s="26">
        <f>VLOOKUP(M10,[1]LPU!$A$2:$G$1512,2,FALSE())</f>
        <v>57</v>
      </c>
      <c r="O10" s="26" t="str">
        <f>VLOOKUP(M10,[1]LPU!$A$2:$G$1512,3,FALSE)</f>
        <v>Apertura y Cierre de Cañuelas incluye Fusible</v>
      </c>
      <c r="P10" s="26" t="str">
        <f>VLOOKUP(M10,[1]LPU!$A$2:$G$1512,4,FALSE())</f>
        <v>ENERGÍA</v>
      </c>
      <c r="Q10" s="26" t="str">
        <f>VLOOKUP(M10,[1]LPU!$A$2:$G$1512,5,FALSE())</f>
        <v>U</v>
      </c>
      <c r="R10" s="27">
        <f>VLOOKUP(M10,[1]LPU!$A$2:$G$1512,6,FALSE())</f>
        <v>51840</v>
      </c>
      <c r="S10" s="27" t="str">
        <f>VLOOKUP(M10,[1]LPU!$A$2:$G$1512,7,FALSE())</f>
        <v>LPU FLM</v>
      </c>
      <c r="T10" s="28">
        <v>4.4999980710000003</v>
      </c>
      <c r="U10" s="29">
        <f t="shared" si="0"/>
        <v>233279.90000064002</v>
      </c>
      <c r="V10" s="29" t="s">
        <v>26</v>
      </c>
      <c r="W10" s="30"/>
      <c r="X10" s="29" t="s">
        <v>27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spans="1:42" ht="21" customHeight="1" x14ac:dyDescent="0.3">
      <c r="A11" s="22">
        <v>7</v>
      </c>
      <c r="B11" s="23">
        <v>1</v>
      </c>
      <c r="C11" s="23" t="s">
        <v>34</v>
      </c>
      <c r="D11" s="23" t="str">
        <f>VLOOKUP(C11,'[1]1.CUADRO RESUMEN DE SITIOS '!$C$5:$L$1052,2,FALSE())</f>
        <v>JCOR_00444</v>
      </c>
      <c r="E11" s="24">
        <f>VLOOKUP(C11,'[1]1.CUADRO RESUMEN DE SITIOS '!$C$5:$L$1052,3,FALSE())</f>
        <v>45910</v>
      </c>
      <c r="F11" s="23">
        <f>VLOOKUP(C11,'[1]1.CUADRO RESUMEN DE SITIOS '!$C$5:$L$1052,4,FALSE())</f>
        <v>7.89445</v>
      </c>
      <c r="G11" s="23">
        <f>VLOOKUP(C11,'[1]1.CUADRO RESUMEN DE SITIOS '!$C$5:$L$1052,5,FALSE())</f>
        <v>-75.840069999999997</v>
      </c>
      <c r="H11" s="23" t="str">
        <f>VLOOKUP(C11,'[1]1.CUADRO RESUMEN DE SITIOS '!$C$5:$L$1052,6,FALSE())</f>
        <v>Córdoba</v>
      </c>
      <c r="I11" s="23" t="str">
        <f>VLOOKUP(C11,'[1]1.CUADRO RESUMEN DE SITIOS '!$C$5:$L$1052,7,FALSE())</f>
        <v>WOM</v>
      </c>
      <c r="J11" s="25" t="str">
        <f>VLOOKUP(C11,'[1]1.CUADRO RESUMEN DE SITIOS '!$C$5:$L$1052,8,FALSE())</f>
        <v>COSTA</v>
      </c>
      <c r="K11" s="23" t="str">
        <f>VLOOKUP(C11,'[1]1.CUADRO RESUMEN DE SITIOS '!$C$5:$L$1052,9,FALSE())</f>
        <v>Alfredo de la Cruz</v>
      </c>
      <c r="L11" s="26" t="str">
        <f>VLOOKUP(C11,'[1]1.CUADRO RESUMEN DE SITIOS '!$C$5:$L$1052,10,FALSE())</f>
        <v>Terminado</v>
      </c>
      <c r="M11" s="26">
        <v>8828119540</v>
      </c>
      <c r="N11" s="26">
        <f>VLOOKUP(M11,[1]LPU!$A$2:$G$1512,2,FALSE())</f>
        <v>191</v>
      </c>
      <c r="O11" s="26" t="str">
        <f>VLOOKUP(M11,[1]LPU!$A$2:$G$1512,3,FALSE)</f>
        <v>Poda de Árbol de hasta 5,00 metros de Altura.</v>
      </c>
      <c r="P11" s="26" t="str">
        <f>VLOOKUP(M11,[1]LPU!$A$2:$G$1512,4,FALSE())</f>
        <v>LOCATIVO</v>
      </c>
      <c r="Q11" s="26" t="str">
        <f>VLOOKUP(M11,[1]LPU!$A$2:$G$1512,5,FALSE())</f>
        <v>U</v>
      </c>
      <c r="R11" s="27">
        <f>VLOOKUP(M11,[1]LPU!$A$2:$G$1512,6,FALSE())</f>
        <v>123760</v>
      </c>
      <c r="S11" s="27" t="str">
        <f>VLOOKUP(M11,[1]LPU!$A$2:$G$1512,7,FALSE())</f>
        <v>LPU FLM</v>
      </c>
      <c r="T11" s="28">
        <v>6</v>
      </c>
      <c r="U11" s="29">
        <f t="shared" si="0"/>
        <v>742560</v>
      </c>
      <c r="V11" s="29" t="s">
        <v>35</v>
      </c>
      <c r="W11" s="30"/>
      <c r="X11" s="29" t="s">
        <v>27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</row>
    <row r="12" spans="1:42" ht="21" customHeight="1" x14ac:dyDescent="0.3">
      <c r="A12" s="22">
        <v>8</v>
      </c>
      <c r="B12" s="23">
        <v>1</v>
      </c>
      <c r="C12" s="23" t="s">
        <v>34</v>
      </c>
      <c r="D12" s="23" t="str">
        <f>VLOOKUP(C12,'[1]1.CUADRO RESUMEN DE SITIOS '!$C$5:$L$1052,2,FALSE())</f>
        <v>JCOR_00444</v>
      </c>
      <c r="E12" s="24">
        <f>VLOOKUP(C12,'[1]1.CUADRO RESUMEN DE SITIOS '!$C$5:$L$1052,3,FALSE())</f>
        <v>45910</v>
      </c>
      <c r="F12" s="23">
        <f>VLOOKUP(C12,'[1]1.CUADRO RESUMEN DE SITIOS '!$C$5:$L$1052,4,FALSE())</f>
        <v>7.89445</v>
      </c>
      <c r="G12" s="23">
        <f>VLOOKUP(C12,'[1]1.CUADRO RESUMEN DE SITIOS '!$C$5:$L$1052,5,FALSE())</f>
        <v>-75.840069999999997</v>
      </c>
      <c r="H12" s="23" t="str">
        <f>VLOOKUP(C12,'[1]1.CUADRO RESUMEN DE SITIOS '!$C$5:$L$1052,6,FALSE())</f>
        <v>Córdoba</v>
      </c>
      <c r="I12" s="23" t="str">
        <f>VLOOKUP(C12,'[1]1.CUADRO RESUMEN DE SITIOS '!$C$5:$L$1052,7,FALSE())</f>
        <v>WOM</v>
      </c>
      <c r="J12" s="25" t="str">
        <f>VLOOKUP(C12,'[1]1.CUADRO RESUMEN DE SITIOS '!$C$5:$L$1052,8,FALSE())</f>
        <v>COSTA</v>
      </c>
      <c r="K12" s="23" t="str">
        <f>VLOOKUP(C12,'[1]1.CUADRO RESUMEN DE SITIOS '!$C$5:$L$1052,9,FALSE())</f>
        <v>Alfredo de la Cruz</v>
      </c>
      <c r="L12" s="26" t="str">
        <f>VLOOKUP(C12,'[1]1.CUADRO RESUMEN DE SITIOS '!$C$5:$L$1052,10,FALSE())</f>
        <v>Terminado</v>
      </c>
      <c r="M12" s="26">
        <v>8828119552</v>
      </c>
      <c r="N12" s="26">
        <f>VLOOKUP(M12,[1]LPU!$A$2:$G$1512,2,FALSE())</f>
        <v>192</v>
      </c>
      <c r="O12" s="26" t="str">
        <f>VLOOKUP(M12,[1]LPU!$A$2:$G$1512,3,FALSE)</f>
        <v>Poda de Árbol Mayor a 5,00 metros de Altura.</v>
      </c>
      <c r="P12" s="26" t="str">
        <f>VLOOKUP(M12,[1]LPU!$A$2:$G$1512,4,FALSE())</f>
        <v>LOCATIVO</v>
      </c>
      <c r="Q12" s="26" t="str">
        <f>VLOOKUP(M12,[1]LPU!$A$2:$G$1512,5,FALSE())</f>
        <v>U</v>
      </c>
      <c r="R12" s="27">
        <f>VLOOKUP(M12,[1]LPU!$A$2:$G$1512,6,FALSE())</f>
        <v>189176</v>
      </c>
      <c r="S12" s="27" t="str">
        <f>VLOOKUP(M12,[1]LPU!$A$2:$G$1512,7,FALSE())</f>
        <v>LPU FLM</v>
      </c>
      <c r="T12" s="28">
        <v>5</v>
      </c>
      <c r="U12" s="29">
        <f t="shared" si="0"/>
        <v>945880</v>
      </c>
      <c r="V12" s="29" t="s">
        <v>35</v>
      </c>
      <c r="W12" s="30"/>
      <c r="X12" s="29" t="s">
        <v>27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spans="1:42" ht="21" customHeight="1" x14ac:dyDescent="0.3">
      <c r="A13" s="22">
        <v>9</v>
      </c>
      <c r="B13" s="23">
        <v>1</v>
      </c>
      <c r="C13" s="23" t="s">
        <v>34</v>
      </c>
      <c r="D13" s="23" t="str">
        <f>VLOOKUP(C13,'[1]1.CUADRO RESUMEN DE SITIOS '!$C$5:$L$1052,2,FALSE())</f>
        <v>JCOR_00444</v>
      </c>
      <c r="E13" s="24">
        <f>VLOOKUP(C13,'[1]1.CUADRO RESUMEN DE SITIOS '!$C$5:$L$1052,3,FALSE())</f>
        <v>45910</v>
      </c>
      <c r="F13" s="23">
        <f>VLOOKUP(C13,'[1]1.CUADRO RESUMEN DE SITIOS '!$C$5:$L$1052,4,FALSE())</f>
        <v>7.89445</v>
      </c>
      <c r="G13" s="23">
        <f>VLOOKUP(C13,'[1]1.CUADRO RESUMEN DE SITIOS '!$C$5:$L$1052,5,FALSE())</f>
        <v>-75.840069999999997</v>
      </c>
      <c r="H13" s="23" t="str">
        <f>VLOOKUP(C13,'[1]1.CUADRO RESUMEN DE SITIOS '!$C$5:$L$1052,6,FALSE())</f>
        <v>Córdoba</v>
      </c>
      <c r="I13" s="23" t="str">
        <f>VLOOKUP(C13,'[1]1.CUADRO RESUMEN DE SITIOS '!$C$5:$L$1052,7,FALSE())</f>
        <v>WOM</v>
      </c>
      <c r="J13" s="25" t="str">
        <f>VLOOKUP(C13,'[1]1.CUADRO RESUMEN DE SITIOS '!$C$5:$L$1052,8,FALSE())</f>
        <v>COSTA</v>
      </c>
      <c r="K13" s="23" t="str">
        <f>VLOOKUP(C13,'[1]1.CUADRO RESUMEN DE SITIOS '!$C$5:$L$1052,9,FALSE())</f>
        <v>Alfredo de la Cruz</v>
      </c>
      <c r="L13" s="26" t="str">
        <f>VLOOKUP(C13,'[1]1.CUADRO RESUMEN DE SITIOS '!$C$5:$L$1052,10,FALSE())</f>
        <v>Terminado</v>
      </c>
      <c r="M13" s="26">
        <v>8828120200</v>
      </c>
      <c r="N13" s="26">
        <f>VLOOKUP(M13,[1]LPU!$A$2:$G$1512,2,FALSE())</f>
        <v>57</v>
      </c>
      <c r="O13" s="26" t="str">
        <f>VLOOKUP(M13,[1]LPU!$A$2:$G$1512,3,FALSE)</f>
        <v>Apertura y Cierre de Cañuelas incluye Fusible</v>
      </c>
      <c r="P13" s="26" t="str">
        <f>VLOOKUP(M13,[1]LPU!$A$2:$G$1512,4,FALSE())</f>
        <v>ENERGÍA</v>
      </c>
      <c r="Q13" s="26" t="str">
        <f>VLOOKUP(M13,[1]LPU!$A$2:$G$1512,5,FALSE())</f>
        <v>U</v>
      </c>
      <c r="R13" s="27">
        <f>VLOOKUP(M13,[1]LPU!$A$2:$G$1512,6,FALSE())</f>
        <v>51840</v>
      </c>
      <c r="S13" s="27" t="str">
        <f>VLOOKUP(M13,[1]LPU!$A$2:$G$1512,7,FALSE())</f>
        <v>LPU FLM</v>
      </c>
      <c r="T13" s="28">
        <v>4.4999980710000003</v>
      </c>
      <c r="U13" s="29">
        <f t="shared" si="0"/>
        <v>233279.90000064002</v>
      </c>
      <c r="V13" s="29" t="s">
        <v>35</v>
      </c>
      <c r="W13" s="30"/>
      <c r="X13" s="29" t="s">
        <v>27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</row>
    <row r="14" spans="1:42" ht="21" customHeight="1" x14ac:dyDescent="0.3">
      <c r="A14" s="22">
        <v>10</v>
      </c>
      <c r="B14" s="23">
        <v>1</v>
      </c>
      <c r="C14" s="23" t="s">
        <v>34</v>
      </c>
      <c r="D14" s="23" t="str">
        <f>VLOOKUP(C14,'[1]1.CUADRO RESUMEN DE SITIOS '!$C$5:$L$1052,2,FALSE())</f>
        <v>JCOR_00444</v>
      </c>
      <c r="E14" s="24">
        <f>VLOOKUP(C14,'[1]1.CUADRO RESUMEN DE SITIOS '!$C$5:$L$1052,3,FALSE())</f>
        <v>45910</v>
      </c>
      <c r="F14" s="23">
        <f>VLOOKUP(C14,'[1]1.CUADRO RESUMEN DE SITIOS '!$C$5:$L$1052,4,FALSE())</f>
        <v>7.89445</v>
      </c>
      <c r="G14" s="23">
        <f>VLOOKUP(C14,'[1]1.CUADRO RESUMEN DE SITIOS '!$C$5:$L$1052,5,FALSE())</f>
        <v>-75.840069999999997</v>
      </c>
      <c r="H14" s="23" t="str">
        <f>VLOOKUP(C14,'[1]1.CUADRO RESUMEN DE SITIOS '!$C$5:$L$1052,6,FALSE())</f>
        <v>Córdoba</v>
      </c>
      <c r="I14" s="23" t="str">
        <f>VLOOKUP(C14,'[1]1.CUADRO RESUMEN DE SITIOS '!$C$5:$L$1052,7,FALSE())</f>
        <v>WOM</v>
      </c>
      <c r="J14" s="25" t="str">
        <f>VLOOKUP(C14,'[1]1.CUADRO RESUMEN DE SITIOS '!$C$5:$L$1052,8,FALSE())</f>
        <v>COSTA</v>
      </c>
      <c r="K14" s="23" t="str">
        <f>VLOOKUP(C14,'[1]1.CUADRO RESUMEN DE SITIOS '!$C$5:$L$1052,9,FALSE())</f>
        <v>Alfredo de la Cruz</v>
      </c>
      <c r="L14" s="26" t="str">
        <f>VLOOKUP(C14,'[1]1.CUADRO RESUMEN DE SITIOS '!$C$5:$L$1052,10,FALSE())</f>
        <v>Terminado</v>
      </c>
      <c r="M14" s="26">
        <v>8828120200</v>
      </c>
      <c r="N14" s="26">
        <f>VLOOKUP(M14,[1]LPU!$A$2:$G$1512,2,FALSE())</f>
        <v>57</v>
      </c>
      <c r="O14" s="26" t="str">
        <f>VLOOKUP(M14,[1]LPU!$A$2:$G$1512,3,FALSE)</f>
        <v>Apertura y Cierre de Cañuelas incluye Fusible</v>
      </c>
      <c r="P14" s="26" t="str">
        <f>VLOOKUP(M14,[1]LPU!$A$2:$G$1512,4,FALSE())</f>
        <v>ENERGÍA</v>
      </c>
      <c r="Q14" s="26" t="str">
        <f>VLOOKUP(M14,[1]LPU!$A$2:$G$1512,5,FALSE())</f>
        <v>U</v>
      </c>
      <c r="R14" s="27">
        <f>VLOOKUP(M14,[1]LPU!$A$2:$G$1512,6,FALSE())</f>
        <v>51840</v>
      </c>
      <c r="S14" s="27" t="str">
        <f>VLOOKUP(M14,[1]LPU!$A$2:$G$1512,7,FALSE())</f>
        <v>LPU FLM</v>
      </c>
      <c r="T14" s="28">
        <v>4.4999980710000003</v>
      </c>
      <c r="U14" s="29">
        <f t="shared" si="0"/>
        <v>233279.90000064002</v>
      </c>
      <c r="V14" s="29" t="s">
        <v>35</v>
      </c>
      <c r="W14" s="30"/>
      <c r="X14" s="29" t="s">
        <v>27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spans="1:42" ht="21" customHeight="1" x14ac:dyDescent="0.3">
      <c r="A15" s="22">
        <v>11</v>
      </c>
      <c r="B15" s="23">
        <v>1</v>
      </c>
      <c r="C15" s="23" t="s">
        <v>36</v>
      </c>
      <c r="D15" s="23" t="str">
        <f>VLOOKUP(C15,'[1]1.CUADRO RESUMEN DE SITIOS '!$C$5:$L$1052,2,FALSE())</f>
        <v>JSAN_00425</v>
      </c>
      <c r="E15" s="24">
        <f>VLOOKUP(C15,'[1]1.CUADRO RESUMEN DE SITIOS '!$C$5:$L$1052,3,FALSE())</f>
        <v>45901</v>
      </c>
      <c r="F15" s="23">
        <f>VLOOKUP(C15,'[1]1.CUADRO RESUMEN DE SITIOS '!$C$5:$L$1052,4,FALSE())</f>
        <v>6.0928000000000004</v>
      </c>
      <c r="G15" s="23">
        <f>VLOOKUP(C15,'[1]1.CUADRO RESUMEN DE SITIOS '!$C$5:$L$1052,5,FALSE())</f>
        <v>-73.887709999999998</v>
      </c>
      <c r="H15" s="23" t="str">
        <f>VLOOKUP(C15,'[1]1.CUADRO RESUMEN DE SITIOS '!$C$5:$L$1052,6,FALSE())</f>
        <v>Santander</v>
      </c>
      <c r="I15" s="23" t="str">
        <f>VLOOKUP(C15,'[1]1.CUADRO RESUMEN DE SITIOS '!$C$5:$L$1052,7,FALSE())</f>
        <v>WOM</v>
      </c>
      <c r="J15" s="25" t="str">
        <f>VLOOKUP(C15,'[1]1.CUADRO RESUMEN DE SITIOS '!$C$5:$L$1052,8,FALSE())</f>
        <v>COSTA</v>
      </c>
      <c r="K15" s="23" t="str">
        <f>VLOOKUP(C15,'[1]1.CUADRO RESUMEN DE SITIOS '!$C$5:$L$1052,9,FALSE())</f>
        <v>Carlos Eduardo Montoya</v>
      </c>
      <c r="L15" s="26" t="str">
        <f>VLOOKUP(C15,'[1]1.CUADRO RESUMEN DE SITIOS '!$C$5:$L$1052,10,FALSE())</f>
        <v>Terminado</v>
      </c>
      <c r="M15" s="26">
        <v>8828120073</v>
      </c>
      <c r="N15" s="26">
        <f>VLOOKUP(M15,[1]LPU!$A$2:$G$1512,2,FALSE())</f>
        <v>178</v>
      </c>
      <c r="O15" s="26" t="str">
        <f>VLOOKUP(M15,[1]LPU!$A$2:$G$1512,3,FALSE)</f>
        <v>Desmalezamiento (incluye poda y fumigación)</v>
      </c>
      <c r="P15" s="26" t="str">
        <f>VLOOKUP(M15,[1]LPU!$A$2:$G$1512,4,FALSE())</f>
        <v>LOCATIVO</v>
      </c>
      <c r="Q15" s="26" t="str">
        <f>VLOOKUP(M15,[1]LPU!$A$2:$G$1512,5,FALSE())</f>
        <v>Sitio</v>
      </c>
      <c r="R15" s="27">
        <f>VLOOKUP(M15,[1]LPU!$A$2:$G$1512,6,FALSE())</f>
        <v>88400</v>
      </c>
      <c r="S15" s="27" t="str">
        <f>VLOOKUP(M15,[1]LPU!$A$2:$G$1512,7,FALSE())</f>
        <v>LPU FLM</v>
      </c>
      <c r="T15" s="28">
        <v>1</v>
      </c>
      <c r="U15" s="29">
        <f t="shared" si="0"/>
        <v>88400</v>
      </c>
      <c r="V15" s="29" t="s">
        <v>37</v>
      </c>
      <c r="W15" s="30"/>
      <c r="X15" s="29" t="s">
        <v>38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ht="21" customHeight="1" x14ac:dyDescent="0.3">
      <c r="A16" s="22">
        <v>12</v>
      </c>
      <c r="B16" s="23">
        <v>1</v>
      </c>
      <c r="C16" s="23" t="s">
        <v>36</v>
      </c>
      <c r="D16" s="23" t="str">
        <f>VLOOKUP(C16,'[1]1.CUADRO RESUMEN DE SITIOS '!$C$5:$L$1052,2,FALSE())</f>
        <v>JSAN_00425</v>
      </c>
      <c r="E16" s="24">
        <f>VLOOKUP(C16,'[1]1.CUADRO RESUMEN DE SITIOS '!$C$5:$L$1052,3,FALSE())</f>
        <v>45901</v>
      </c>
      <c r="F16" s="23">
        <f>VLOOKUP(C16,'[1]1.CUADRO RESUMEN DE SITIOS '!$C$5:$L$1052,4,FALSE())</f>
        <v>6.0928000000000004</v>
      </c>
      <c r="G16" s="23">
        <f>VLOOKUP(C16,'[1]1.CUADRO RESUMEN DE SITIOS '!$C$5:$L$1052,5,FALSE())</f>
        <v>-73.887709999999998</v>
      </c>
      <c r="H16" s="23" t="str">
        <f>VLOOKUP(C16,'[1]1.CUADRO RESUMEN DE SITIOS '!$C$5:$L$1052,6,FALSE())</f>
        <v>Santander</v>
      </c>
      <c r="I16" s="23" t="str">
        <f>VLOOKUP(C16,'[1]1.CUADRO RESUMEN DE SITIOS '!$C$5:$L$1052,7,FALSE())</f>
        <v>WOM</v>
      </c>
      <c r="J16" s="25" t="str">
        <f>VLOOKUP(C16,'[1]1.CUADRO RESUMEN DE SITIOS '!$C$5:$L$1052,8,FALSE())</f>
        <v>COSTA</v>
      </c>
      <c r="K16" s="23" t="str">
        <f>VLOOKUP(C16,'[1]1.CUADRO RESUMEN DE SITIOS '!$C$5:$L$1052,9,FALSE())</f>
        <v>Carlos Eduardo Montoya</v>
      </c>
      <c r="L16" s="26" t="str">
        <f>VLOOKUP(C16,'[1]1.CUADRO RESUMEN DE SITIOS '!$C$5:$L$1052,10,FALSE())</f>
        <v>Terminado</v>
      </c>
      <c r="M16" s="26">
        <v>8828119627</v>
      </c>
      <c r="N16" s="26">
        <f>VLOOKUP(M16,[1]LPU!$A$2:$G$1512,2,FALSE())</f>
        <v>200</v>
      </c>
      <c r="O16" s="26" t="str">
        <f>VLOOKUP(M16,[1]LPU!$A$2:$G$1512,3,FALSE)</f>
        <v>Instalación de Radio Enlace (Dos extremos) en configuración 1 + 0 o 1 + 1 mayor de 0,3m y hasta 1,2m de diametro - Incluye transporte a sitio, pruebas e integración a gestión</v>
      </c>
      <c r="P16" s="26" t="str">
        <f>VLOOKUP(M16,[1]LPU!$A$2:$G$1512,4,FALSE())</f>
        <v>TRANSMISIÓN</v>
      </c>
      <c r="Q16" s="26" t="str">
        <f>VLOOKUP(M16,[1]LPU!$A$2:$G$1512,5,FALSE())</f>
        <v>Por Enlace</v>
      </c>
      <c r="R16" s="27">
        <f>VLOOKUP(M16,[1]LPU!$A$2:$G$1512,6,FALSE())</f>
        <v>1502800</v>
      </c>
      <c r="S16" s="27" t="str">
        <f>VLOOKUP(M16,[1]LPU!$A$2:$G$1512,7,FALSE())</f>
        <v>LPU FLM</v>
      </c>
      <c r="T16" s="28">
        <v>1</v>
      </c>
      <c r="U16" s="29">
        <f t="shared" si="0"/>
        <v>1502800</v>
      </c>
      <c r="V16" s="29" t="s">
        <v>37</v>
      </c>
      <c r="W16" s="30"/>
      <c r="X16" s="29" t="s">
        <v>38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 spans="1:42" ht="21" customHeight="1" x14ac:dyDescent="0.3">
      <c r="A17" s="22">
        <v>13</v>
      </c>
      <c r="B17" s="23">
        <v>1</v>
      </c>
      <c r="C17" s="23" t="s">
        <v>36</v>
      </c>
      <c r="D17" s="23" t="str">
        <f>VLOOKUP(C17,'[1]1.CUADRO RESUMEN DE SITIOS '!$C$5:$L$1052,2,FALSE())</f>
        <v>JSAN_00425</v>
      </c>
      <c r="E17" s="24">
        <f>VLOOKUP(C17,'[1]1.CUADRO RESUMEN DE SITIOS '!$C$5:$L$1052,3,FALSE())</f>
        <v>45901</v>
      </c>
      <c r="F17" s="23">
        <f>VLOOKUP(C17,'[1]1.CUADRO RESUMEN DE SITIOS '!$C$5:$L$1052,4,FALSE())</f>
        <v>6.0928000000000004</v>
      </c>
      <c r="G17" s="23">
        <f>VLOOKUP(C17,'[1]1.CUADRO RESUMEN DE SITIOS '!$C$5:$L$1052,5,FALSE())</f>
        <v>-73.887709999999998</v>
      </c>
      <c r="H17" s="23" t="str">
        <f>VLOOKUP(C17,'[1]1.CUADRO RESUMEN DE SITIOS '!$C$5:$L$1052,6,FALSE())</f>
        <v>Santander</v>
      </c>
      <c r="I17" s="23" t="str">
        <f>VLOOKUP(C17,'[1]1.CUADRO RESUMEN DE SITIOS '!$C$5:$L$1052,7,FALSE())</f>
        <v>WOM</v>
      </c>
      <c r="J17" s="25" t="str">
        <f>VLOOKUP(C17,'[1]1.CUADRO RESUMEN DE SITIOS '!$C$5:$L$1052,8,FALSE())</f>
        <v>COSTA</v>
      </c>
      <c r="K17" s="23" t="str">
        <f>VLOOKUP(C17,'[1]1.CUADRO RESUMEN DE SITIOS '!$C$5:$L$1052,9,FALSE())</f>
        <v>Carlos Eduardo Montoya</v>
      </c>
      <c r="L17" s="26" t="str">
        <f>VLOOKUP(C17,'[1]1.CUADRO RESUMEN DE SITIOS '!$C$5:$L$1052,10,FALSE())</f>
        <v>Terminado</v>
      </c>
      <c r="M17" s="26">
        <v>8828119984</v>
      </c>
      <c r="N17" s="26">
        <f>VLOOKUP(M17,[1]LPU!$A$2:$G$1512,2,FALSE())</f>
        <v>28</v>
      </c>
      <c r="O17" s="26" t="str">
        <f>VLOOKUP(M17,[1]LPU!$A$2:$G$1512,3,FALSE)</f>
        <v>Suministro e Instalacion de cable utp 24 awg 4 pares, categoria 6 , incluye certificación y conectrorizado.</v>
      </c>
      <c r="P17" s="26" t="str">
        <f>VLOOKUP(M17,[1]LPU!$A$2:$G$1512,4,FALSE())</f>
        <v>ACCESO</v>
      </c>
      <c r="Q17" s="26" t="str">
        <f>VLOOKUP(M17,[1]LPU!$A$2:$G$1512,5,FALSE())</f>
        <v>ML</v>
      </c>
      <c r="R17" s="27">
        <f>VLOOKUP(M17,[1]LPU!$A$2:$G$1512,6,FALSE())</f>
        <v>1911</v>
      </c>
      <c r="S17" s="27" t="str">
        <f>VLOOKUP(M17,[1]LPU!$A$2:$G$1512,7,FALSE())</f>
        <v>LPU FLM</v>
      </c>
      <c r="T17" s="28">
        <v>120</v>
      </c>
      <c r="U17" s="29">
        <f t="shared" si="0"/>
        <v>229320</v>
      </c>
      <c r="V17" s="29" t="s">
        <v>37</v>
      </c>
      <c r="W17" s="30"/>
      <c r="X17" s="29" t="s">
        <v>38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</row>
    <row r="18" spans="1:42" ht="21" customHeight="1" x14ac:dyDescent="0.3">
      <c r="A18" s="22">
        <v>14</v>
      </c>
      <c r="B18" s="23">
        <v>1</v>
      </c>
      <c r="C18" s="23" t="s">
        <v>36</v>
      </c>
      <c r="D18" s="23" t="str">
        <f>VLOOKUP(C18,'[1]1.CUADRO RESUMEN DE SITIOS '!$C$5:$L$1052,2,FALSE())</f>
        <v>JSAN_00425</v>
      </c>
      <c r="E18" s="24">
        <f>VLOOKUP(C18,'[1]1.CUADRO RESUMEN DE SITIOS '!$C$5:$L$1052,3,FALSE())</f>
        <v>45901</v>
      </c>
      <c r="F18" s="23">
        <f>VLOOKUP(C18,'[1]1.CUADRO RESUMEN DE SITIOS '!$C$5:$L$1052,4,FALSE())</f>
        <v>6.0928000000000004</v>
      </c>
      <c r="G18" s="23">
        <f>VLOOKUP(C18,'[1]1.CUADRO RESUMEN DE SITIOS '!$C$5:$L$1052,5,FALSE())</f>
        <v>-73.887709999999998</v>
      </c>
      <c r="H18" s="23" t="str">
        <f>VLOOKUP(C18,'[1]1.CUADRO RESUMEN DE SITIOS '!$C$5:$L$1052,6,FALSE())</f>
        <v>Santander</v>
      </c>
      <c r="I18" s="23" t="str">
        <f>VLOOKUP(C18,'[1]1.CUADRO RESUMEN DE SITIOS '!$C$5:$L$1052,7,FALSE())</f>
        <v>WOM</v>
      </c>
      <c r="J18" s="25" t="str">
        <f>VLOOKUP(C18,'[1]1.CUADRO RESUMEN DE SITIOS '!$C$5:$L$1052,8,FALSE())</f>
        <v>COSTA</v>
      </c>
      <c r="K18" s="23" t="str">
        <f>VLOOKUP(C18,'[1]1.CUADRO RESUMEN DE SITIOS '!$C$5:$L$1052,9,FALSE())</f>
        <v>Carlos Eduardo Montoya</v>
      </c>
      <c r="L18" s="26" t="str">
        <f>VLOOKUP(C18,'[1]1.CUADRO RESUMEN DE SITIOS '!$C$5:$L$1052,10,FALSE())</f>
        <v>Terminado</v>
      </c>
      <c r="M18" s="26">
        <v>8828119798</v>
      </c>
      <c r="N18" s="26">
        <f>VLOOKUP(M18,[1]LPU!$A$2:$G$1512,2,FALSE())</f>
        <v>205</v>
      </c>
      <c r="O18" s="26" t="str">
        <f>VLOOKUP(M18,[1]LPU!$A$2:$G$1512,3,FALSE)</f>
        <v>Traslado entre Estaciones Base de Radio Enlace Microondas (Un Extremo) en configuración 1+0 o 1+1 con Antena de 0,3m y hasta de 0,9m de diámetro.</v>
      </c>
      <c r="P18" s="26" t="str">
        <f>VLOOKUP(M18,[1]LPU!$A$2:$G$1512,4,FALSE())</f>
        <v>TRANSMISIÓN</v>
      </c>
      <c r="Q18" s="26" t="str">
        <f>VLOOKUP(M18,[1]LPU!$A$2:$G$1512,5,FALSE())</f>
        <v>Por Extremo</v>
      </c>
      <c r="R18" s="27">
        <f>VLOOKUP(M18,[1]LPU!$A$2:$G$1512,6,FALSE())</f>
        <v>338628</v>
      </c>
      <c r="S18" s="27" t="str">
        <f>VLOOKUP(M18,[1]LPU!$A$2:$G$1512,7,FALSE())</f>
        <v>LPU FLM</v>
      </c>
      <c r="T18" s="28">
        <v>1</v>
      </c>
      <c r="U18" s="29">
        <f t="shared" si="0"/>
        <v>338628</v>
      </c>
      <c r="V18" s="29" t="s">
        <v>37</v>
      </c>
      <c r="W18" s="30"/>
      <c r="X18" s="29" t="s">
        <v>38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 spans="1:42" ht="21" customHeight="1" x14ac:dyDescent="0.3">
      <c r="A19" s="22">
        <v>15</v>
      </c>
      <c r="B19" s="23">
        <v>1</v>
      </c>
      <c r="C19" s="23" t="s">
        <v>36</v>
      </c>
      <c r="D19" s="23" t="str">
        <f>VLOOKUP(C19,'[1]1.CUADRO RESUMEN DE SITIOS '!$C$5:$L$1052,2,FALSE())</f>
        <v>JSAN_00425</v>
      </c>
      <c r="E19" s="24">
        <f>VLOOKUP(C19,'[1]1.CUADRO RESUMEN DE SITIOS '!$C$5:$L$1052,3,FALSE())</f>
        <v>45901</v>
      </c>
      <c r="F19" s="23">
        <f>VLOOKUP(C19,'[1]1.CUADRO RESUMEN DE SITIOS '!$C$5:$L$1052,4,FALSE())</f>
        <v>6.0928000000000004</v>
      </c>
      <c r="G19" s="23">
        <f>VLOOKUP(C19,'[1]1.CUADRO RESUMEN DE SITIOS '!$C$5:$L$1052,5,FALSE())</f>
        <v>-73.887709999999998</v>
      </c>
      <c r="H19" s="23" t="str">
        <f>VLOOKUP(C19,'[1]1.CUADRO RESUMEN DE SITIOS '!$C$5:$L$1052,6,FALSE())</f>
        <v>Santander</v>
      </c>
      <c r="I19" s="23" t="str">
        <f>VLOOKUP(C19,'[1]1.CUADRO RESUMEN DE SITIOS '!$C$5:$L$1052,7,FALSE())</f>
        <v>WOM</v>
      </c>
      <c r="J19" s="25" t="str">
        <f>VLOOKUP(C19,'[1]1.CUADRO RESUMEN DE SITIOS '!$C$5:$L$1052,8,FALSE())</f>
        <v>COSTA</v>
      </c>
      <c r="K19" s="23" t="str">
        <f>VLOOKUP(C19,'[1]1.CUADRO RESUMEN DE SITIOS '!$C$5:$L$1052,9,FALSE())</f>
        <v>Carlos Eduardo Montoya</v>
      </c>
      <c r="L19" s="26" t="str">
        <f>VLOOKUP(C19,'[1]1.CUADRO RESUMEN DE SITIOS '!$C$5:$L$1052,10,FALSE())</f>
        <v>Terminado</v>
      </c>
      <c r="M19" s="26">
        <v>8828119609</v>
      </c>
      <c r="N19" s="26">
        <f>VLOOKUP(M19,[1]LPU!$A$2:$G$1512,2,FALSE())</f>
        <v>198</v>
      </c>
      <c r="O19" s="26" t="str">
        <f>VLOOKUP(M19,[1]LPU!$A$2:$G$1512,3,FALSE)</f>
        <v>Transporte de Equipos y Materiales, Carga y Descarga, desde y hacía Bodega Regional. Mas de 1 Tonelada. ZONA Satelital (Resolución 5078 de 2016)</v>
      </c>
      <c r="P19" s="26" t="str">
        <f>VLOOKUP(M19,[1]LPU!$A$2:$G$1512,4,FALSE())</f>
        <v>LOCATIVO</v>
      </c>
      <c r="Q19" s="26" t="str">
        <f>VLOOKUP(M19,[1]LPU!$A$2:$G$1512,5,FALSE())</f>
        <v>U</v>
      </c>
      <c r="R19" s="27">
        <f>VLOOKUP(M19,[1]LPU!$A$2:$G$1512,6,FALSE())</f>
        <v>1105000</v>
      </c>
      <c r="S19" s="27" t="str">
        <f>VLOOKUP(M19,[1]LPU!$A$2:$G$1512,7,FALSE())</f>
        <v>LPU FLM</v>
      </c>
      <c r="T19" s="28">
        <v>1</v>
      </c>
      <c r="U19" s="29">
        <f t="shared" si="0"/>
        <v>1105000</v>
      </c>
      <c r="V19" s="29" t="s">
        <v>37</v>
      </c>
      <c r="W19" s="30"/>
      <c r="X19" s="29" t="s">
        <v>38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</row>
    <row r="20" spans="1:42" ht="21" customHeight="1" x14ac:dyDescent="0.3">
      <c r="A20" s="22">
        <v>16</v>
      </c>
      <c r="B20" s="23">
        <v>1</v>
      </c>
      <c r="C20" s="23" t="s">
        <v>36</v>
      </c>
      <c r="D20" s="23" t="str">
        <f>VLOOKUP(C20,'[1]1.CUADRO RESUMEN DE SITIOS '!$C$5:$L$1052,2,FALSE())</f>
        <v>JSAN_00425</v>
      </c>
      <c r="E20" s="24">
        <f>VLOOKUP(C20,'[1]1.CUADRO RESUMEN DE SITIOS '!$C$5:$L$1052,3,FALSE())</f>
        <v>45901</v>
      </c>
      <c r="F20" s="23">
        <f>VLOOKUP(C20,'[1]1.CUADRO RESUMEN DE SITIOS '!$C$5:$L$1052,4,FALSE())</f>
        <v>6.0928000000000004</v>
      </c>
      <c r="G20" s="23">
        <f>VLOOKUP(C20,'[1]1.CUADRO RESUMEN DE SITIOS '!$C$5:$L$1052,5,FALSE())</f>
        <v>-73.887709999999998</v>
      </c>
      <c r="H20" s="23" t="str">
        <f>VLOOKUP(C20,'[1]1.CUADRO RESUMEN DE SITIOS '!$C$5:$L$1052,6,FALSE())</f>
        <v>Santander</v>
      </c>
      <c r="I20" s="23" t="str">
        <f>VLOOKUP(C20,'[1]1.CUADRO RESUMEN DE SITIOS '!$C$5:$L$1052,7,FALSE())</f>
        <v>WOM</v>
      </c>
      <c r="J20" s="25" t="str">
        <f>VLOOKUP(C20,'[1]1.CUADRO RESUMEN DE SITIOS '!$C$5:$L$1052,8,FALSE())</f>
        <v>COSTA</v>
      </c>
      <c r="K20" s="23" t="str">
        <f>VLOOKUP(C20,'[1]1.CUADRO RESUMEN DE SITIOS '!$C$5:$L$1052,9,FALSE())</f>
        <v>Carlos Eduardo Montoya</v>
      </c>
      <c r="L20" s="26" t="str">
        <f>VLOOKUP(C20,'[1]1.CUADRO RESUMEN DE SITIOS '!$C$5:$L$1052,10,FALSE())</f>
        <v>Terminado</v>
      </c>
      <c r="M20" s="26">
        <v>8828119948</v>
      </c>
      <c r="N20" s="26">
        <f>VLOOKUP(M20,[1]LPU!$A$2:$G$1512,2,FALSE())</f>
        <v>24</v>
      </c>
      <c r="O20" s="26" t="str">
        <f>VLOOKUP(M20,[1]LPU!$A$2:$G$1512,3,FALSE)</f>
        <v>Instalación, Comisionamiento y Pruebas de eNB/NB/gNE (de cualquier banda) hasta 2 Bandas</v>
      </c>
      <c r="P20" s="26" t="str">
        <f>VLOOKUP(M20,[1]LPU!$A$2:$G$1512,4,FALSE())</f>
        <v>ACCESO</v>
      </c>
      <c r="Q20" s="26" t="str">
        <f>VLOOKUP(M20,[1]LPU!$A$2:$G$1512,5,FALSE())</f>
        <v>U</v>
      </c>
      <c r="R20" s="27">
        <f>VLOOKUP(M20,[1]LPU!$A$2:$G$1512,6,FALSE())</f>
        <v>330120</v>
      </c>
      <c r="S20" s="27" t="str">
        <f>VLOOKUP(M20,[1]LPU!$A$2:$G$1512,7,FALSE())</f>
        <v>LPU FLM</v>
      </c>
      <c r="T20" s="28">
        <v>1</v>
      </c>
      <c r="U20" s="29">
        <f t="shared" si="0"/>
        <v>330120</v>
      </c>
      <c r="V20" s="29" t="s">
        <v>37</v>
      </c>
      <c r="W20" s="30"/>
      <c r="X20" s="29" t="s">
        <v>38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 spans="1:42" ht="21" customHeight="1" x14ac:dyDescent="0.3">
      <c r="A21" s="22">
        <v>17</v>
      </c>
      <c r="B21" s="23">
        <v>1</v>
      </c>
      <c r="C21" s="23" t="s">
        <v>36</v>
      </c>
      <c r="D21" s="23" t="str">
        <f>VLOOKUP(C21,'[1]1.CUADRO RESUMEN DE SITIOS '!$C$5:$L$1052,2,FALSE())</f>
        <v>JSAN_00425</v>
      </c>
      <c r="E21" s="24">
        <f>VLOOKUP(C21,'[1]1.CUADRO RESUMEN DE SITIOS '!$C$5:$L$1052,3,FALSE())</f>
        <v>45901</v>
      </c>
      <c r="F21" s="23">
        <f>VLOOKUP(C21,'[1]1.CUADRO RESUMEN DE SITIOS '!$C$5:$L$1052,4,FALSE())</f>
        <v>6.0928000000000004</v>
      </c>
      <c r="G21" s="23">
        <f>VLOOKUP(C21,'[1]1.CUADRO RESUMEN DE SITIOS '!$C$5:$L$1052,5,FALSE())</f>
        <v>-73.887709999999998</v>
      </c>
      <c r="H21" s="23" t="str">
        <f>VLOOKUP(C21,'[1]1.CUADRO RESUMEN DE SITIOS '!$C$5:$L$1052,6,FALSE())</f>
        <v>Santander</v>
      </c>
      <c r="I21" s="23" t="str">
        <f>VLOOKUP(C21,'[1]1.CUADRO RESUMEN DE SITIOS '!$C$5:$L$1052,7,FALSE())</f>
        <v>WOM</v>
      </c>
      <c r="J21" s="25" t="str">
        <f>VLOOKUP(C21,'[1]1.CUADRO RESUMEN DE SITIOS '!$C$5:$L$1052,8,FALSE())</f>
        <v>COSTA</v>
      </c>
      <c r="K21" s="23" t="str">
        <f>VLOOKUP(C21,'[1]1.CUADRO RESUMEN DE SITIOS '!$C$5:$L$1052,9,FALSE())</f>
        <v>Carlos Eduardo Montoya</v>
      </c>
      <c r="L21" s="26" t="str">
        <f>VLOOKUP(C21,'[1]1.CUADRO RESUMEN DE SITIOS '!$C$5:$L$1052,10,FALSE())</f>
        <v>Terminado</v>
      </c>
      <c r="M21" s="26">
        <v>8828119862</v>
      </c>
      <c r="N21" s="26">
        <f>VLOOKUP(M21,[1]LPU!$A$2:$G$1512,2,FALSE())</f>
        <v>15</v>
      </c>
      <c r="O21" s="26" t="str">
        <f>VLOOKUP(M21,[1]LPU!$A$2:$G$1512,3,FALSE)</f>
        <v>Reemplazo de gabinete de fuerza o rectificador. Incluye transporte de elementos a Sito y retorno a Bodega de elemento desmontado.</v>
      </c>
      <c r="P21" s="26" t="str">
        <f>VLOOKUP(M21,[1]LPU!$A$2:$G$1512,4,FALSE())</f>
        <v>ACCESO</v>
      </c>
      <c r="Q21" s="26" t="str">
        <f>VLOOKUP(M21,[1]LPU!$A$2:$G$1512,5,FALSE())</f>
        <v>Gl</v>
      </c>
      <c r="R21" s="27">
        <f>VLOOKUP(M21,[1]LPU!$A$2:$G$1512,6,FALSE())</f>
        <v>247657</v>
      </c>
      <c r="S21" s="27" t="str">
        <f>VLOOKUP(M21,[1]LPU!$A$2:$G$1512,7,FALSE())</f>
        <v>LPU FLM</v>
      </c>
      <c r="T21" s="28">
        <v>1</v>
      </c>
      <c r="U21" s="29">
        <f t="shared" si="0"/>
        <v>247657</v>
      </c>
      <c r="V21" s="29" t="s">
        <v>37</v>
      </c>
      <c r="W21" s="30"/>
      <c r="X21" s="29" t="s">
        <v>38</v>
      </c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  <row r="22" spans="1:42" ht="21" customHeight="1" x14ac:dyDescent="0.3">
      <c r="A22" s="22">
        <v>18</v>
      </c>
      <c r="B22" s="23">
        <v>1</v>
      </c>
      <c r="C22" s="23" t="s">
        <v>36</v>
      </c>
      <c r="D22" s="23" t="str">
        <f>VLOOKUP(C22,'[1]1.CUADRO RESUMEN DE SITIOS '!$C$5:$L$1052,2,FALSE())</f>
        <v>JSAN_00425</v>
      </c>
      <c r="E22" s="24">
        <f>VLOOKUP(C22,'[1]1.CUADRO RESUMEN DE SITIOS '!$C$5:$L$1052,3,FALSE())</f>
        <v>45901</v>
      </c>
      <c r="F22" s="23">
        <f>VLOOKUP(C22,'[1]1.CUADRO RESUMEN DE SITIOS '!$C$5:$L$1052,4,FALSE())</f>
        <v>6.0928000000000004</v>
      </c>
      <c r="G22" s="23">
        <f>VLOOKUP(C22,'[1]1.CUADRO RESUMEN DE SITIOS '!$C$5:$L$1052,5,FALSE())</f>
        <v>-73.887709999999998</v>
      </c>
      <c r="H22" s="23" t="str">
        <f>VLOOKUP(C22,'[1]1.CUADRO RESUMEN DE SITIOS '!$C$5:$L$1052,6,FALSE())</f>
        <v>Santander</v>
      </c>
      <c r="I22" s="23" t="str">
        <f>VLOOKUP(C22,'[1]1.CUADRO RESUMEN DE SITIOS '!$C$5:$L$1052,7,FALSE())</f>
        <v>WOM</v>
      </c>
      <c r="J22" s="25" t="str">
        <f>VLOOKUP(C22,'[1]1.CUADRO RESUMEN DE SITIOS '!$C$5:$L$1052,8,FALSE())</f>
        <v>COSTA</v>
      </c>
      <c r="K22" s="23" t="str">
        <f>VLOOKUP(C22,'[1]1.CUADRO RESUMEN DE SITIOS '!$C$5:$L$1052,9,FALSE())</f>
        <v>Carlos Eduardo Montoya</v>
      </c>
      <c r="L22" s="26" t="str">
        <f>VLOOKUP(C22,'[1]1.CUADRO RESUMEN DE SITIOS '!$C$5:$L$1052,10,FALSE())</f>
        <v>Terminado</v>
      </c>
      <c r="M22" s="26">
        <v>8828119668</v>
      </c>
      <c r="N22" s="26">
        <f>VLOOKUP(M22,[1]LPU!$A$2:$G$1512,2,FALSE())</f>
        <v>481</v>
      </c>
      <c r="O22" s="26" t="str">
        <f>VLOOKUP(M22,[1]LPU!$A$2:$G$1512,3,FALSE)</f>
        <v>CABLE ALUMINIO AWG 2X8+8 N2 23</v>
      </c>
      <c r="P22" s="26" t="str">
        <f>VLOOKUP(M22,[1]LPU!$A$2:$G$1512,4,FALSE())</f>
        <v>Nivel 2</v>
      </c>
      <c r="Q22" s="26" t="str">
        <f>VLOOKUP(M22,[1]LPU!$A$2:$G$1512,5,FALSE())</f>
        <v>M</v>
      </c>
      <c r="R22" s="27">
        <f>VLOOKUP(M22,[1]LPU!$A$2:$G$1512,6,FALSE())</f>
        <v>14432</v>
      </c>
      <c r="S22" s="27" t="str">
        <f>VLOOKUP(M22,[1]LPU!$A$2:$G$1512,7,FALSE())</f>
        <v>N2</v>
      </c>
      <c r="T22" s="28">
        <v>20</v>
      </c>
      <c r="U22" s="29">
        <f t="shared" si="0"/>
        <v>288640</v>
      </c>
      <c r="V22" s="29" t="s">
        <v>37</v>
      </c>
      <c r="W22" s="30"/>
      <c r="X22" s="29" t="s">
        <v>38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</row>
    <row r="23" spans="1:42" ht="21" customHeight="1" x14ac:dyDescent="0.3">
      <c r="A23" s="22">
        <v>19</v>
      </c>
      <c r="B23" s="23">
        <v>1</v>
      </c>
      <c r="C23" s="23" t="s">
        <v>36</v>
      </c>
      <c r="D23" s="23" t="str">
        <f>VLOOKUP(C23,'[1]1.CUADRO RESUMEN DE SITIOS '!$C$5:$L$1052,2,FALSE())</f>
        <v>JSAN_00425</v>
      </c>
      <c r="E23" s="24">
        <f>VLOOKUP(C23,'[1]1.CUADRO RESUMEN DE SITIOS '!$C$5:$L$1052,3,FALSE())</f>
        <v>45901</v>
      </c>
      <c r="F23" s="23">
        <f>VLOOKUP(C23,'[1]1.CUADRO RESUMEN DE SITIOS '!$C$5:$L$1052,4,FALSE())</f>
        <v>6.0928000000000004</v>
      </c>
      <c r="G23" s="23">
        <f>VLOOKUP(C23,'[1]1.CUADRO RESUMEN DE SITIOS '!$C$5:$L$1052,5,FALSE())</f>
        <v>-73.887709999999998</v>
      </c>
      <c r="H23" s="23" t="str">
        <f>VLOOKUP(C23,'[1]1.CUADRO RESUMEN DE SITIOS '!$C$5:$L$1052,6,FALSE())</f>
        <v>Santander</v>
      </c>
      <c r="I23" s="23" t="str">
        <f>VLOOKUP(C23,'[1]1.CUADRO RESUMEN DE SITIOS '!$C$5:$L$1052,7,FALSE())</f>
        <v>WOM</v>
      </c>
      <c r="J23" s="25" t="str">
        <f>VLOOKUP(C23,'[1]1.CUADRO RESUMEN DE SITIOS '!$C$5:$L$1052,8,FALSE())</f>
        <v>COSTA</v>
      </c>
      <c r="K23" s="23" t="str">
        <f>VLOOKUP(C23,'[1]1.CUADRO RESUMEN DE SITIOS '!$C$5:$L$1052,9,FALSE())</f>
        <v>Carlos Eduardo Montoya</v>
      </c>
      <c r="L23" s="26" t="str">
        <f>VLOOKUP(C23,'[1]1.CUADRO RESUMEN DE SITIOS '!$C$5:$L$1052,10,FALSE())</f>
        <v>Terminado</v>
      </c>
      <c r="M23" s="26">
        <v>8828119411</v>
      </c>
      <c r="N23" s="26">
        <f>VLOOKUP(M23,[1]LPU!$A$2:$G$1512,2,FALSE())</f>
        <v>5</v>
      </c>
      <c r="O23" s="26" t="str">
        <f>VLOOKUP(M23,[1]LPU!$A$2:$G$1512,3,FALSE)</f>
        <v>Instalación de nuevo sector, incluye hasta 3 RRUs, antena, fibras, jumpers, cableado en general y demás accesorios.</v>
      </c>
      <c r="P23" s="26" t="str">
        <f>VLOOKUP(M23,[1]LPU!$A$2:$G$1512,4,FALSE())</f>
        <v>ACCESO</v>
      </c>
      <c r="Q23" s="26" t="str">
        <f>VLOOKUP(M23,[1]LPU!$A$2:$G$1512,5,FALSE())</f>
        <v>Por sector</v>
      </c>
      <c r="R23" s="27">
        <f>VLOOKUP(M23,[1]LPU!$A$2:$G$1512,6,FALSE())</f>
        <v>406997</v>
      </c>
      <c r="S23" s="27" t="str">
        <f>VLOOKUP(M23,[1]LPU!$A$2:$G$1512,7,FALSE())</f>
        <v>LPU FLM</v>
      </c>
      <c r="T23" s="28">
        <v>3</v>
      </c>
      <c r="U23" s="29">
        <f t="shared" si="0"/>
        <v>1220991</v>
      </c>
      <c r="V23" s="29" t="s">
        <v>37</v>
      </c>
      <c r="W23" s="30"/>
      <c r="X23" s="29" t="s">
        <v>38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</row>
    <row r="24" spans="1:42" ht="21" customHeight="1" x14ac:dyDescent="0.3">
      <c r="A24" s="22">
        <v>20</v>
      </c>
      <c r="B24" s="23">
        <v>1</v>
      </c>
      <c r="C24" s="23" t="s">
        <v>36</v>
      </c>
      <c r="D24" s="23" t="str">
        <f>VLOOKUP(C24,'[1]1.CUADRO RESUMEN DE SITIOS '!$C$5:$L$1052,2,FALSE())</f>
        <v>JSAN_00425</v>
      </c>
      <c r="E24" s="24">
        <f>VLOOKUP(C24,'[1]1.CUADRO RESUMEN DE SITIOS '!$C$5:$L$1052,3,FALSE())</f>
        <v>45901</v>
      </c>
      <c r="F24" s="23">
        <f>VLOOKUP(C24,'[1]1.CUADRO RESUMEN DE SITIOS '!$C$5:$L$1052,4,FALSE())</f>
        <v>6.0928000000000004</v>
      </c>
      <c r="G24" s="23">
        <f>VLOOKUP(C24,'[1]1.CUADRO RESUMEN DE SITIOS '!$C$5:$L$1052,5,FALSE())</f>
        <v>-73.887709999999998</v>
      </c>
      <c r="H24" s="23" t="str">
        <f>VLOOKUP(C24,'[1]1.CUADRO RESUMEN DE SITIOS '!$C$5:$L$1052,6,FALSE())</f>
        <v>Santander</v>
      </c>
      <c r="I24" s="23" t="str">
        <f>VLOOKUP(C24,'[1]1.CUADRO RESUMEN DE SITIOS '!$C$5:$L$1052,7,FALSE())</f>
        <v>WOM</v>
      </c>
      <c r="J24" s="25" t="str">
        <f>VLOOKUP(C24,'[1]1.CUADRO RESUMEN DE SITIOS '!$C$5:$L$1052,8,FALSE())</f>
        <v>COSTA</v>
      </c>
      <c r="K24" s="23" t="str">
        <f>VLOOKUP(C24,'[1]1.CUADRO RESUMEN DE SITIOS '!$C$5:$L$1052,9,FALSE())</f>
        <v>Carlos Eduardo Montoya</v>
      </c>
      <c r="L24" s="26" t="str">
        <f>VLOOKUP(C24,'[1]1.CUADRO RESUMEN DE SITIOS '!$C$5:$L$1052,10,FALSE())</f>
        <v>Terminado</v>
      </c>
      <c r="M24" s="26">
        <v>8828119938</v>
      </c>
      <c r="N24" s="26">
        <f>VLOOKUP(M24,[1]LPU!$A$2:$G$1512,2,FALSE())</f>
        <v>23</v>
      </c>
      <c r="O24" s="26" t="str">
        <f>VLOOKUP(M24,[1]LPU!$A$2:$G$1512,3,FALSE)</f>
        <v>Reubicación de 01 BBU desde gabinete existente hacia nuevo gabinete, incluye conexión de alimentación en ambos planos y etiquetado</v>
      </c>
      <c r="P24" s="26" t="str">
        <f>VLOOKUP(M24,[1]LPU!$A$2:$G$1512,4,FALSE())</f>
        <v>ACCESO</v>
      </c>
      <c r="Q24" s="26" t="str">
        <f>VLOOKUP(M24,[1]LPU!$A$2:$G$1512,5,FALSE())</f>
        <v>Por sector</v>
      </c>
      <c r="R24" s="27">
        <f>VLOOKUP(M24,[1]LPU!$A$2:$G$1512,6,FALSE())</f>
        <v>217413</v>
      </c>
      <c r="S24" s="27" t="str">
        <f>VLOOKUP(M24,[1]LPU!$A$2:$G$1512,7,FALSE())</f>
        <v>LPU FLM</v>
      </c>
      <c r="T24" s="28">
        <v>1</v>
      </c>
      <c r="U24" s="29">
        <f t="shared" si="0"/>
        <v>217413</v>
      </c>
      <c r="V24" s="29" t="s">
        <v>37</v>
      </c>
      <c r="W24" s="30"/>
      <c r="X24" s="29" t="s">
        <v>38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</row>
    <row r="25" spans="1:42" ht="21" customHeight="1" x14ac:dyDescent="0.3">
      <c r="A25" s="22">
        <v>21</v>
      </c>
      <c r="B25" s="23">
        <v>1</v>
      </c>
      <c r="C25" s="23" t="s">
        <v>39</v>
      </c>
      <c r="D25" s="23" t="str">
        <f>VLOOKUP(C25,'[1]1.CUADRO RESUMEN DE SITIOS '!$C$5:$L$1052,2,FALSE())</f>
        <v>NOR_02667</v>
      </c>
      <c r="E25" s="24">
        <f>VLOOKUP(C25,'[1]1.CUADRO RESUMEN DE SITIOS '!$C$5:$L$1052,3,FALSE())</f>
        <v>45927</v>
      </c>
      <c r="F25" s="23">
        <f>VLOOKUP(C25,'[1]1.CUADRO RESUMEN DE SITIOS '!$C$5:$L$1052,4,FALSE())</f>
        <v>7.3675699999999997</v>
      </c>
      <c r="G25" s="23">
        <f>VLOOKUP(C25,'[1]1.CUADRO RESUMEN DE SITIOS '!$C$5:$L$1052,5,FALSE())</f>
        <v>-72.647900000000007</v>
      </c>
      <c r="H25" s="23" t="str">
        <f>VLOOKUP(C25,'[1]1.CUADRO RESUMEN DE SITIOS '!$C$5:$L$1052,6,FALSE())</f>
        <v>Norte de Santander</v>
      </c>
      <c r="I25" s="23" t="str">
        <f>VLOOKUP(C25,'[1]1.CUADRO RESUMEN DE SITIOS '!$C$5:$L$1052,7,FALSE())</f>
        <v>WOM</v>
      </c>
      <c r="J25" s="25" t="str">
        <f>VLOOKUP(C25,'[1]1.CUADRO RESUMEN DE SITIOS '!$C$5:$L$1052,8,FALSE())</f>
        <v>CENTRO SUR/ NORTE</v>
      </c>
      <c r="K25" s="23" t="str">
        <f>VLOOKUP(C25,'[1]1.CUADRO RESUMEN DE SITIOS '!$C$5:$L$1052,9,FALSE())</f>
        <v>Diego Fernando Cepeda</v>
      </c>
      <c r="L25" s="26" t="str">
        <f>VLOOKUP(C25,'[1]1.CUADRO RESUMEN DE SITIOS '!$C$5:$L$1052,10,FALSE())</f>
        <v>Terminado</v>
      </c>
      <c r="M25" s="26">
        <v>8828118943</v>
      </c>
      <c r="N25" s="26">
        <f>VLOOKUP(M25,[1]LPU!$A$2:$G$1512,2,FALSE())</f>
        <v>2.09</v>
      </c>
      <c r="O25" s="26" t="str">
        <f>VLOOKUP(M25,[1]LPU!$A$2:$G$1512,3,FALSE)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25" s="26" t="str">
        <f>VLOOKUP(M25,[1]LPU!$A$2:$G$1512,4,FALSE())</f>
        <v>Mantenimiento Electrico</v>
      </c>
      <c r="Q25" s="26" t="str">
        <f>VLOOKUP(M25,[1]LPU!$A$2:$G$1512,5,FALSE())</f>
        <v>Global</v>
      </c>
      <c r="R25" s="27">
        <f>VLOOKUP(M25,[1]LPU!$A$2:$G$1512,6,FALSE())</f>
        <v>1086294.8999999999</v>
      </c>
      <c r="S25" s="27" t="str">
        <f>VLOOKUP(M25,[1]LPU!$A$2:$G$1512,7,FALSE())</f>
        <v>Mantenimiento Electrico</v>
      </c>
      <c r="T25" s="28">
        <v>1</v>
      </c>
      <c r="U25" s="29">
        <f t="shared" si="0"/>
        <v>1086294.8999999999</v>
      </c>
      <c r="V25" s="29" t="s">
        <v>40</v>
      </c>
      <c r="W25" s="30"/>
      <c r="X25" s="29" t="s">
        <v>38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</row>
    <row r="26" spans="1:42" ht="21" customHeight="1" x14ac:dyDescent="0.3">
      <c r="A26" s="22">
        <v>22</v>
      </c>
      <c r="B26" s="23">
        <v>1</v>
      </c>
      <c r="C26" s="23" t="s">
        <v>39</v>
      </c>
      <c r="D26" s="23" t="str">
        <f>VLOOKUP(C26,'[1]1.CUADRO RESUMEN DE SITIOS '!$C$5:$L$1052,2,FALSE())</f>
        <v>NOR_02667</v>
      </c>
      <c r="E26" s="24">
        <f>VLOOKUP(C26,'[1]1.CUADRO RESUMEN DE SITIOS '!$C$5:$L$1052,3,FALSE())</f>
        <v>45927</v>
      </c>
      <c r="F26" s="23">
        <f>VLOOKUP(C26,'[1]1.CUADRO RESUMEN DE SITIOS '!$C$5:$L$1052,4,FALSE())</f>
        <v>7.3675699999999997</v>
      </c>
      <c r="G26" s="23">
        <f>VLOOKUP(C26,'[1]1.CUADRO RESUMEN DE SITIOS '!$C$5:$L$1052,5,FALSE())</f>
        <v>-72.647900000000007</v>
      </c>
      <c r="H26" s="23" t="str">
        <f>VLOOKUP(C26,'[1]1.CUADRO RESUMEN DE SITIOS '!$C$5:$L$1052,6,FALSE())</f>
        <v>Norte de Santander</v>
      </c>
      <c r="I26" s="23" t="str">
        <f>VLOOKUP(C26,'[1]1.CUADRO RESUMEN DE SITIOS '!$C$5:$L$1052,7,FALSE())</f>
        <v>WOM</v>
      </c>
      <c r="J26" s="25" t="str">
        <f>VLOOKUP(C26,'[1]1.CUADRO RESUMEN DE SITIOS '!$C$5:$L$1052,8,FALSE())</f>
        <v>CENTRO SUR/ NORTE</v>
      </c>
      <c r="K26" s="23" t="str">
        <f>VLOOKUP(C26,'[1]1.CUADRO RESUMEN DE SITIOS '!$C$5:$L$1052,9,FALSE())</f>
        <v>Diego Fernando Cepeda</v>
      </c>
      <c r="L26" s="26" t="str">
        <f>VLOOKUP(C26,'[1]1.CUADRO RESUMEN DE SITIOS '!$C$5:$L$1052,10,FALSE())</f>
        <v>Terminado</v>
      </c>
      <c r="M26" s="26">
        <v>8828119413</v>
      </c>
      <c r="N26" s="26">
        <f>VLOOKUP(M26,[1]LPU!$A$2:$G$1512,2,FALSE())</f>
        <v>2.63</v>
      </c>
      <c r="O26" s="26" t="str">
        <f>VLOOKUP(M26,[1]LPU!$A$2:$G$1512,3,FALSE)</f>
        <v>Tubería Conduit Galvanizada 1 1/2", Incluye canalización, uniones, terminales, curvas y accesorios de fijación. (1 curva equivale a 1 ml). Incluye desmonte de tubería existe, mano de obra y limpieza del área de trabajo.</v>
      </c>
      <c r="P26" s="26" t="str">
        <f>VLOOKUP(M26,[1]LPU!$A$2:$G$1512,4,FALSE())</f>
        <v>Mantenimiento Electrico</v>
      </c>
      <c r="Q26" s="26" t="str">
        <f>VLOOKUP(M26,[1]LPU!$A$2:$G$1512,5,FALSE())</f>
        <v>ML</v>
      </c>
      <c r="R26" s="27">
        <f>VLOOKUP(M26,[1]LPU!$A$2:$G$1512,6,FALSE())</f>
        <v>60016.800000000003</v>
      </c>
      <c r="S26" s="27" t="str">
        <f>VLOOKUP(M26,[1]LPU!$A$2:$G$1512,7,FALSE())</f>
        <v>Mantenimiento Electrico</v>
      </c>
      <c r="T26" s="28">
        <v>6</v>
      </c>
      <c r="U26" s="29">
        <f t="shared" si="0"/>
        <v>360100.80000000005</v>
      </c>
      <c r="V26" s="29" t="s">
        <v>40</v>
      </c>
      <c r="W26" s="30"/>
      <c r="X26" s="29" t="s">
        <v>38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</row>
    <row r="27" spans="1:42" ht="21" customHeight="1" x14ac:dyDescent="0.3">
      <c r="A27" s="22">
        <v>23</v>
      </c>
      <c r="B27" s="23">
        <v>1</v>
      </c>
      <c r="C27" s="23" t="s">
        <v>39</v>
      </c>
      <c r="D27" s="23" t="str">
        <f>VLOOKUP(C27,'[1]1.CUADRO RESUMEN DE SITIOS '!$C$5:$L$1052,2,FALSE())</f>
        <v>NOR_02667</v>
      </c>
      <c r="E27" s="24">
        <f>VLOOKUP(C27,'[1]1.CUADRO RESUMEN DE SITIOS '!$C$5:$L$1052,3,FALSE())</f>
        <v>45927</v>
      </c>
      <c r="F27" s="23">
        <f>VLOOKUP(C27,'[1]1.CUADRO RESUMEN DE SITIOS '!$C$5:$L$1052,4,FALSE())</f>
        <v>7.3675699999999997</v>
      </c>
      <c r="G27" s="23">
        <f>VLOOKUP(C27,'[1]1.CUADRO RESUMEN DE SITIOS '!$C$5:$L$1052,5,FALSE())</f>
        <v>-72.647900000000007</v>
      </c>
      <c r="H27" s="23" t="str">
        <f>VLOOKUP(C27,'[1]1.CUADRO RESUMEN DE SITIOS '!$C$5:$L$1052,6,FALSE())</f>
        <v>Norte de Santander</v>
      </c>
      <c r="I27" s="23" t="str">
        <f>VLOOKUP(C27,'[1]1.CUADRO RESUMEN DE SITIOS '!$C$5:$L$1052,7,FALSE())</f>
        <v>WOM</v>
      </c>
      <c r="J27" s="25" t="str">
        <f>VLOOKUP(C27,'[1]1.CUADRO RESUMEN DE SITIOS '!$C$5:$L$1052,8,FALSE())</f>
        <v>CENTRO SUR/ NORTE</v>
      </c>
      <c r="K27" s="23" t="str">
        <f>VLOOKUP(C27,'[1]1.CUADRO RESUMEN DE SITIOS '!$C$5:$L$1052,9,FALSE())</f>
        <v>Diego Fernando Cepeda</v>
      </c>
      <c r="L27" s="26" t="str">
        <f>VLOOKUP(C27,'[1]1.CUADRO RESUMEN DE SITIOS '!$C$5:$L$1052,10,FALSE())</f>
        <v>Terminado</v>
      </c>
      <c r="M27" s="26">
        <v>8828119205</v>
      </c>
      <c r="N27" s="26">
        <f>VLOOKUP(M27,[1]LPU!$A$2:$G$1512,2,FALSE())</f>
        <v>0</v>
      </c>
      <c r="O27" s="26" t="str">
        <f>VLOOKUP(M27,[1]LPU!$A$2:$G$1512,3,FALSE)</f>
        <v>Suministro e instalación coraza americana de 3/8" - Incluye 100% accesorios</v>
      </c>
      <c r="P27" s="26" t="str">
        <f>VLOOKUP(M27,[1]LPU!$A$2:$G$1512,4,FALSE())</f>
        <v>Variables</v>
      </c>
      <c r="Q27" s="26" t="str">
        <f>VLOOKUP(M27,[1]LPU!$A$2:$G$1512,5,FALSE())</f>
        <v>ml</v>
      </c>
      <c r="R27" s="27">
        <f>VLOOKUP(M27,[1]LPU!$A$2:$G$1512,6,FALSE())</f>
        <v>9925</v>
      </c>
      <c r="S27" s="27" t="str">
        <f>VLOOKUP(M27,[1]LPU!$A$2:$G$1512,7,FALSE())</f>
        <v>LPU FO</v>
      </c>
      <c r="T27" s="28">
        <v>2</v>
      </c>
      <c r="U27" s="29">
        <v>19849</v>
      </c>
      <c r="V27" s="29" t="s">
        <v>40</v>
      </c>
      <c r="W27" s="30"/>
      <c r="X27" s="29" t="s">
        <v>38</v>
      </c>
      <c r="Y27" s="3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</row>
    <row r="28" spans="1:42" ht="21" customHeight="1" x14ac:dyDescent="0.3">
      <c r="A28" s="22">
        <v>24</v>
      </c>
      <c r="B28" s="23">
        <v>1</v>
      </c>
      <c r="C28" s="23" t="s">
        <v>39</v>
      </c>
      <c r="D28" s="23" t="str">
        <f>VLOOKUP(C28,'[1]1.CUADRO RESUMEN DE SITIOS '!$C$5:$L$1052,2,FALSE())</f>
        <v>NOR_02667</v>
      </c>
      <c r="E28" s="24">
        <f>VLOOKUP(C28,'[1]1.CUADRO RESUMEN DE SITIOS '!$C$5:$L$1052,3,FALSE())</f>
        <v>45927</v>
      </c>
      <c r="F28" s="23">
        <f>VLOOKUP(C28,'[1]1.CUADRO RESUMEN DE SITIOS '!$C$5:$L$1052,4,FALSE())</f>
        <v>7.3675699999999997</v>
      </c>
      <c r="G28" s="23">
        <f>VLOOKUP(C28,'[1]1.CUADRO RESUMEN DE SITIOS '!$C$5:$L$1052,5,FALSE())</f>
        <v>-72.647900000000007</v>
      </c>
      <c r="H28" s="23" t="str">
        <f>VLOOKUP(C28,'[1]1.CUADRO RESUMEN DE SITIOS '!$C$5:$L$1052,6,FALSE())</f>
        <v>Norte de Santander</v>
      </c>
      <c r="I28" s="23" t="str">
        <f>VLOOKUP(C28,'[1]1.CUADRO RESUMEN DE SITIOS '!$C$5:$L$1052,7,FALSE())</f>
        <v>WOM</v>
      </c>
      <c r="J28" s="25" t="str">
        <f>VLOOKUP(C28,'[1]1.CUADRO RESUMEN DE SITIOS '!$C$5:$L$1052,8,FALSE())</f>
        <v>CENTRO SUR/ NORTE</v>
      </c>
      <c r="K28" s="23" t="str">
        <f>VLOOKUP(C28,'[1]1.CUADRO RESUMEN DE SITIOS '!$C$5:$L$1052,9,FALSE())</f>
        <v>Diego Fernando Cepeda</v>
      </c>
      <c r="L28" s="26" t="str">
        <f>VLOOKUP(C28,'[1]1.CUADRO RESUMEN DE SITIOS '!$C$5:$L$1052,10,FALSE())</f>
        <v>Terminado</v>
      </c>
      <c r="M28" s="26">
        <v>8828118835</v>
      </c>
      <c r="N28" s="26">
        <f>VLOOKUP(M28,[1]LPU!$A$2:$G$1512,2,FALSE())</f>
        <v>77</v>
      </c>
      <c r="O28" s="26" t="str">
        <f>VLOOKUP(M28,[1]LPU!$A$2:$G$1512,3,FALSE)</f>
        <v>Suministro e Instalacion de conector recto para coraza de 1"</v>
      </c>
      <c r="P28" s="26" t="str">
        <f>VLOOKUP(M28,[1]LPU!$A$2:$G$1512,4,FALSE())</f>
        <v>ENERGÍA</v>
      </c>
      <c r="Q28" s="26" t="str">
        <f>VLOOKUP(M28,[1]LPU!$A$2:$G$1512,5,FALSE())</f>
        <v>U</v>
      </c>
      <c r="R28" s="27">
        <f>VLOOKUP(M28,[1]LPU!$A$2:$G$1512,6,FALSE())</f>
        <v>5154</v>
      </c>
      <c r="S28" s="27" t="str">
        <f>VLOOKUP(M28,[1]LPU!$A$2:$G$1512,7,FALSE())</f>
        <v>LPU FLM</v>
      </c>
      <c r="T28" s="28">
        <v>4</v>
      </c>
      <c r="U28" s="29">
        <v>20614</v>
      </c>
      <c r="V28" s="29" t="s">
        <v>40</v>
      </c>
      <c r="W28" s="30"/>
      <c r="X28" s="29" t="s">
        <v>38</v>
      </c>
      <c r="Y28" s="34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</row>
    <row r="29" spans="1:42" ht="21" customHeight="1" x14ac:dyDescent="0.3">
      <c r="A29" s="22">
        <v>25</v>
      </c>
      <c r="B29" s="23">
        <v>1</v>
      </c>
      <c r="C29" s="23" t="s">
        <v>39</v>
      </c>
      <c r="D29" s="23" t="str">
        <f>VLOOKUP(C29,'[1]1.CUADRO RESUMEN DE SITIOS '!$C$5:$L$1052,2,FALSE())</f>
        <v>NOR_02667</v>
      </c>
      <c r="E29" s="24">
        <f>VLOOKUP(C29,'[1]1.CUADRO RESUMEN DE SITIOS '!$C$5:$L$1052,3,FALSE())</f>
        <v>45927</v>
      </c>
      <c r="F29" s="23">
        <f>VLOOKUP(C29,'[1]1.CUADRO RESUMEN DE SITIOS '!$C$5:$L$1052,4,FALSE())</f>
        <v>7.3675699999999997</v>
      </c>
      <c r="G29" s="23">
        <f>VLOOKUP(C29,'[1]1.CUADRO RESUMEN DE SITIOS '!$C$5:$L$1052,5,FALSE())</f>
        <v>-72.647900000000007</v>
      </c>
      <c r="H29" s="23" t="str">
        <f>VLOOKUP(C29,'[1]1.CUADRO RESUMEN DE SITIOS '!$C$5:$L$1052,6,FALSE())</f>
        <v>Norte de Santander</v>
      </c>
      <c r="I29" s="23" t="str">
        <f>VLOOKUP(C29,'[1]1.CUADRO RESUMEN DE SITIOS '!$C$5:$L$1052,7,FALSE())</f>
        <v>WOM</v>
      </c>
      <c r="J29" s="25" t="str">
        <f>VLOOKUP(C29,'[1]1.CUADRO RESUMEN DE SITIOS '!$C$5:$L$1052,8,FALSE())</f>
        <v>CENTRO SUR/ NORTE</v>
      </c>
      <c r="K29" s="23" t="str">
        <f>VLOOKUP(C29,'[1]1.CUADRO RESUMEN DE SITIOS '!$C$5:$L$1052,9,FALSE())</f>
        <v>Diego Fernando Cepeda</v>
      </c>
      <c r="L29" s="26" t="str">
        <f>VLOOKUP(C29,'[1]1.CUADRO RESUMEN DE SITIOS '!$C$5:$L$1052,10,FALSE())</f>
        <v>Terminado</v>
      </c>
      <c r="M29" s="26">
        <v>8828119176</v>
      </c>
      <c r="N29" s="26">
        <f>VLOOKUP(M29,[1]LPU!$A$2:$G$1512,2,FALSE())</f>
        <v>2.37</v>
      </c>
      <c r="O29" s="26" t="str">
        <f>VLOOKUP(M29,[1]LPU!$A$2:$G$1512,3,FALSE)</f>
        <v>Capacete 1 1/2" - ICV-6 Iluram</v>
      </c>
      <c r="P29" s="26" t="str">
        <f>VLOOKUP(M29,[1]LPU!$A$2:$G$1512,4,FALSE())</f>
        <v>Mantenimiento Electrico</v>
      </c>
      <c r="Q29" s="26" t="str">
        <f>VLOOKUP(M29,[1]LPU!$A$2:$G$1512,5,FALSE())</f>
        <v>UN</v>
      </c>
      <c r="R29" s="27">
        <f>VLOOKUP(M29,[1]LPU!$A$2:$G$1512,6,FALSE())</f>
        <v>6968.3</v>
      </c>
      <c r="S29" s="27" t="str">
        <f>VLOOKUP(M29,[1]LPU!$A$2:$G$1512,7,FALSE())</f>
        <v>Mantenimiento Electrico</v>
      </c>
      <c r="T29" s="28">
        <v>2</v>
      </c>
      <c r="U29" s="29">
        <f>T29*R29</f>
        <v>13936.6</v>
      </c>
      <c r="V29" s="29" t="s">
        <v>40</v>
      </c>
      <c r="W29" s="30"/>
      <c r="X29" s="29" t="s">
        <v>38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</row>
    <row r="30" spans="1:42" ht="21" customHeight="1" x14ac:dyDescent="0.3">
      <c r="A30" s="22">
        <v>26</v>
      </c>
      <c r="B30" s="23">
        <v>1</v>
      </c>
      <c r="C30" s="23" t="s">
        <v>39</v>
      </c>
      <c r="D30" s="23" t="str">
        <f>VLOOKUP(C30,'[1]1.CUADRO RESUMEN DE SITIOS '!$C$5:$L$1052,2,FALSE())</f>
        <v>NOR_02667</v>
      </c>
      <c r="E30" s="24">
        <f>VLOOKUP(C30,'[1]1.CUADRO RESUMEN DE SITIOS '!$C$5:$L$1052,3,FALSE())</f>
        <v>45927</v>
      </c>
      <c r="F30" s="23">
        <f>VLOOKUP(C30,'[1]1.CUADRO RESUMEN DE SITIOS '!$C$5:$L$1052,4,FALSE())</f>
        <v>7.3675699999999997</v>
      </c>
      <c r="G30" s="23">
        <f>VLOOKUP(C30,'[1]1.CUADRO RESUMEN DE SITIOS '!$C$5:$L$1052,5,FALSE())</f>
        <v>-72.647900000000007</v>
      </c>
      <c r="H30" s="23" t="str">
        <f>VLOOKUP(C30,'[1]1.CUADRO RESUMEN DE SITIOS '!$C$5:$L$1052,6,FALSE())</f>
        <v>Norte de Santander</v>
      </c>
      <c r="I30" s="23" t="str">
        <f>VLOOKUP(C30,'[1]1.CUADRO RESUMEN DE SITIOS '!$C$5:$L$1052,7,FALSE())</f>
        <v>WOM</v>
      </c>
      <c r="J30" s="25" t="str">
        <f>VLOOKUP(C30,'[1]1.CUADRO RESUMEN DE SITIOS '!$C$5:$L$1052,8,FALSE())</f>
        <v>CENTRO SUR/ NORTE</v>
      </c>
      <c r="K30" s="23" t="str">
        <f>VLOOKUP(C30,'[1]1.CUADRO RESUMEN DE SITIOS '!$C$5:$L$1052,9,FALSE())</f>
        <v>Diego Fernando Cepeda</v>
      </c>
      <c r="L30" s="26" t="str">
        <f>VLOOKUP(C30,'[1]1.CUADRO RESUMEN DE SITIOS '!$C$5:$L$1052,10,FALSE())</f>
        <v>Terminado</v>
      </c>
      <c r="M30" s="26">
        <v>8828119760</v>
      </c>
      <c r="N30" s="26">
        <f>VLOOKUP(M30,[1]LPU!$A$2:$G$1512,2,FALSE())</f>
        <v>491</v>
      </c>
      <c r="O30" s="26" t="str">
        <f>VLOOKUP(M30,[1]LPU!$A$2:$G$1512,3,FALSE)</f>
        <v>CABLE CONCENTRICO ANTIFRAUDE AWG 2X8+8c N2 23</v>
      </c>
      <c r="P30" s="26" t="str">
        <f>VLOOKUP(M30,[1]LPU!$A$2:$G$1512,4,FALSE())</f>
        <v>Nivel 2</v>
      </c>
      <c r="Q30" s="26" t="str">
        <f>VLOOKUP(M30,[1]LPU!$A$2:$G$1512,5,FALSE())</f>
        <v>M</v>
      </c>
      <c r="R30" s="27">
        <f>VLOOKUP(M30,[1]LPU!$A$2:$G$1512,6,FALSE())</f>
        <v>19214</v>
      </c>
      <c r="S30" s="27" t="str">
        <f>VLOOKUP(M30,[1]LPU!$A$2:$G$1512,7,FALSE())</f>
        <v>N2</v>
      </c>
      <c r="T30" s="28">
        <v>55</v>
      </c>
      <c r="U30" s="29">
        <v>1056784</v>
      </c>
      <c r="V30" s="29" t="s">
        <v>40</v>
      </c>
      <c r="W30" s="30"/>
      <c r="X30" s="29" t="s">
        <v>38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</row>
    <row r="31" spans="1:42" ht="21" customHeight="1" x14ac:dyDescent="0.3">
      <c r="A31" s="22">
        <v>27</v>
      </c>
      <c r="B31" s="23">
        <v>1</v>
      </c>
      <c r="C31" s="23" t="s">
        <v>39</v>
      </c>
      <c r="D31" s="23" t="str">
        <f>VLOOKUP(C31,'[1]1.CUADRO RESUMEN DE SITIOS '!$C$5:$L$1052,2,FALSE())</f>
        <v>NOR_02667</v>
      </c>
      <c r="E31" s="24">
        <f>VLOOKUP(C31,'[1]1.CUADRO RESUMEN DE SITIOS '!$C$5:$L$1052,3,FALSE())</f>
        <v>45927</v>
      </c>
      <c r="F31" s="23">
        <f>VLOOKUP(C31,'[1]1.CUADRO RESUMEN DE SITIOS '!$C$5:$L$1052,4,FALSE())</f>
        <v>7.3675699999999997</v>
      </c>
      <c r="G31" s="23">
        <f>VLOOKUP(C31,'[1]1.CUADRO RESUMEN DE SITIOS '!$C$5:$L$1052,5,FALSE())</f>
        <v>-72.647900000000007</v>
      </c>
      <c r="H31" s="23" t="str">
        <f>VLOOKUP(C31,'[1]1.CUADRO RESUMEN DE SITIOS '!$C$5:$L$1052,6,FALSE())</f>
        <v>Norte de Santander</v>
      </c>
      <c r="I31" s="23" t="str">
        <f>VLOOKUP(C31,'[1]1.CUADRO RESUMEN DE SITIOS '!$C$5:$L$1052,7,FALSE())</f>
        <v>WOM</v>
      </c>
      <c r="J31" s="25" t="str">
        <f>VLOOKUP(C31,'[1]1.CUADRO RESUMEN DE SITIOS '!$C$5:$L$1052,8,FALSE())</f>
        <v>CENTRO SUR/ NORTE</v>
      </c>
      <c r="K31" s="23" t="str">
        <f>VLOOKUP(C31,'[1]1.CUADRO RESUMEN DE SITIOS '!$C$5:$L$1052,9,FALSE())</f>
        <v>Diego Fernando Cepeda</v>
      </c>
      <c r="L31" s="26" t="str">
        <f>VLOOKUP(C31,'[1]1.CUADRO RESUMEN DE SITIOS '!$C$5:$L$1052,10,FALSE())</f>
        <v>Terminado</v>
      </c>
      <c r="M31" s="26">
        <v>8828119609</v>
      </c>
      <c r="N31" s="26">
        <f>VLOOKUP(M31,[1]LPU!$A$2:$G$1512,2,FALSE())</f>
        <v>198</v>
      </c>
      <c r="O31" s="26" t="str">
        <f>VLOOKUP(M31,[1]LPU!$A$2:$G$1512,3,FALSE)</f>
        <v>Transporte de Equipos y Materiales, Carga y Descarga, desde y hacía Bodega Regional. Mas de 1 Tonelada. ZONA Satelital (Resolución 5078 de 2016)</v>
      </c>
      <c r="P31" s="26" t="str">
        <f>VLOOKUP(M31,[1]LPU!$A$2:$G$1512,4,FALSE())</f>
        <v>LOCATIVO</v>
      </c>
      <c r="Q31" s="26" t="str">
        <f>VLOOKUP(M31,[1]LPU!$A$2:$G$1512,5,FALSE())</f>
        <v>U</v>
      </c>
      <c r="R31" s="27">
        <f>VLOOKUP(M31,[1]LPU!$A$2:$G$1512,6,FALSE())</f>
        <v>1105000</v>
      </c>
      <c r="S31" s="27" t="str">
        <f>VLOOKUP(M31,[1]LPU!$A$2:$G$1512,7,FALSE())</f>
        <v>LPU FLM</v>
      </c>
      <c r="T31" s="28">
        <v>1</v>
      </c>
      <c r="U31" s="29">
        <f t="shared" ref="U31:U66" si="1">T31*R31</f>
        <v>1105000</v>
      </c>
      <c r="V31" s="29" t="s">
        <v>40</v>
      </c>
      <c r="W31" s="30"/>
      <c r="X31" s="29" t="s">
        <v>38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</row>
    <row r="32" spans="1:42" ht="21" customHeight="1" x14ac:dyDescent="0.3">
      <c r="A32" s="22">
        <v>28</v>
      </c>
      <c r="B32" s="23">
        <v>1</v>
      </c>
      <c r="C32" s="23" t="s">
        <v>39</v>
      </c>
      <c r="D32" s="23" t="str">
        <f>VLOOKUP(C32,'[1]1.CUADRO RESUMEN DE SITIOS '!$C$5:$L$1052,2,FALSE())</f>
        <v>NOR_02667</v>
      </c>
      <c r="E32" s="24">
        <f>VLOOKUP(C32,'[1]1.CUADRO RESUMEN DE SITIOS '!$C$5:$L$1052,3,FALSE())</f>
        <v>45927</v>
      </c>
      <c r="F32" s="23">
        <f>VLOOKUP(C32,'[1]1.CUADRO RESUMEN DE SITIOS '!$C$5:$L$1052,4,FALSE())</f>
        <v>7.3675699999999997</v>
      </c>
      <c r="G32" s="23">
        <f>VLOOKUP(C32,'[1]1.CUADRO RESUMEN DE SITIOS '!$C$5:$L$1052,5,FALSE())</f>
        <v>-72.647900000000007</v>
      </c>
      <c r="H32" s="23" t="str">
        <f>VLOOKUP(C32,'[1]1.CUADRO RESUMEN DE SITIOS '!$C$5:$L$1052,6,FALSE())</f>
        <v>Norte de Santander</v>
      </c>
      <c r="I32" s="23" t="str">
        <f>VLOOKUP(C32,'[1]1.CUADRO RESUMEN DE SITIOS '!$C$5:$L$1052,7,FALSE())</f>
        <v>WOM</v>
      </c>
      <c r="J32" s="25" t="str">
        <f>VLOOKUP(C32,'[1]1.CUADRO RESUMEN DE SITIOS '!$C$5:$L$1052,8,FALSE())</f>
        <v>CENTRO SUR/ NORTE</v>
      </c>
      <c r="K32" s="23" t="str">
        <f>VLOOKUP(C32,'[1]1.CUADRO RESUMEN DE SITIOS '!$C$5:$L$1052,9,FALSE())</f>
        <v>Diego Fernando Cepeda</v>
      </c>
      <c r="L32" s="26" t="str">
        <f>VLOOKUP(C32,'[1]1.CUADRO RESUMEN DE SITIOS '!$C$5:$L$1052,10,FALSE())</f>
        <v>Terminado</v>
      </c>
      <c r="M32" s="26">
        <v>8828119110</v>
      </c>
      <c r="N32" s="26">
        <f>VLOOKUP(M32,[1]LPU!$A$2:$G$1512,2,FALSE())</f>
        <v>107</v>
      </c>
      <c r="O32" s="26" t="str">
        <f>VLOOKUP(M32,[1]LPU!$A$2:$G$1512,3,FALSE)</f>
        <v>Mano de Obra Tecnico Electricista Certficado CONTE</v>
      </c>
      <c r="P32" s="26" t="str">
        <f>VLOOKUP(M32,[1]LPU!$A$2:$G$1512,4,FALSE())</f>
        <v>ENERGÍA</v>
      </c>
      <c r="Q32" s="26" t="str">
        <f>VLOOKUP(M32,[1]LPU!$A$2:$G$1512,5,FALSE())</f>
        <v>DIA</v>
      </c>
      <c r="R32" s="27">
        <f>VLOOKUP(M32,[1]LPU!$A$2:$G$1512,6,FALSE())</f>
        <v>136000</v>
      </c>
      <c r="S32" s="27" t="str">
        <f>VLOOKUP(M32,[1]LPU!$A$2:$G$1512,7,FALSE())</f>
        <v>LPU FLM</v>
      </c>
      <c r="T32" s="28">
        <v>1</v>
      </c>
      <c r="U32" s="29">
        <f t="shared" si="1"/>
        <v>136000</v>
      </c>
      <c r="V32" s="29" t="s">
        <v>40</v>
      </c>
      <c r="W32" s="30"/>
      <c r="X32" s="29" t="s">
        <v>38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</row>
    <row r="33" spans="1:42" ht="21" customHeight="1" x14ac:dyDescent="0.3">
      <c r="A33" s="22">
        <v>29</v>
      </c>
      <c r="B33" s="23">
        <v>1</v>
      </c>
      <c r="C33" s="23" t="s">
        <v>41</v>
      </c>
      <c r="D33" s="23" t="str">
        <f>VLOOKUP(C33,'[1]1.CUADRO RESUMEN DE SITIOS '!$C$5:$L$1052,2,FALSE())</f>
        <v>BOY_00307-</v>
      </c>
      <c r="E33" s="24">
        <f>VLOOKUP(C33,'[1]1.CUADRO RESUMEN DE SITIOS '!$C$5:$L$1052,3,FALSE())</f>
        <v>20</v>
      </c>
      <c r="F33" s="35">
        <f>VLOOKUP(C33,'[1]1.CUADRO RESUMEN DE SITIOS '!$C$5:$L$1052,4,FALSE())</f>
        <v>555488</v>
      </c>
      <c r="G33" s="23">
        <f>VLOOKUP(C33,'[1]1.CUADRO RESUMEN DE SITIOS '!$C$5:$L$1052,5,FALSE())</f>
        <v>-73.87621</v>
      </c>
      <c r="H33" s="23" t="str">
        <f>VLOOKUP(C33,'[1]1.CUADRO RESUMEN DE SITIOS '!$C$5:$L$1052,6,FALSE())</f>
        <v>Boyacá</v>
      </c>
      <c r="I33" s="23" t="str">
        <f>VLOOKUP(C33,'[1]1.CUADRO RESUMEN DE SITIOS '!$C$5:$L$1052,7,FALSE())</f>
        <v>WOM</v>
      </c>
      <c r="J33" s="25" t="str">
        <f>VLOOKUP(C33,'[1]1.CUADRO RESUMEN DE SITIOS '!$C$5:$L$1052,8,FALSE())</f>
        <v>CENTRO SUR/ NORTE</v>
      </c>
      <c r="K33" s="23" t="str">
        <f>VLOOKUP(C33,'[1]1.CUADRO RESUMEN DE SITIOS '!$C$5:$L$1052,9,FALSE())</f>
        <v>Carlos Eduardo Montoya</v>
      </c>
      <c r="L33" s="26" t="str">
        <f>VLOOKUP(C33,'[1]1.CUADRO RESUMEN DE SITIOS '!$C$5:$L$1052,10,FALSE())</f>
        <v>Terminado</v>
      </c>
      <c r="M33" s="26">
        <v>8828119279</v>
      </c>
      <c r="N33" s="26">
        <f>VLOOKUP(M33,[1]LPU!$A$2:$G$1512,2,FALSE())</f>
        <v>2.4900000000000002</v>
      </c>
      <c r="O33" s="26" t="str">
        <f>VLOOKUP(M33,[1]LPU!$A$2:$G$1512,3,FALSE)</f>
        <v>Diagnóstico y reparación de transformador 15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v>
      </c>
      <c r="P33" s="26" t="str">
        <f>VLOOKUP(M33,[1]LPU!$A$2:$G$1512,4,FALSE())</f>
        <v>Mantenimiento Electrico</v>
      </c>
      <c r="Q33" s="26" t="str">
        <f>VLOOKUP(M33,[1]LPU!$A$2:$G$1512,5,FALSE())</f>
        <v>UN</v>
      </c>
      <c r="R33" s="27">
        <f>VLOOKUP(M33,[1]LPU!$A$2:$G$1512,6,FALSE())</f>
        <v>4611612.0999999996</v>
      </c>
      <c r="S33" s="27" t="str">
        <f>VLOOKUP(M33,[1]LPU!$A$2:$G$1512,7,FALSE())</f>
        <v>Mantenimiento Electrico</v>
      </c>
      <c r="T33" s="28">
        <v>1</v>
      </c>
      <c r="U33" s="29">
        <f t="shared" si="1"/>
        <v>4611612.0999999996</v>
      </c>
      <c r="V33" s="29" t="s">
        <v>42</v>
      </c>
      <c r="W33" s="30"/>
      <c r="X33" s="29" t="s">
        <v>38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</row>
    <row r="34" spans="1:42" ht="21" customHeight="1" x14ac:dyDescent="0.3">
      <c r="A34" s="22">
        <v>30</v>
      </c>
      <c r="B34" s="23">
        <v>1</v>
      </c>
      <c r="C34" s="23" t="s">
        <v>43</v>
      </c>
      <c r="D34" s="23" t="str">
        <f>VLOOKUP(C34,'[1]1.CUADRO RESUMEN DE SITIOS '!$C$5:$L$1052,2,FALSE())</f>
        <v>JCOR_00250</v>
      </c>
      <c r="E34" s="24">
        <f>VLOOKUP(C34,'[1]1.CUADRO RESUMEN DE SITIOS '!$C$5:$L$1052,3,FALSE())</f>
        <v>46002</v>
      </c>
      <c r="F34" s="23">
        <f>VLOOKUP(C34,'[1]1.CUADRO RESUMEN DE SITIOS '!$C$5:$L$1052,4,FALSE())</f>
        <v>8.9624400000000009</v>
      </c>
      <c r="G34" s="23">
        <f>VLOOKUP(C34,'[1]1.CUADRO RESUMEN DE SITIOS '!$C$5:$L$1052,5,FALSE())</f>
        <v>-75.293490000000006</v>
      </c>
      <c r="H34" s="23" t="str">
        <f>VLOOKUP(C34,'[1]1.CUADRO RESUMEN DE SITIOS '!$C$5:$L$1052,6,FALSE())</f>
        <v>Cordoba</v>
      </c>
      <c r="I34" s="23" t="str">
        <f>VLOOKUP(C34,'[1]1.CUADRO RESUMEN DE SITIOS '!$C$5:$L$1052,7,FALSE())</f>
        <v>WOM-HUAWEI</v>
      </c>
      <c r="J34" s="25" t="str">
        <f>VLOOKUP(C34,'[1]1.CUADRO RESUMEN DE SITIOS '!$C$5:$L$1052,8,FALSE())</f>
        <v>COSTA</v>
      </c>
      <c r="K34" s="23" t="str">
        <f>VLOOKUP(C34,'[1]1.CUADRO RESUMEN DE SITIOS '!$C$5:$L$1052,9,FALSE())</f>
        <v>Cesar Osorio</v>
      </c>
      <c r="L34" s="26" t="str">
        <f>VLOOKUP(C34,'[1]1.CUADRO RESUMEN DE SITIOS '!$C$5:$L$1052,10,FALSE())</f>
        <v>Terminado</v>
      </c>
      <c r="M34" s="26">
        <v>8828118943</v>
      </c>
      <c r="N34" s="26">
        <f>VLOOKUP(M34,[1]LPU!$A$2:$G$1512,2,FALSE())</f>
        <v>2.09</v>
      </c>
      <c r="O34" s="26" t="str">
        <f>VLOOKUP(M34,[1]LPU!$A$2:$G$1512,3,FALSE)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34" s="26" t="str">
        <f>VLOOKUP(M34,[1]LPU!$A$2:$G$1512,4,FALSE())</f>
        <v>Mantenimiento Electrico</v>
      </c>
      <c r="Q34" s="26" t="str">
        <f>VLOOKUP(M34,[1]LPU!$A$2:$G$1512,5,FALSE())</f>
        <v>Global</v>
      </c>
      <c r="R34" s="27">
        <f>VLOOKUP(M34,[1]LPU!$A$2:$G$1512,6,FALSE())</f>
        <v>1086294.8999999999</v>
      </c>
      <c r="S34" s="27" t="str">
        <f>VLOOKUP(M34,[1]LPU!$A$2:$G$1512,7,FALSE())</f>
        <v>Mantenimiento Electrico</v>
      </c>
      <c r="T34" s="28">
        <v>1</v>
      </c>
      <c r="U34" s="29">
        <f t="shared" si="1"/>
        <v>1086294.8999999999</v>
      </c>
      <c r="V34" s="29" t="s">
        <v>44</v>
      </c>
      <c r="W34" s="30"/>
      <c r="X34" s="29" t="s">
        <v>45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</row>
    <row r="35" spans="1:42" ht="21" customHeight="1" x14ac:dyDescent="0.3">
      <c r="A35" s="22">
        <v>31</v>
      </c>
      <c r="B35" s="23">
        <v>1</v>
      </c>
      <c r="C35" s="23" t="s">
        <v>43</v>
      </c>
      <c r="D35" s="23" t="str">
        <f>VLOOKUP(C35,'[1]1.CUADRO RESUMEN DE SITIOS '!$C$5:$L$1052,2,FALSE())</f>
        <v>JCOR_00250</v>
      </c>
      <c r="E35" s="24">
        <f>VLOOKUP(C35,'[1]1.CUADRO RESUMEN DE SITIOS '!$C$5:$L$1052,3,FALSE())</f>
        <v>46002</v>
      </c>
      <c r="F35" s="23">
        <f>VLOOKUP(C35,'[1]1.CUADRO RESUMEN DE SITIOS '!$C$5:$L$1052,4,FALSE())</f>
        <v>8.9624400000000009</v>
      </c>
      <c r="G35" s="23">
        <f>VLOOKUP(C35,'[1]1.CUADRO RESUMEN DE SITIOS '!$C$5:$L$1052,5,FALSE())</f>
        <v>-75.293490000000006</v>
      </c>
      <c r="H35" s="23" t="str">
        <f>VLOOKUP(C35,'[1]1.CUADRO RESUMEN DE SITIOS '!$C$5:$L$1052,6,FALSE())</f>
        <v>Cordoba</v>
      </c>
      <c r="I35" s="23" t="str">
        <f>VLOOKUP(C35,'[1]1.CUADRO RESUMEN DE SITIOS '!$C$5:$L$1052,7,FALSE())</f>
        <v>WOM-HUAWEI</v>
      </c>
      <c r="J35" s="25" t="str">
        <f>VLOOKUP(C35,'[1]1.CUADRO RESUMEN DE SITIOS '!$C$5:$L$1052,8,FALSE())</f>
        <v>COSTA</v>
      </c>
      <c r="K35" s="23" t="str">
        <f>VLOOKUP(C35,'[1]1.CUADRO RESUMEN DE SITIOS '!$C$5:$L$1052,9,FALSE())</f>
        <v>Cesar Osorio</v>
      </c>
      <c r="L35" s="26" t="str">
        <f>VLOOKUP(C35,'[1]1.CUADRO RESUMEN DE SITIOS '!$C$5:$L$1052,10,FALSE())</f>
        <v>Terminado</v>
      </c>
      <c r="M35" s="26">
        <v>8828120200</v>
      </c>
      <c r="N35" s="26">
        <f>VLOOKUP(M35,[1]LPU!$A$2:$G$1512,2,FALSE())</f>
        <v>57</v>
      </c>
      <c r="O35" s="26" t="str">
        <f>VLOOKUP(M35,[1]LPU!$A$2:$G$1512,3,FALSE)</f>
        <v>Apertura y Cierre de Cañuelas incluye Fusible</v>
      </c>
      <c r="P35" s="26" t="str">
        <f>VLOOKUP(M35,[1]LPU!$A$2:$G$1512,4,FALSE())</f>
        <v>ENERGÍA</v>
      </c>
      <c r="Q35" s="26" t="str">
        <f>VLOOKUP(M35,[1]LPU!$A$2:$G$1512,5,FALSE())</f>
        <v>U</v>
      </c>
      <c r="R35" s="27">
        <f>VLOOKUP(M35,[1]LPU!$A$2:$G$1512,6,FALSE())</f>
        <v>51840</v>
      </c>
      <c r="S35" s="27" t="str">
        <f>VLOOKUP(M35,[1]LPU!$A$2:$G$1512,7,FALSE())</f>
        <v>LPU FLM</v>
      </c>
      <c r="T35" s="28">
        <v>4</v>
      </c>
      <c r="U35" s="29">
        <f t="shared" si="1"/>
        <v>207360</v>
      </c>
      <c r="V35" s="29" t="s">
        <v>44</v>
      </c>
      <c r="W35" s="30"/>
      <c r="X35" s="29" t="s">
        <v>45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2" ht="21" customHeight="1" x14ac:dyDescent="0.3">
      <c r="A36" s="22">
        <v>32</v>
      </c>
      <c r="B36" s="23">
        <v>1</v>
      </c>
      <c r="C36" s="23" t="s">
        <v>43</v>
      </c>
      <c r="D36" s="23" t="str">
        <f>VLOOKUP(C36,'[1]1.CUADRO RESUMEN DE SITIOS '!$C$5:$L$1052,2,FALSE())</f>
        <v>JCOR_00250</v>
      </c>
      <c r="E36" s="24">
        <f>VLOOKUP(C36,'[1]1.CUADRO RESUMEN DE SITIOS '!$C$5:$L$1052,3,FALSE())</f>
        <v>46002</v>
      </c>
      <c r="F36" s="23">
        <f>VLOOKUP(C36,'[1]1.CUADRO RESUMEN DE SITIOS '!$C$5:$L$1052,4,FALSE())</f>
        <v>8.9624400000000009</v>
      </c>
      <c r="G36" s="23">
        <f>VLOOKUP(C36,'[1]1.CUADRO RESUMEN DE SITIOS '!$C$5:$L$1052,5,FALSE())</f>
        <v>-75.293490000000006</v>
      </c>
      <c r="H36" s="23" t="str">
        <f>VLOOKUP(C36,'[1]1.CUADRO RESUMEN DE SITIOS '!$C$5:$L$1052,6,FALSE())</f>
        <v>Cordoba</v>
      </c>
      <c r="I36" s="23" t="str">
        <f>VLOOKUP(C36,'[1]1.CUADRO RESUMEN DE SITIOS '!$C$5:$L$1052,7,FALSE())</f>
        <v>WOM-HUAWEI</v>
      </c>
      <c r="J36" s="25" t="str">
        <f>VLOOKUP(C36,'[1]1.CUADRO RESUMEN DE SITIOS '!$C$5:$L$1052,8,FALSE())</f>
        <v>COSTA</v>
      </c>
      <c r="K36" s="23" t="str">
        <f>VLOOKUP(C36,'[1]1.CUADRO RESUMEN DE SITIOS '!$C$5:$L$1052,9,FALSE())</f>
        <v>Cesar Osorio</v>
      </c>
      <c r="L36" s="26" t="str">
        <f>VLOOKUP(C36,'[1]1.CUADRO RESUMEN DE SITIOS '!$C$5:$L$1052,10,FALSE())</f>
        <v>Terminado</v>
      </c>
      <c r="M36" s="26">
        <v>8828119538</v>
      </c>
      <c r="N36" s="26">
        <f>VLOOKUP(M36,[1]LPU!$A$2:$G$1512,2,FALSE())</f>
        <v>21</v>
      </c>
      <c r="O36" s="26" t="str">
        <f>VLOOKUP(M36,[1]LPU!$A$2:$G$1512,3,FALSE)</f>
        <v>CORTACIRCUITO 15KV 100A N2 23</v>
      </c>
      <c r="P36" s="26" t="str">
        <f>VLOOKUP(M36,[1]LPU!$A$2:$G$1512,4,FALSE())</f>
        <v>Nivel 2</v>
      </c>
      <c r="Q36" s="26" t="str">
        <f>VLOOKUP(M36,[1]LPU!$A$2:$G$1512,5,FALSE())</f>
        <v>Uni</v>
      </c>
      <c r="R36" s="27">
        <f>VLOOKUP(M36,[1]LPU!$A$2:$G$1512,6,FALSE())</f>
        <v>225713</v>
      </c>
      <c r="S36" s="27" t="str">
        <f>VLOOKUP(M36,[1]LPU!$A$2:$G$1512,7,FALSE())</f>
        <v>N2</v>
      </c>
      <c r="T36" s="28">
        <v>3</v>
      </c>
      <c r="U36" s="29">
        <f t="shared" si="1"/>
        <v>677139</v>
      </c>
      <c r="V36" s="29" t="s">
        <v>44</v>
      </c>
      <c r="W36" s="30"/>
      <c r="X36" s="29" t="s">
        <v>45</v>
      </c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21" customHeight="1" x14ac:dyDescent="0.3">
      <c r="A37" s="22">
        <v>33</v>
      </c>
      <c r="B37" s="23">
        <v>1</v>
      </c>
      <c r="C37" s="23" t="s">
        <v>43</v>
      </c>
      <c r="D37" s="23" t="str">
        <f>VLOOKUP(C37,'[1]1.CUADRO RESUMEN DE SITIOS '!$C$5:$L$1052,2,FALSE())</f>
        <v>JCOR_00250</v>
      </c>
      <c r="E37" s="24">
        <f>VLOOKUP(C37,'[1]1.CUADRO RESUMEN DE SITIOS '!$C$5:$L$1052,3,FALSE())</f>
        <v>46002</v>
      </c>
      <c r="F37" s="23">
        <f>VLOOKUP(C37,'[1]1.CUADRO RESUMEN DE SITIOS '!$C$5:$L$1052,4,FALSE())</f>
        <v>8.9624400000000009</v>
      </c>
      <c r="G37" s="23">
        <f>VLOOKUP(C37,'[1]1.CUADRO RESUMEN DE SITIOS '!$C$5:$L$1052,5,FALSE())</f>
        <v>-75.293490000000006</v>
      </c>
      <c r="H37" s="23" t="str">
        <f>VLOOKUP(C37,'[1]1.CUADRO RESUMEN DE SITIOS '!$C$5:$L$1052,6,FALSE())</f>
        <v>Cordoba</v>
      </c>
      <c r="I37" s="23" t="str">
        <f>VLOOKUP(C37,'[1]1.CUADRO RESUMEN DE SITIOS '!$C$5:$L$1052,7,FALSE())</f>
        <v>WOM-HUAWEI</v>
      </c>
      <c r="J37" s="25" t="str">
        <f>VLOOKUP(C37,'[1]1.CUADRO RESUMEN DE SITIOS '!$C$5:$L$1052,8,FALSE())</f>
        <v>COSTA</v>
      </c>
      <c r="K37" s="23" t="str">
        <f>VLOOKUP(C37,'[1]1.CUADRO RESUMEN DE SITIOS '!$C$5:$L$1052,9,FALSE())</f>
        <v>Cesar Osorio</v>
      </c>
      <c r="L37" s="26" t="str">
        <f>VLOOKUP(C37,'[1]1.CUADRO RESUMEN DE SITIOS '!$C$5:$L$1052,10,FALSE())</f>
        <v>Terminado</v>
      </c>
      <c r="M37" s="26">
        <v>8828118979</v>
      </c>
      <c r="N37" s="26">
        <f>VLOOKUP(M37,[1]LPU!$A$2:$G$1512,2,FALSE())</f>
        <v>157</v>
      </c>
      <c r="O37" s="26" t="str">
        <f>VLOOKUP(M37,[1]LPU!$A$2:$G$1512,3,FALSE)</f>
        <v>PARARRAYOS DE 13 2 KV N2 23</v>
      </c>
      <c r="P37" s="26" t="str">
        <f>VLOOKUP(M37,[1]LPU!$A$2:$G$1512,4,FALSE())</f>
        <v>Nivel 2</v>
      </c>
      <c r="Q37" s="26" t="str">
        <f>VLOOKUP(M37,[1]LPU!$A$2:$G$1512,5,FALSE())</f>
        <v>Uni</v>
      </c>
      <c r="R37" s="27">
        <f>VLOOKUP(M37,[1]LPU!$A$2:$G$1512,6,FALSE())</f>
        <v>397488</v>
      </c>
      <c r="S37" s="27" t="str">
        <f>VLOOKUP(M37,[1]LPU!$A$2:$G$1512,7,FALSE())</f>
        <v>N2</v>
      </c>
      <c r="T37" s="28">
        <v>3</v>
      </c>
      <c r="U37" s="29">
        <f t="shared" si="1"/>
        <v>1192464</v>
      </c>
      <c r="V37" s="29" t="s">
        <v>44</v>
      </c>
      <c r="W37" s="30"/>
      <c r="X37" s="29" t="s">
        <v>45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</row>
    <row r="38" spans="1:42" ht="21" customHeight="1" x14ac:dyDescent="0.3">
      <c r="A38" s="22">
        <v>34</v>
      </c>
      <c r="B38" s="23">
        <v>1</v>
      </c>
      <c r="C38" s="23" t="s">
        <v>43</v>
      </c>
      <c r="D38" s="23" t="str">
        <f>VLOOKUP(C38,'[1]1.CUADRO RESUMEN DE SITIOS '!$C$5:$L$1052,2,FALSE())</f>
        <v>JCOR_00250</v>
      </c>
      <c r="E38" s="24">
        <f>VLOOKUP(C38,'[1]1.CUADRO RESUMEN DE SITIOS '!$C$5:$L$1052,3,FALSE())</f>
        <v>46002</v>
      </c>
      <c r="F38" s="23">
        <f>VLOOKUP(C38,'[1]1.CUADRO RESUMEN DE SITIOS '!$C$5:$L$1052,4,FALSE())</f>
        <v>8.9624400000000009</v>
      </c>
      <c r="G38" s="23">
        <f>VLOOKUP(C38,'[1]1.CUADRO RESUMEN DE SITIOS '!$C$5:$L$1052,5,FALSE())</f>
        <v>-75.293490000000006</v>
      </c>
      <c r="H38" s="23" t="str">
        <f>VLOOKUP(C38,'[1]1.CUADRO RESUMEN DE SITIOS '!$C$5:$L$1052,6,FALSE())</f>
        <v>Cordoba</v>
      </c>
      <c r="I38" s="23" t="str">
        <f>VLOOKUP(C38,'[1]1.CUADRO RESUMEN DE SITIOS '!$C$5:$L$1052,7,FALSE())</f>
        <v>WOM-HUAWEI</v>
      </c>
      <c r="J38" s="25" t="str">
        <f>VLOOKUP(C38,'[1]1.CUADRO RESUMEN DE SITIOS '!$C$5:$L$1052,8,FALSE())</f>
        <v>COSTA</v>
      </c>
      <c r="K38" s="23" t="str">
        <f>VLOOKUP(C38,'[1]1.CUADRO RESUMEN DE SITIOS '!$C$5:$L$1052,9,FALSE())</f>
        <v>Cesar Osorio</v>
      </c>
      <c r="L38" s="26" t="str">
        <f>VLOOKUP(C38,'[1]1.CUADRO RESUMEN DE SITIOS '!$C$5:$L$1052,10,FALSE())</f>
        <v>Terminado</v>
      </c>
      <c r="M38" s="26">
        <v>8828119110</v>
      </c>
      <c r="N38" s="26">
        <f>VLOOKUP(M38,[1]LPU!$A$2:$G$1512,2,FALSE())</f>
        <v>107</v>
      </c>
      <c r="O38" s="26" t="str">
        <f>VLOOKUP(M38,[1]LPU!$A$2:$G$1512,3,FALSE)</f>
        <v>Mano de Obra Tecnico Electricista Certficado CONTE</v>
      </c>
      <c r="P38" s="26" t="str">
        <f>VLOOKUP(M38,[1]LPU!$A$2:$G$1512,4,FALSE())</f>
        <v>ENERGÍA</v>
      </c>
      <c r="Q38" s="26" t="str">
        <f>VLOOKUP(M38,[1]LPU!$A$2:$G$1512,5,FALSE())</f>
        <v>DIA</v>
      </c>
      <c r="R38" s="27">
        <f>VLOOKUP(M38,[1]LPU!$A$2:$G$1512,6,FALSE())</f>
        <v>136000</v>
      </c>
      <c r="S38" s="27" t="str">
        <f>VLOOKUP(M38,[1]LPU!$A$2:$G$1512,7,FALSE())</f>
        <v>LPU FLM</v>
      </c>
      <c r="T38" s="28">
        <v>2</v>
      </c>
      <c r="U38" s="29">
        <f t="shared" si="1"/>
        <v>272000</v>
      </c>
      <c r="V38" s="29" t="s">
        <v>44</v>
      </c>
      <c r="W38" s="30"/>
      <c r="X38" s="29" t="s">
        <v>45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</row>
    <row r="39" spans="1:42" ht="21" customHeight="1" x14ac:dyDescent="0.3">
      <c r="A39" s="22">
        <v>35</v>
      </c>
      <c r="B39" s="23">
        <v>1</v>
      </c>
      <c r="C39" s="23" t="s">
        <v>43</v>
      </c>
      <c r="D39" s="23" t="str">
        <f>VLOOKUP(C39,'[1]1.CUADRO RESUMEN DE SITIOS '!$C$5:$L$1052,2,FALSE())</f>
        <v>JCOR_00250</v>
      </c>
      <c r="E39" s="24">
        <f>VLOOKUP(C39,'[1]1.CUADRO RESUMEN DE SITIOS '!$C$5:$L$1052,3,FALSE())</f>
        <v>46002</v>
      </c>
      <c r="F39" s="23">
        <f>VLOOKUP(C39,'[1]1.CUADRO RESUMEN DE SITIOS '!$C$5:$L$1052,4,FALSE())</f>
        <v>8.9624400000000009</v>
      </c>
      <c r="G39" s="23">
        <f>VLOOKUP(C39,'[1]1.CUADRO RESUMEN DE SITIOS '!$C$5:$L$1052,5,FALSE())</f>
        <v>-75.293490000000006</v>
      </c>
      <c r="H39" s="23" t="str">
        <f>VLOOKUP(C39,'[1]1.CUADRO RESUMEN DE SITIOS '!$C$5:$L$1052,6,FALSE())</f>
        <v>Cordoba</v>
      </c>
      <c r="I39" s="23" t="str">
        <f>VLOOKUP(C39,'[1]1.CUADRO RESUMEN DE SITIOS '!$C$5:$L$1052,7,FALSE())</f>
        <v>WOM-HUAWEI</v>
      </c>
      <c r="J39" s="25" t="str">
        <f>VLOOKUP(C39,'[1]1.CUADRO RESUMEN DE SITIOS '!$C$5:$L$1052,8,FALSE())</f>
        <v>COSTA</v>
      </c>
      <c r="K39" s="23" t="str">
        <f>VLOOKUP(C39,'[1]1.CUADRO RESUMEN DE SITIOS '!$C$5:$L$1052,9,FALSE())</f>
        <v>Cesar Osorio</v>
      </c>
      <c r="L39" s="26" t="str">
        <f>VLOOKUP(C39,'[1]1.CUADRO RESUMEN DE SITIOS '!$C$5:$L$1052,10,FALSE())</f>
        <v>Terminado</v>
      </c>
      <c r="M39" s="26">
        <v>8828119214</v>
      </c>
      <c r="N39" s="26">
        <f>VLOOKUP(M39,[1]LPU!$A$2:$G$1512,2,FALSE())</f>
        <v>2.41</v>
      </c>
      <c r="O39" s="26" t="str">
        <f>VLOOKUP(M39,[1]LPU!$A$2:$G$1512,3,FALSE)</f>
        <v>Coraza Tipo Americano 1", Incluye canalización, uniones, terminales, curvas y accesorios de fijación. (1 curva equivale a 1 ml). Incluye retiro de escombros.</v>
      </c>
      <c r="P39" s="26" t="str">
        <f>VLOOKUP(M39,[1]LPU!$A$2:$G$1512,4,FALSE())</f>
        <v>Mantenimiento Electrico</v>
      </c>
      <c r="Q39" s="26" t="str">
        <f>VLOOKUP(M39,[1]LPU!$A$2:$G$1512,5,FALSE())</f>
        <v>ML</v>
      </c>
      <c r="R39" s="27">
        <f>VLOOKUP(M39,[1]LPU!$A$2:$G$1512,6,FALSE())</f>
        <v>21564.5</v>
      </c>
      <c r="S39" s="27" t="str">
        <f>VLOOKUP(M39,[1]LPU!$A$2:$G$1512,7,FALSE())</f>
        <v>Mantenimiento Electrico</v>
      </c>
      <c r="T39" s="28">
        <v>1</v>
      </c>
      <c r="U39" s="29">
        <f t="shared" si="1"/>
        <v>21564.5</v>
      </c>
      <c r="V39" s="29" t="s">
        <v>44</v>
      </c>
      <c r="W39" s="30"/>
      <c r="X39" s="29" t="s">
        <v>45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ht="21" customHeight="1" x14ac:dyDescent="0.3">
      <c r="A40" s="22">
        <v>36</v>
      </c>
      <c r="B40" s="23">
        <v>1</v>
      </c>
      <c r="C40" s="23" t="s">
        <v>43</v>
      </c>
      <c r="D40" s="23" t="str">
        <f>VLOOKUP(C40,'[1]1.CUADRO RESUMEN DE SITIOS '!$C$5:$L$1052,2,FALSE())</f>
        <v>JCOR_00250</v>
      </c>
      <c r="E40" s="24">
        <f>VLOOKUP(C40,'[1]1.CUADRO RESUMEN DE SITIOS '!$C$5:$L$1052,3,FALSE())</f>
        <v>46002</v>
      </c>
      <c r="F40" s="23">
        <f>VLOOKUP(C40,'[1]1.CUADRO RESUMEN DE SITIOS '!$C$5:$L$1052,4,FALSE())</f>
        <v>8.9624400000000009</v>
      </c>
      <c r="G40" s="23">
        <f>VLOOKUP(C40,'[1]1.CUADRO RESUMEN DE SITIOS '!$C$5:$L$1052,5,FALSE())</f>
        <v>-75.293490000000006</v>
      </c>
      <c r="H40" s="23" t="str">
        <f>VLOOKUP(C40,'[1]1.CUADRO RESUMEN DE SITIOS '!$C$5:$L$1052,6,FALSE())</f>
        <v>Cordoba</v>
      </c>
      <c r="I40" s="23" t="str">
        <f>VLOOKUP(C40,'[1]1.CUADRO RESUMEN DE SITIOS '!$C$5:$L$1052,7,FALSE())</f>
        <v>WOM-HUAWEI</v>
      </c>
      <c r="J40" s="25" t="str">
        <f>VLOOKUP(C40,'[1]1.CUADRO RESUMEN DE SITIOS '!$C$5:$L$1052,8,FALSE())</f>
        <v>COSTA</v>
      </c>
      <c r="K40" s="23" t="str">
        <f>VLOOKUP(C40,'[1]1.CUADRO RESUMEN DE SITIOS '!$C$5:$L$1052,9,FALSE())</f>
        <v>Cesar Osorio</v>
      </c>
      <c r="L40" s="26" t="str">
        <f>VLOOKUP(C40,'[1]1.CUADRO RESUMEN DE SITIOS '!$C$5:$L$1052,10,FALSE())</f>
        <v>Terminado</v>
      </c>
      <c r="M40" s="26">
        <v>8828118967</v>
      </c>
      <c r="N40" s="26">
        <f>VLOOKUP(M40,[1]LPU!$A$2:$G$1512,2,FALSE())</f>
        <v>114</v>
      </c>
      <c r="O40" s="26" t="str">
        <f>VLOOKUP(M40,[1]LPU!$A$2:$G$1512,3,FALSE)</f>
        <v>HEBILLAS CINTA BANDIT 5/8" N2 23</v>
      </c>
      <c r="P40" s="26" t="str">
        <f>VLOOKUP(M40,[1]LPU!$A$2:$G$1512,4,FALSE())</f>
        <v>Nivel 2</v>
      </c>
      <c r="Q40" s="26" t="str">
        <f>VLOOKUP(M40,[1]LPU!$A$2:$G$1512,5,FALSE())</f>
        <v>Uni</v>
      </c>
      <c r="R40" s="27">
        <f>VLOOKUP(M40,[1]LPU!$A$2:$G$1512,6,FALSE())</f>
        <v>626</v>
      </c>
      <c r="S40" s="27" t="str">
        <f>VLOOKUP(M40,[1]LPU!$A$2:$G$1512,7,FALSE())</f>
        <v>N2</v>
      </c>
      <c r="T40" s="28">
        <v>2</v>
      </c>
      <c r="U40" s="29">
        <f t="shared" si="1"/>
        <v>1252</v>
      </c>
      <c r="V40" s="29" t="s">
        <v>44</v>
      </c>
      <c r="W40" s="30"/>
      <c r="X40" s="29" t="s">
        <v>45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ht="21" customHeight="1" x14ac:dyDescent="0.3">
      <c r="A41" s="22">
        <v>37</v>
      </c>
      <c r="B41" s="23">
        <v>1</v>
      </c>
      <c r="C41" s="23" t="s">
        <v>43</v>
      </c>
      <c r="D41" s="23" t="str">
        <f>VLOOKUP(C41,'[1]1.CUADRO RESUMEN DE SITIOS '!$C$5:$L$1052,2,FALSE())</f>
        <v>JCOR_00250</v>
      </c>
      <c r="E41" s="24">
        <f>VLOOKUP(C41,'[1]1.CUADRO RESUMEN DE SITIOS '!$C$5:$L$1052,3,FALSE())</f>
        <v>46002</v>
      </c>
      <c r="F41" s="23">
        <f>VLOOKUP(C41,'[1]1.CUADRO RESUMEN DE SITIOS '!$C$5:$L$1052,4,FALSE())</f>
        <v>8.9624400000000009</v>
      </c>
      <c r="G41" s="23">
        <f>VLOOKUP(C41,'[1]1.CUADRO RESUMEN DE SITIOS '!$C$5:$L$1052,5,FALSE())</f>
        <v>-75.293490000000006</v>
      </c>
      <c r="H41" s="23" t="str">
        <f>VLOOKUP(C41,'[1]1.CUADRO RESUMEN DE SITIOS '!$C$5:$L$1052,6,FALSE())</f>
        <v>Cordoba</v>
      </c>
      <c r="I41" s="23" t="str">
        <f>VLOOKUP(C41,'[1]1.CUADRO RESUMEN DE SITIOS '!$C$5:$L$1052,7,FALSE())</f>
        <v>WOM-HUAWEI</v>
      </c>
      <c r="J41" s="25" t="str">
        <f>VLOOKUP(C41,'[1]1.CUADRO RESUMEN DE SITIOS '!$C$5:$L$1052,8,FALSE())</f>
        <v>COSTA</v>
      </c>
      <c r="K41" s="23" t="str">
        <f>VLOOKUP(C41,'[1]1.CUADRO RESUMEN DE SITIOS '!$C$5:$L$1052,9,FALSE())</f>
        <v>Cesar Osorio</v>
      </c>
      <c r="L41" s="26" t="str">
        <f>VLOOKUP(C41,'[1]1.CUADRO RESUMEN DE SITIOS '!$C$5:$L$1052,10,FALSE())</f>
        <v>Terminado</v>
      </c>
      <c r="M41" s="26">
        <v>8828119178</v>
      </c>
      <c r="N41" s="26">
        <f>VLOOKUP(M41,[1]LPU!$A$2:$G$1512,2,FALSE())</f>
        <v>516</v>
      </c>
      <c r="O41" s="26" t="str">
        <f>VLOOKUP(M41,[1]LPU!$A$2:$G$1512,3,FALSE)</f>
        <v>CINTA BANDIT 3/4” N2 23</v>
      </c>
      <c r="P41" s="26" t="str">
        <f>VLOOKUP(M41,[1]LPU!$A$2:$G$1512,4,FALSE())</f>
        <v>Nivel 2</v>
      </c>
      <c r="Q41" s="26" t="str">
        <f>VLOOKUP(M41,[1]LPU!$A$2:$G$1512,5,FALSE())</f>
        <v>Uni</v>
      </c>
      <c r="R41" s="27">
        <f>VLOOKUP(M41,[1]LPU!$A$2:$G$1512,6,FALSE())</f>
        <v>4997</v>
      </c>
      <c r="S41" s="27" t="str">
        <f>VLOOKUP(M41,[1]LPU!$A$2:$G$1512,7,FALSE())</f>
        <v>N2</v>
      </c>
      <c r="T41" s="28">
        <v>6</v>
      </c>
      <c r="U41" s="29">
        <f t="shared" si="1"/>
        <v>29982</v>
      </c>
      <c r="V41" s="29" t="s">
        <v>44</v>
      </c>
      <c r="W41" s="30"/>
      <c r="X41" s="29" t="s">
        <v>45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</row>
    <row r="42" spans="1:42" ht="21" customHeight="1" x14ac:dyDescent="0.3">
      <c r="A42" s="22">
        <v>38</v>
      </c>
      <c r="B42" s="23">
        <v>1</v>
      </c>
      <c r="C42" s="23" t="s">
        <v>43</v>
      </c>
      <c r="D42" s="23" t="str">
        <f>VLOOKUP(C42,'[1]1.CUADRO RESUMEN DE SITIOS '!$C$5:$L$1052,2,FALSE())</f>
        <v>JCOR_00250</v>
      </c>
      <c r="E42" s="24">
        <f>VLOOKUP(C42,'[1]1.CUADRO RESUMEN DE SITIOS '!$C$5:$L$1052,3,FALSE())</f>
        <v>46002</v>
      </c>
      <c r="F42" s="23">
        <f>VLOOKUP(C42,'[1]1.CUADRO RESUMEN DE SITIOS '!$C$5:$L$1052,4,FALSE())</f>
        <v>8.9624400000000009</v>
      </c>
      <c r="G42" s="23">
        <f>VLOOKUP(C42,'[1]1.CUADRO RESUMEN DE SITIOS '!$C$5:$L$1052,5,FALSE())</f>
        <v>-75.293490000000006</v>
      </c>
      <c r="H42" s="23" t="str">
        <f>VLOOKUP(C42,'[1]1.CUADRO RESUMEN DE SITIOS '!$C$5:$L$1052,6,FALSE())</f>
        <v>Cordoba</v>
      </c>
      <c r="I42" s="23" t="str">
        <f>VLOOKUP(C42,'[1]1.CUADRO RESUMEN DE SITIOS '!$C$5:$L$1052,7,FALSE())</f>
        <v>WOM-HUAWEI</v>
      </c>
      <c r="J42" s="25" t="str">
        <f>VLOOKUP(C42,'[1]1.CUADRO RESUMEN DE SITIOS '!$C$5:$L$1052,8,FALSE())</f>
        <v>COSTA</v>
      </c>
      <c r="K42" s="23" t="str">
        <f>VLOOKUP(C42,'[1]1.CUADRO RESUMEN DE SITIOS '!$C$5:$L$1052,9,FALSE())</f>
        <v>Cesar Osorio</v>
      </c>
      <c r="L42" s="26" t="str">
        <f>VLOOKUP(C42,'[1]1.CUADRO RESUMEN DE SITIOS '!$C$5:$L$1052,10,FALSE())</f>
        <v>Terminado</v>
      </c>
      <c r="M42" s="26">
        <v>8828119592</v>
      </c>
      <c r="N42" s="26">
        <f>VLOOKUP(M42,[1]LPU!$A$2:$G$1512,2,FALSE())</f>
        <v>475</v>
      </c>
      <c r="O42" s="26" t="str">
        <f>VLOOKUP(M42,[1]LPU!$A$2:$G$1512,3,FALSE)</f>
        <v>BREAKER ENCHUFABLE TRIPOLAR 3X40A N2 23</v>
      </c>
      <c r="P42" s="26" t="str">
        <f>VLOOKUP(M42,[1]LPU!$A$2:$G$1512,4,FALSE())</f>
        <v>Nivel 2</v>
      </c>
      <c r="Q42" s="26" t="str">
        <f>VLOOKUP(M42,[1]LPU!$A$2:$G$1512,5,FALSE())</f>
        <v>Uni</v>
      </c>
      <c r="R42" s="27">
        <f>VLOOKUP(M42,[1]LPU!$A$2:$G$1512,6,FALSE())</f>
        <v>179591</v>
      </c>
      <c r="S42" s="27" t="str">
        <f>VLOOKUP(M42,[1]LPU!$A$2:$G$1512,7,FALSE())</f>
        <v>N2</v>
      </c>
      <c r="T42" s="28">
        <v>1</v>
      </c>
      <c r="U42" s="29">
        <f t="shared" si="1"/>
        <v>179591</v>
      </c>
      <c r="V42" s="29" t="s">
        <v>44</v>
      </c>
      <c r="W42" s="30"/>
      <c r="X42" s="29" t="s">
        <v>45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</row>
    <row r="43" spans="1:42" ht="21" customHeight="1" x14ac:dyDescent="0.3">
      <c r="A43" s="22">
        <v>39</v>
      </c>
      <c r="B43" s="23">
        <v>1</v>
      </c>
      <c r="C43" s="23" t="s">
        <v>43</v>
      </c>
      <c r="D43" s="23" t="str">
        <f>VLOOKUP(C43,'[1]1.CUADRO RESUMEN DE SITIOS '!$C$5:$L$1052,2,FALSE())</f>
        <v>JCOR_00250</v>
      </c>
      <c r="E43" s="24">
        <f>VLOOKUP(C43,'[1]1.CUADRO RESUMEN DE SITIOS '!$C$5:$L$1052,3,FALSE())</f>
        <v>46002</v>
      </c>
      <c r="F43" s="23">
        <f>VLOOKUP(C43,'[1]1.CUADRO RESUMEN DE SITIOS '!$C$5:$L$1052,4,FALSE())</f>
        <v>8.9624400000000009</v>
      </c>
      <c r="G43" s="23">
        <f>VLOOKUP(C43,'[1]1.CUADRO RESUMEN DE SITIOS '!$C$5:$L$1052,5,FALSE())</f>
        <v>-75.293490000000006</v>
      </c>
      <c r="H43" s="23" t="str">
        <f>VLOOKUP(C43,'[1]1.CUADRO RESUMEN DE SITIOS '!$C$5:$L$1052,6,FALSE())</f>
        <v>Cordoba</v>
      </c>
      <c r="I43" s="23" t="str">
        <f>VLOOKUP(C43,'[1]1.CUADRO RESUMEN DE SITIOS '!$C$5:$L$1052,7,FALSE())</f>
        <v>WOM-HUAWEI</v>
      </c>
      <c r="J43" s="25" t="str">
        <f>VLOOKUP(C43,'[1]1.CUADRO RESUMEN DE SITIOS '!$C$5:$L$1052,8,FALSE())</f>
        <v>COSTA</v>
      </c>
      <c r="K43" s="23" t="str">
        <f>VLOOKUP(C43,'[1]1.CUADRO RESUMEN DE SITIOS '!$C$5:$L$1052,9,FALSE())</f>
        <v>Cesar Osorio</v>
      </c>
      <c r="L43" s="26" t="str">
        <f>VLOOKUP(C43,'[1]1.CUADRO RESUMEN DE SITIOS '!$C$5:$L$1052,10,FALSE())</f>
        <v>Terminado</v>
      </c>
      <c r="M43" s="26">
        <v>8828119436</v>
      </c>
      <c r="N43" s="26">
        <f>VLOOKUP(M43,[1]LPU!$A$2:$G$1512,2,FALSE())</f>
        <v>0</v>
      </c>
      <c r="O43" s="26" t="str">
        <f>VLOOKUP(M43,[1]LPU!$A$2:$G$1512,3,FALSE)</f>
        <v>Suministro e Instalaeiòn de tuberia galvanizada de 1" - Incluye 100% accesorios</v>
      </c>
      <c r="P43" s="26" t="str">
        <f>VLOOKUP(M43,[1]LPU!$A$2:$G$1512,4,FALSE())</f>
        <v>Variables</v>
      </c>
      <c r="Q43" s="26" t="str">
        <f>VLOOKUP(M43,[1]LPU!$A$2:$G$1512,5,FALSE())</f>
        <v>ml</v>
      </c>
      <c r="R43" s="27">
        <f>VLOOKUP(M43,[1]LPU!$A$2:$G$1512,6,FALSE())</f>
        <v>21250</v>
      </c>
      <c r="S43" s="27" t="str">
        <f>VLOOKUP(M43,[1]LPU!$A$2:$G$1512,7,FALSE())</f>
        <v>LPU FO</v>
      </c>
      <c r="T43" s="28">
        <v>6</v>
      </c>
      <c r="U43" s="29">
        <f t="shared" si="1"/>
        <v>127500</v>
      </c>
      <c r="V43" s="29" t="s">
        <v>44</v>
      </c>
      <c r="W43" s="30"/>
      <c r="X43" s="29" t="s">
        <v>45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ht="21" customHeight="1" x14ac:dyDescent="0.3">
      <c r="A44" s="22">
        <v>40</v>
      </c>
      <c r="B44" s="23">
        <v>1</v>
      </c>
      <c r="C44" s="23" t="s">
        <v>43</v>
      </c>
      <c r="D44" s="23" t="str">
        <f>VLOOKUP(C44,'[1]1.CUADRO RESUMEN DE SITIOS '!$C$5:$L$1052,2,FALSE())</f>
        <v>JCOR_00250</v>
      </c>
      <c r="E44" s="24">
        <f>VLOOKUP(C44,'[1]1.CUADRO RESUMEN DE SITIOS '!$C$5:$L$1052,3,FALSE())</f>
        <v>46002</v>
      </c>
      <c r="F44" s="23">
        <f>VLOOKUP(C44,'[1]1.CUADRO RESUMEN DE SITIOS '!$C$5:$L$1052,4,FALSE())</f>
        <v>8.9624400000000009</v>
      </c>
      <c r="G44" s="23">
        <f>VLOOKUP(C44,'[1]1.CUADRO RESUMEN DE SITIOS '!$C$5:$L$1052,5,FALSE())</f>
        <v>-75.293490000000006</v>
      </c>
      <c r="H44" s="23" t="str">
        <f>VLOOKUP(C44,'[1]1.CUADRO RESUMEN DE SITIOS '!$C$5:$L$1052,6,FALSE())</f>
        <v>Cordoba</v>
      </c>
      <c r="I44" s="23" t="str">
        <f>VLOOKUP(C44,'[1]1.CUADRO RESUMEN DE SITIOS '!$C$5:$L$1052,7,FALSE())</f>
        <v>WOM-HUAWEI</v>
      </c>
      <c r="J44" s="25" t="str">
        <f>VLOOKUP(C44,'[1]1.CUADRO RESUMEN DE SITIOS '!$C$5:$L$1052,8,FALSE())</f>
        <v>COSTA</v>
      </c>
      <c r="K44" s="23" t="str">
        <f>VLOOKUP(C44,'[1]1.CUADRO RESUMEN DE SITIOS '!$C$5:$L$1052,9,FALSE())</f>
        <v>Cesar Osorio</v>
      </c>
      <c r="L44" s="26" t="str">
        <f>VLOOKUP(C44,'[1]1.CUADRO RESUMEN DE SITIOS '!$C$5:$L$1052,10,FALSE())</f>
        <v>Terminado</v>
      </c>
      <c r="M44" s="26">
        <v>8828119941</v>
      </c>
      <c r="N44" s="26">
        <f>VLOOKUP(M44,[1]LPU!$A$2:$G$1512,2,FALSE())</f>
        <v>165</v>
      </c>
      <c r="O44" s="26" t="str">
        <f>VLOOKUP(M44,[1]LPU!$A$2:$G$1512,3,FALSE)</f>
        <v>Transporte tipo C, zona de dificil acceso</v>
      </c>
      <c r="P44" s="26" t="str">
        <f>VLOOKUP(M44,[1]LPU!$A$2:$G$1512,4,FALSE())</f>
        <v>LOCATIVO</v>
      </c>
      <c r="Q44" s="26" t="str">
        <f>VLOOKUP(M44,[1]LPU!$A$2:$G$1512,5,FALSE())</f>
        <v>Global</v>
      </c>
      <c r="R44" s="27">
        <f>VLOOKUP(M44,[1]LPU!$A$2:$G$1512,6,FALSE())</f>
        <v>388801.05</v>
      </c>
      <c r="S44" s="27" t="str">
        <f>VLOOKUP(M44,[1]LPU!$A$2:$G$1512,7,FALSE())</f>
        <v>LPU FLM</v>
      </c>
      <c r="T44" s="28">
        <v>1</v>
      </c>
      <c r="U44" s="29">
        <f t="shared" si="1"/>
        <v>388801.05</v>
      </c>
      <c r="V44" s="29" t="s">
        <v>44</v>
      </c>
      <c r="W44" s="30"/>
      <c r="X44" s="29" t="s">
        <v>45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ht="21" customHeight="1" x14ac:dyDescent="0.3">
      <c r="A45" s="22">
        <v>41</v>
      </c>
      <c r="B45" s="23">
        <v>1</v>
      </c>
      <c r="C45" s="23" t="s">
        <v>46</v>
      </c>
      <c r="D45" s="23" t="str">
        <f>VLOOKUP(C45,'[1]1.CUADRO RESUMEN DE SITIOS '!$C$5:$L$1052,2,FALSE())</f>
        <v>JCUN_00197</v>
      </c>
      <c r="E45" s="24">
        <f>VLOOKUP(C45,'[1]1.CUADRO RESUMEN DE SITIOS '!$C$5:$L$1052,3,FALSE())</f>
        <v>45916</v>
      </c>
      <c r="F45" s="23">
        <f>VLOOKUP(C45,'[1]1.CUADRO RESUMEN DE SITIOS '!$C$5:$L$1052,4,FALSE())</f>
        <v>5.1892500000000004</v>
      </c>
      <c r="G45" s="23">
        <f>VLOOKUP(C45,'[1]1.CUADRO RESUMEN DE SITIOS '!$C$5:$L$1052,5,FALSE())</f>
        <v>-74.015029999999996</v>
      </c>
      <c r="H45" s="23" t="str">
        <f>VLOOKUP(C45,'[1]1.CUADRO RESUMEN DE SITIOS '!$C$5:$L$1052,6,FALSE())</f>
        <v>Cundinamarca</v>
      </c>
      <c r="I45" s="23" t="str">
        <f>VLOOKUP(C45,'[1]1.CUADRO RESUMEN DE SITIOS '!$C$5:$L$1052,7,FALSE())</f>
        <v>WOM</v>
      </c>
      <c r="J45" s="25" t="str">
        <f>VLOOKUP(C45,'[1]1.CUADRO RESUMEN DE SITIOS '!$C$5:$L$1052,8,FALSE())</f>
        <v>CENTRO SUR/ NORTE</v>
      </c>
      <c r="K45" s="23" t="str">
        <f>VLOOKUP(C45,'[1]1.CUADRO RESUMEN DE SITIOS '!$C$5:$L$1052,9,FALSE())</f>
        <v>Diego Fernando Cepeda</v>
      </c>
      <c r="L45" s="26" t="str">
        <f>VLOOKUP(C45,'[1]1.CUADRO RESUMEN DE SITIOS '!$C$5:$L$1052,10,FALSE())</f>
        <v>Terminado</v>
      </c>
      <c r="M45" s="26">
        <v>8828120281</v>
      </c>
      <c r="N45" s="26">
        <f>VLOOKUP(M45,[1]LPU!$A$2:$G$1512,2,FALSE())</f>
        <v>5.24</v>
      </c>
      <c r="O45" s="26" t="str">
        <f>VLOOKUP(M45,[1]LPU!$A$2:$G$1512,3,FALSE)</f>
        <v>Cambio de perros de sujeción para riendas de guaya 1/2" galvanizado. Incluye suministro e instalación.</v>
      </c>
      <c r="P45" s="26" t="str">
        <f>VLOOKUP(M45,[1]LPU!$A$2:$G$1512,4,FALSE())</f>
        <v>Mantenimiento CW</v>
      </c>
      <c r="Q45" s="26" t="str">
        <f>VLOOKUP(M45,[1]LPU!$A$2:$G$1512,5,FALSE())</f>
        <v>UND</v>
      </c>
      <c r="R45" s="27">
        <f>VLOOKUP(M45,[1]LPU!$A$2:$G$1512,6,FALSE())</f>
        <v>20898.099999999999</v>
      </c>
      <c r="S45" s="27" t="str">
        <f>VLOOKUP(M45,[1]LPU!$A$2:$G$1512,7,FALSE())</f>
        <v>Mantenimiento CW</v>
      </c>
      <c r="T45" s="28">
        <v>90</v>
      </c>
      <c r="U45" s="29">
        <f t="shared" si="1"/>
        <v>1880828.9999999998</v>
      </c>
      <c r="V45" s="29" t="s">
        <v>47</v>
      </c>
      <c r="W45" s="30"/>
      <c r="X45" s="29" t="s">
        <v>27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ht="21" customHeight="1" x14ac:dyDescent="0.3">
      <c r="A46" s="22">
        <v>42</v>
      </c>
      <c r="B46" s="23">
        <v>1</v>
      </c>
      <c r="C46" s="23" t="s">
        <v>48</v>
      </c>
      <c r="D46" s="23" t="str">
        <f>VLOOKUP(C46,'[1]1.CUADRO RESUMEN DE SITIOS '!$C$5:$L$1052,2,FALSE())</f>
        <v>JCUN_00111</v>
      </c>
      <c r="E46" s="24">
        <f>VLOOKUP(C46,'[1]1.CUADRO RESUMEN DE SITIOS '!$C$5:$L$1052,3,FALSE())</f>
        <v>45917</v>
      </c>
      <c r="F46" s="23">
        <f>VLOOKUP(C46,'[1]1.CUADRO RESUMEN DE SITIOS '!$C$5:$L$1052,4,FALSE())</f>
        <v>4.7912699999999999</v>
      </c>
      <c r="G46" s="23">
        <f>VLOOKUP(C46,'[1]1.CUADRO RESUMEN DE SITIOS '!$C$5:$L$1052,5,FALSE())</f>
        <v>-74.575530000000001</v>
      </c>
      <c r="H46" s="23" t="str">
        <f>VLOOKUP(C46,'[1]1.CUADRO RESUMEN DE SITIOS '!$C$5:$L$1052,6,FALSE())</f>
        <v>Cundinamarca</v>
      </c>
      <c r="I46" s="23" t="str">
        <f>VLOOKUP(C46,'[1]1.CUADRO RESUMEN DE SITIOS '!$C$5:$L$1052,7,FALSE())</f>
        <v>WOM</v>
      </c>
      <c r="J46" s="25" t="str">
        <f>VLOOKUP(C46,'[1]1.CUADRO RESUMEN DE SITIOS '!$C$5:$L$1052,8,FALSE())</f>
        <v>CENTRO SUR/ NORTE</v>
      </c>
      <c r="K46" s="23" t="str">
        <f>VLOOKUP(C46,'[1]1.CUADRO RESUMEN DE SITIOS '!$C$5:$L$1052,9,FALSE())</f>
        <v>Diego Fernando Cepeda</v>
      </c>
      <c r="L46" s="26" t="str">
        <f>VLOOKUP(C46,'[1]1.CUADRO RESUMEN DE SITIOS '!$C$5:$L$1052,10,FALSE())</f>
        <v>Terminado</v>
      </c>
      <c r="M46" s="26">
        <v>8828120281</v>
      </c>
      <c r="N46" s="26">
        <f>VLOOKUP(M46,[1]LPU!$A$2:$G$1512,2,FALSE())</f>
        <v>5.24</v>
      </c>
      <c r="O46" s="26" t="str">
        <f>VLOOKUP(M46,[1]LPU!$A$2:$G$1512,3,FALSE)</f>
        <v>Cambio de perros de sujeción para riendas de guaya 1/2" galvanizado. Incluye suministro e instalación.</v>
      </c>
      <c r="P46" s="26" t="str">
        <f>VLOOKUP(M46,[1]LPU!$A$2:$G$1512,4,FALSE())</f>
        <v>Mantenimiento CW</v>
      </c>
      <c r="Q46" s="26" t="str">
        <f>VLOOKUP(M46,[1]LPU!$A$2:$G$1512,5,FALSE())</f>
        <v>UND</v>
      </c>
      <c r="R46" s="27">
        <f>VLOOKUP(M46,[1]LPU!$A$2:$G$1512,6,FALSE())</f>
        <v>20898.099999999999</v>
      </c>
      <c r="S46" s="27" t="str">
        <f>VLOOKUP(M46,[1]LPU!$A$2:$G$1512,7,FALSE())</f>
        <v>Mantenimiento CW</v>
      </c>
      <c r="T46" s="28">
        <v>10</v>
      </c>
      <c r="U46" s="29">
        <f t="shared" si="1"/>
        <v>208981</v>
      </c>
      <c r="V46" s="29" t="s">
        <v>47</v>
      </c>
      <c r="W46" s="30"/>
      <c r="X46" s="29" t="s">
        <v>27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ht="21" customHeight="1" x14ac:dyDescent="0.3">
      <c r="A47" s="22">
        <v>43</v>
      </c>
      <c r="B47" s="23">
        <v>1</v>
      </c>
      <c r="C47" s="23" t="s">
        <v>49</v>
      </c>
      <c r="D47" s="23" t="str">
        <f>VLOOKUP(C47,'[1]1.CUADRO RESUMEN DE SITIOS '!$C$5:$L$1052,2,FALSE())</f>
        <v>JCUN_00267</v>
      </c>
      <c r="E47" s="24">
        <f>VLOOKUP(C47,'[1]1.CUADRO RESUMEN DE SITIOS '!$C$5:$L$1052,3,FALSE())</f>
        <v>45918</v>
      </c>
      <c r="F47" s="23">
        <f>VLOOKUP(C47,'[1]1.CUADRO RESUMEN DE SITIOS '!$C$5:$L$1052,4,FALSE())</f>
        <v>4.7738060000000004</v>
      </c>
      <c r="G47" s="23">
        <f>VLOOKUP(C47,'[1]1.CUADRO RESUMEN DE SITIOS '!$C$5:$L$1052,5,FALSE())</f>
        <v>-74.575666999999996</v>
      </c>
      <c r="H47" s="23" t="str">
        <f>VLOOKUP(C47,'[1]1.CUADRO RESUMEN DE SITIOS '!$C$5:$L$1052,6,FALSE())</f>
        <v>Cundinamarca</v>
      </c>
      <c r="I47" s="23" t="str">
        <f>VLOOKUP(C47,'[1]1.CUADRO RESUMEN DE SITIOS '!$C$5:$L$1052,7,FALSE())</f>
        <v>WOM</v>
      </c>
      <c r="J47" s="25" t="str">
        <f>VLOOKUP(C47,'[1]1.CUADRO RESUMEN DE SITIOS '!$C$5:$L$1052,8,FALSE())</f>
        <v>CENTRO SUR/ NORTE</v>
      </c>
      <c r="K47" s="23" t="str">
        <f>VLOOKUP(C47,'[1]1.CUADRO RESUMEN DE SITIOS '!$C$5:$L$1052,9,FALSE())</f>
        <v>Diego Fernando Cepeda</v>
      </c>
      <c r="L47" s="26" t="str">
        <f>VLOOKUP(C47,'[1]1.CUADRO RESUMEN DE SITIOS '!$C$5:$L$1052,10,FALSE())</f>
        <v>Terminado</v>
      </c>
      <c r="M47" s="26">
        <v>8828120281</v>
      </c>
      <c r="N47" s="26">
        <f>VLOOKUP(M47,[1]LPU!$A$2:$G$1512,2,FALSE())</f>
        <v>5.24</v>
      </c>
      <c r="O47" s="26" t="str">
        <f>VLOOKUP(M47,[1]LPU!$A$2:$G$1512,3,FALSE)</f>
        <v>Cambio de perros de sujeción para riendas de guaya 1/2" galvanizado. Incluye suministro e instalación.</v>
      </c>
      <c r="P47" s="26" t="str">
        <f>VLOOKUP(M47,[1]LPU!$A$2:$G$1512,4,FALSE())</f>
        <v>Mantenimiento CW</v>
      </c>
      <c r="Q47" s="26" t="str">
        <f>VLOOKUP(M47,[1]LPU!$A$2:$G$1512,5,FALSE())</f>
        <v>UND</v>
      </c>
      <c r="R47" s="27">
        <f>VLOOKUP(M47,[1]LPU!$A$2:$G$1512,6,FALSE())</f>
        <v>20898.099999999999</v>
      </c>
      <c r="S47" s="27" t="str">
        <f>VLOOKUP(M47,[1]LPU!$A$2:$G$1512,7,FALSE())</f>
        <v>Mantenimiento CW</v>
      </c>
      <c r="T47" s="28">
        <v>10</v>
      </c>
      <c r="U47" s="29">
        <f t="shared" si="1"/>
        <v>208981</v>
      </c>
      <c r="V47" s="29" t="s">
        <v>47</v>
      </c>
      <c r="W47" s="30"/>
      <c r="X47" s="29" t="s">
        <v>27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ht="21" customHeight="1" x14ac:dyDescent="0.3">
      <c r="A48" s="22">
        <v>44</v>
      </c>
      <c r="B48" s="23">
        <v>1</v>
      </c>
      <c r="C48" s="23" t="s">
        <v>50</v>
      </c>
      <c r="D48" s="23" t="str">
        <f>VLOOKUP(C48,'[1]1.CUADRO RESUMEN DE SITIOS '!$C$5:$L$1052,2,FALSE())</f>
        <v>CLI_01711</v>
      </c>
      <c r="E48" s="24">
        <f>VLOOKUP(C48,'[1]1.CUADRO RESUMEN DE SITIOS '!$C$5:$L$1052,3,FALSE())</f>
        <v>45901</v>
      </c>
      <c r="F48" s="23">
        <f>VLOOKUP(C48,'[1]1.CUADRO RESUMEN DE SITIOS '!$C$5:$L$1052,4,FALSE())</f>
        <v>0</v>
      </c>
      <c r="G48" s="23">
        <f>VLOOKUP(C48,'[1]1.CUADRO RESUMEN DE SITIOS '!$C$5:$L$1052,5,FALSE())</f>
        <v>0</v>
      </c>
      <c r="H48" s="23" t="str">
        <f>VLOOKUP(C48,'[1]1.CUADRO RESUMEN DE SITIOS '!$C$5:$L$1052,6,FALSE())</f>
        <v>Valle del Cauca</v>
      </c>
      <c r="I48" s="23" t="str">
        <f>VLOOKUP(C48,'[1]1.CUADRO RESUMEN DE SITIOS '!$C$5:$L$1052,7,FALSE())</f>
        <v>UNIRED</v>
      </c>
      <c r="J48" s="25" t="str">
        <f>VLOOKUP(C48,'[1]1.CUADRO RESUMEN DE SITIOS '!$C$5:$L$1052,8,FALSE())</f>
        <v>SUR</v>
      </c>
      <c r="K48" s="23" t="str">
        <f>VLOOKUP(C48,'[1]1.CUADRO RESUMEN DE SITIOS '!$C$5:$L$1052,9,FALSE())</f>
        <v>Wilson Alejandro Solarte</v>
      </c>
      <c r="L48" s="26" t="str">
        <f>VLOOKUP(C48,'[1]1.CUADRO RESUMEN DE SITIOS '!$C$5:$L$1052,10,FALSE())</f>
        <v>Terminado</v>
      </c>
      <c r="M48" s="26">
        <v>1</v>
      </c>
      <c r="N48" s="26">
        <v>1</v>
      </c>
      <c r="O48" s="26" t="s">
        <v>51</v>
      </c>
      <c r="P48" s="26" t="s">
        <v>52</v>
      </c>
      <c r="Q48" s="26" t="s">
        <v>53</v>
      </c>
      <c r="R48" s="27">
        <v>20763899</v>
      </c>
      <c r="S48" s="27" t="s">
        <v>54</v>
      </c>
      <c r="T48" s="28">
        <v>1</v>
      </c>
      <c r="U48" s="29">
        <f t="shared" si="1"/>
        <v>20763899</v>
      </c>
      <c r="V48" s="29" t="s">
        <v>55</v>
      </c>
      <c r="W48" s="30"/>
      <c r="X48" s="29" t="s">
        <v>56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ht="21" customHeight="1" x14ac:dyDescent="0.3">
      <c r="A49" s="22">
        <v>45</v>
      </c>
      <c r="B49" s="23">
        <v>1</v>
      </c>
      <c r="C49" s="23" t="s">
        <v>57</v>
      </c>
      <c r="D49" s="23">
        <f>VLOOKUP(C49,'[1]1.CUADRO RESUMEN DE SITIOS '!$C$5:$L$1052,2,FALSE())</f>
        <v>0</v>
      </c>
      <c r="E49" s="24">
        <f>VLOOKUP(C49,'[1]1.CUADRO RESUMEN DE SITIOS '!$C$5:$L$1052,3,FALSE())</f>
        <v>45928</v>
      </c>
      <c r="F49" s="23">
        <f>VLOOKUP(C49,'[1]1.CUADRO RESUMEN DE SITIOS '!$C$5:$L$1052,4,FALSE())</f>
        <v>0</v>
      </c>
      <c r="G49" s="23">
        <f>VLOOKUP(C49,'[1]1.CUADRO RESUMEN DE SITIOS '!$C$5:$L$1052,5,FALSE())</f>
        <v>0</v>
      </c>
      <c r="H49" s="23" t="str">
        <f>VLOOKUP(C49,'[1]1.CUADRO RESUMEN DE SITIOS '!$C$5:$L$1052,6,FALSE())</f>
        <v>Cundinamarca</v>
      </c>
      <c r="I49" s="23" t="str">
        <f>VLOOKUP(C49,'[1]1.CUADRO RESUMEN DE SITIOS '!$C$5:$L$1052,7,FALSE())</f>
        <v>UNIRED</v>
      </c>
      <c r="J49" s="25" t="str">
        <f>VLOOKUP(C49,'[1]1.CUADRO RESUMEN DE SITIOS '!$C$5:$L$1052,8,FALSE())</f>
        <v>CENTRO SUR/ NORTE</v>
      </c>
      <c r="K49" s="23" t="str">
        <f>VLOOKUP(C49,'[1]1.CUADRO RESUMEN DE SITIOS '!$C$5:$L$1052,9,FALSE())</f>
        <v>Jason Julian Melo</v>
      </c>
      <c r="L49" s="26" t="str">
        <f>VLOOKUP(C49,'[1]1.CUADRO RESUMEN DE SITIOS '!$C$5:$L$1052,10,FALSE())</f>
        <v>Terminado</v>
      </c>
      <c r="M49" s="26">
        <v>1</v>
      </c>
      <c r="N49" s="26">
        <v>1</v>
      </c>
      <c r="O49" s="26" t="s">
        <v>58</v>
      </c>
      <c r="P49" s="26" t="s">
        <v>52</v>
      </c>
      <c r="Q49" s="26" t="s">
        <v>53</v>
      </c>
      <c r="R49" s="37">
        <v>1169800</v>
      </c>
      <c r="S49" s="27" t="s">
        <v>54</v>
      </c>
      <c r="T49" s="28">
        <v>1</v>
      </c>
      <c r="U49" s="29">
        <f t="shared" si="1"/>
        <v>1169800</v>
      </c>
      <c r="V49" s="29" t="s">
        <v>59</v>
      </c>
      <c r="W49" s="30"/>
      <c r="X49" s="29" t="s">
        <v>60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ht="21" customHeight="1" x14ac:dyDescent="0.3">
      <c r="A50" s="22">
        <v>46</v>
      </c>
      <c r="B50" s="23">
        <v>1</v>
      </c>
      <c r="C50" s="23" t="s">
        <v>61</v>
      </c>
      <c r="D50" s="23" t="str">
        <f>VLOOKUP(C50,'[1]1.CUADRO RESUMEN DE SITIOS '!$C$5:$L$1052,2,FALSE())</f>
        <v>NAR0018</v>
      </c>
      <c r="E50" s="24">
        <f>VLOOKUP(C50,'[1]1.CUADRO RESUMEN DE SITIOS '!$C$5:$L$1052,3,FALSE())</f>
        <v>0</v>
      </c>
      <c r="F50" s="23">
        <f>VLOOKUP(C50,'[1]1.CUADRO RESUMEN DE SITIOS '!$C$5:$L$1052,4,FALSE())</f>
        <v>0</v>
      </c>
      <c r="G50" s="23">
        <f>VLOOKUP(C50,'[1]1.CUADRO RESUMEN DE SITIOS '!$C$5:$L$1052,5,FALSE())</f>
        <v>0</v>
      </c>
      <c r="H50" s="23" t="str">
        <f>VLOOKUP(C50,'[1]1.CUADRO RESUMEN DE SITIOS '!$C$5:$L$1052,6,FALSE())</f>
        <v>Nariño</v>
      </c>
      <c r="I50" s="23" t="str">
        <f>VLOOKUP(C50,'[1]1.CUADRO RESUMEN DE SITIOS '!$C$5:$L$1052,7,FALSE())</f>
        <v>UNIRED</v>
      </c>
      <c r="J50" s="25" t="str">
        <f>VLOOKUP(C50,'[1]1.CUADRO RESUMEN DE SITIOS '!$C$5:$L$1052,8,FALSE())</f>
        <v>CENTRO SUR/ NORTE</v>
      </c>
      <c r="K50" s="23">
        <f>VLOOKUP(C50,'[1]1.CUADRO RESUMEN DE SITIOS '!$C$5:$L$1052,9,FALSE())</f>
        <v>0</v>
      </c>
      <c r="L50" s="26" t="str">
        <f>VLOOKUP(C50,'[1]1.CUADRO RESUMEN DE SITIOS '!$C$5:$L$1052,10,FALSE())</f>
        <v>Terminado</v>
      </c>
      <c r="M50" s="26"/>
      <c r="N50" s="26"/>
      <c r="O50" s="26"/>
      <c r="P50" s="26"/>
      <c r="Q50" s="26"/>
      <c r="R50" s="27">
        <v>1485000</v>
      </c>
      <c r="S50" s="27"/>
      <c r="T50" s="28">
        <v>1</v>
      </c>
      <c r="U50" s="29">
        <f t="shared" si="1"/>
        <v>1485000</v>
      </c>
      <c r="V50" s="29" t="s">
        <v>26</v>
      </c>
      <c r="W50" s="30"/>
      <c r="X50" s="29" t="s">
        <v>62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ht="21" customHeight="1" x14ac:dyDescent="0.3">
      <c r="A51" s="22">
        <v>47</v>
      </c>
      <c r="B51" s="23">
        <v>1</v>
      </c>
      <c r="C51" s="23" t="s">
        <v>63</v>
      </c>
      <c r="D51" s="23" t="str">
        <f>VLOOKUP(C51,'[1]1.CUADRO RESUMEN DE SITIOS '!$C$5:$L$1052,2,FALSE())</f>
        <v>BOY-250120</v>
      </c>
      <c r="E51" s="24">
        <f>VLOOKUP(C51,'[1]1.CUADRO RESUMEN DE SITIOS '!$C$5:$L$1052,3,FALSE())</f>
        <v>0</v>
      </c>
      <c r="F51" s="23">
        <f>VLOOKUP(C51,'[1]1.CUADRO RESUMEN DE SITIOS '!$C$5:$L$1052,4,FALSE())</f>
        <v>0</v>
      </c>
      <c r="G51" s="23">
        <f>VLOOKUP(C51,'[1]1.CUADRO RESUMEN DE SITIOS '!$C$5:$L$1052,5,FALSE())</f>
        <v>0</v>
      </c>
      <c r="H51" s="23" t="str">
        <f>VLOOKUP(C51,'[1]1.CUADRO RESUMEN DE SITIOS '!$C$5:$L$1052,6,FALSE())</f>
        <v>Boyacá</v>
      </c>
      <c r="I51" s="23" t="str">
        <f>VLOOKUP(C51,'[1]1.CUADRO RESUMEN DE SITIOS '!$C$5:$L$1052,7,FALSE())</f>
        <v>UNIRED</v>
      </c>
      <c r="J51" s="25" t="str">
        <f>VLOOKUP(C51,'[1]1.CUADRO RESUMEN DE SITIOS '!$C$5:$L$1052,8,FALSE())</f>
        <v>CENTRO SUR/ NORTE</v>
      </c>
      <c r="K51" s="23">
        <f>VLOOKUP(C51,'[1]1.CUADRO RESUMEN DE SITIOS '!$C$5:$L$1052,9,FALSE())</f>
        <v>0</v>
      </c>
      <c r="L51" s="26" t="str">
        <f>VLOOKUP(C51,'[1]1.CUADRO RESUMEN DE SITIOS '!$C$5:$L$1052,10,FALSE())</f>
        <v>Terminado</v>
      </c>
      <c r="M51" s="26"/>
      <c r="N51" s="26"/>
      <c r="O51" s="26"/>
      <c r="P51" s="26"/>
      <c r="Q51" s="26"/>
      <c r="R51" s="27">
        <v>1259800</v>
      </c>
      <c r="S51" s="27"/>
      <c r="T51" s="28">
        <v>1</v>
      </c>
      <c r="U51" s="29">
        <f t="shared" si="1"/>
        <v>1259800</v>
      </c>
      <c r="V51" s="29"/>
      <c r="W51" s="30"/>
      <c r="X51" s="29" t="s">
        <v>62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ht="21" customHeight="1" x14ac:dyDescent="0.3">
      <c r="A52" s="22">
        <v>48</v>
      </c>
      <c r="B52" s="23">
        <v>1</v>
      </c>
      <c r="C52" s="23" t="s">
        <v>64</v>
      </c>
      <c r="D52" s="23" t="str">
        <f>VLOOKUP(C52,'[1]1.CUADRO RESUMEN DE SITIOS '!$C$5:$L$1052,2,FALSE())</f>
        <v>VIC0005</v>
      </c>
      <c r="E52" s="24">
        <f>VLOOKUP(C52,'[1]1.CUADRO RESUMEN DE SITIOS '!$C$5:$L$1052,3,FALSE())</f>
        <v>45904</v>
      </c>
      <c r="F52" s="23">
        <f>VLOOKUP(C52,'[1]1.CUADRO RESUMEN DE SITIOS '!$C$5:$L$1052,4,FALSE())</f>
        <v>0</v>
      </c>
      <c r="G52" s="23">
        <f>VLOOKUP(C52,'[1]1.CUADRO RESUMEN DE SITIOS '!$C$5:$L$1052,5,FALSE())</f>
        <v>0</v>
      </c>
      <c r="H52" s="23" t="str">
        <f>VLOOKUP(C52,'[1]1.CUADRO RESUMEN DE SITIOS '!$C$5:$L$1052,6,FALSE())</f>
        <v>Vichada</v>
      </c>
      <c r="I52" s="23" t="str">
        <f>VLOOKUP(C52,'[1]1.CUADRO RESUMEN DE SITIOS '!$C$5:$L$1052,7,FALSE())</f>
        <v>UNIRED</v>
      </c>
      <c r="J52" s="25" t="str">
        <f>VLOOKUP(C52,'[1]1.CUADRO RESUMEN DE SITIOS '!$C$5:$L$1052,8,FALSE())</f>
        <v>CENTRO SUR/ NORTE</v>
      </c>
      <c r="K52" s="23" t="str">
        <f>VLOOKUP(C52,'[1]1.CUADRO RESUMEN DE SITIOS '!$C$5:$L$1052,9,FALSE())</f>
        <v>Jason Julian Melo</v>
      </c>
      <c r="L52" s="26" t="str">
        <f>VLOOKUP(C52,'[1]1.CUADRO RESUMEN DE SITIOS '!$C$5:$L$1052,10,FALSE())</f>
        <v>Terminado</v>
      </c>
      <c r="M52" s="26">
        <v>1</v>
      </c>
      <c r="N52" s="26">
        <v>1</v>
      </c>
      <c r="O52" s="26" t="s">
        <v>65</v>
      </c>
      <c r="P52" s="26" t="s">
        <v>52</v>
      </c>
      <c r="Q52" s="26" t="s">
        <v>53</v>
      </c>
      <c r="R52" s="27">
        <v>1354735.1</v>
      </c>
      <c r="S52" s="27" t="s">
        <v>54</v>
      </c>
      <c r="T52" s="28">
        <v>1</v>
      </c>
      <c r="U52" s="29">
        <f t="shared" si="1"/>
        <v>1354735.1</v>
      </c>
      <c r="V52" s="29" t="s">
        <v>44</v>
      </c>
      <c r="W52" s="30"/>
      <c r="X52" s="29" t="s">
        <v>27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ht="21" customHeight="1" x14ac:dyDescent="0.3">
      <c r="A53" s="22">
        <v>49</v>
      </c>
      <c r="B53" s="23">
        <v>1</v>
      </c>
      <c r="C53" s="23" t="s">
        <v>66</v>
      </c>
      <c r="D53" s="23" t="str">
        <f>VLOOKUP(C53,'[1]1.CUADRO RESUMEN DE SITIOS '!$C$5:$L$1052,2,FALSE())</f>
        <v>S6023</v>
      </c>
      <c r="E53" s="24">
        <f>VLOOKUP(C53,'[1]1.CUADRO RESUMEN DE SITIOS '!$C$5:$L$1052,3,FALSE())</f>
        <v>45942</v>
      </c>
      <c r="F53" s="23">
        <f>VLOOKUP(C53,'[1]1.CUADRO RESUMEN DE SITIOS '!$C$5:$L$1052,4,FALSE())</f>
        <v>0</v>
      </c>
      <c r="G53" s="23">
        <f>VLOOKUP(C53,'[1]1.CUADRO RESUMEN DE SITIOS '!$C$5:$L$1052,5,FALSE())</f>
        <v>0</v>
      </c>
      <c r="H53" s="23" t="str">
        <f>VLOOKUP(C53,'[1]1.CUADRO RESUMEN DE SITIOS '!$C$5:$L$1052,6,FALSE())</f>
        <v>Antioquia</v>
      </c>
      <c r="I53" s="23" t="str">
        <f>VLOOKUP(C53,'[1]1.CUADRO RESUMEN DE SITIOS '!$C$5:$L$1052,7,FALSE())</f>
        <v>UNIRED</v>
      </c>
      <c r="J53" s="25" t="str">
        <f>VLOOKUP(C53,'[1]1.CUADRO RESUMEN DE SITIOS '!$C$5:$L$1052,8,FALSE())</f>
        <v>CENTRO SUR/ NORTE</v>
      </c>
      <c r="K53" s="23" t="str">
        <f>VLOOKUP(C53,'[1]1.CUADRO RESUMEN DE SITIOS '!$C$5:$L$1052,9,FALSE())</f>
        <v>Carlos Eduardo Montoya</v>
      </c>
      <c r="L53" s="26" t="str">
        <f>VLOOKUP(C53,'[1]1.CUADRO RESUMEN DE SITIOS '!$C$5:$L$1052,10,FALSE())</f>
        <v>Terminado</v>
      </c>
      <c r="M53" s="26">
        <v>1</v>
      </c>
      <c r="N53" s="26">
        <v>1</v>
      </c>
      <c r="O53" s="26" t="s">
        <v>67</v>
      </c>
      <c r="P53" s="26" t="s">
        <v>52</v>
      </c>
      <c r="Q53" s="26" t="s">
        <v>53</v>
      </c>
      <c r="R53" s="27">
        <v>3206200</v>
      </c>
      <c r="S53" s="27" t="s">
        <v>54</v>
      </c>
      <c r="T53" s="28">
        <v>1</v>
      </c>
      <c r="U53" s="29">
        <f t="shared" si="1"/>
        <v>3206200</v>
      </c>
      <c r="V53" s="29" t="s">
        <v>44</v>
      </c>
      <c r="W53" s="30"/>
      <c r="X53" s="29" t="s">
        <v>68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ht="21" customHeight="1" x14ac:dyDescent="0.3">
      <c r="A54" s="22">
        <v>50</v>
      </c>
      <c r="B54" s="23">
        <v>1</v>
      </c>
      <c r="C54" s="23" t="s">
        <v>69</v>
      </c>
      <c r="D54" s="23" t="str">
        <f>VLOOKUP(C54,'[1]1.CUADRO RESUMEN DE SITIOS '!$C$5:$L$1052,2,FALSE())</f>
        <v>VAC0090</v>
      </c>
      <c r="E54" s="24">
        <f>VLOOKUP(C54,'[1]1.CUADRO RESUMEN DE SITIOS '!$C$5:$L$1052,3,FALSE())</f>
        <v>0</v>
      </c>
      <c r="F54" s="23">
        <f>VLOOKUP(C54,'[1]1.CUADRO RESUMEN DE SITIOS '!$C$5:$L$1052,4,FALSE())</f>
        <v>0</v>
      </c>
      <c r="G54" s="23">
        <f>VLOOKUP(C54,'[1]1.CUADRO RESUMEN DE SITIOS '!$C$5:$L$1052,5,FALSE())</f>
        <v>0</v>
      </c>
      <c r="H54" s="23">
        <f>VLOOKUP(C54,'[1]1.CUADRO RESUMEN DE SITIOS '!$C$5:$L$1052,6,FALSE())</f>
        <v>0</v>
      </c>
      <c r="I54" s="23">
        <f>VLOOKUP(C54,'[1]1.CUADRO RESUMEN DE SITIOS '!$C$5:$L$1052,7,FALSE())</f>
        <v>0</v>
      </c>
      <c r="J54" s="25">
        <f>VLOOKUP(C54,'[1]1.CUADRO RESUMEN DE SITIOS '!$C$5:$L$1052,8,FALSE())</f>
        <v>0</v>
      </c>
      <c r="K54" s="23">
        <f>VLOOKUP(C54,'[1]1.CUADRO RESUMEN DE SITIOS '!$C$5:$L$1052,9,FALSE())</f>
        <v>0</v>
      </c>
      <c r="L54" s="26" t="str">
        <f>VLOOKUP(C54,'[1]1.CUADRO RESUMEN DE SITIOS '!$C$5:$L$1052,10,FALSE())</f>
        <v>Terminado</v>
      </c>
      <c r="M54" s="26"/>
      <c r="N54" s="26"/>
      <c r="O54" s="26"/>
      <c r="P54" s="26"/>
      <c r="Q54" s="26"/>
      <c r="R54" s="27">
        <v>2502816</v>
      </c>
      <c r="S54" s="27" t="s">
        <v>54</v>
      </c>
      <c r="T54" s="28">
        <v>1</v>
      </c>
      <c r="U54" s="29">
        <f t="shared" si="1"/>
        <v>2502816</v>
      </c>
      <c r="V54" s="29" t="s">
        <v>26</v>
      </c>
      <c r="W54" s="30"/>
      <c r="X54" s="29" t="s">
        <v>27</v>
      </c>
      <c r="Y54" s="5"/>
      <c r="Z54" s="5"/>
      <c r="AA54" s="5"/>
      <c r="AB54" s="5"/>
      <c r="AC54" s="5"/>
      <c r="AD54" s="5"/>
      <c r="AE54" s="5"/>
      <c r="AF54" s="5"/>
      <c r="AG54" s="5"/>
      <c r="AH54" s="38"/>
      <c r="AI54" s="38"/>
      <c r="AJ54" s="38"/>
      <c r="AK54" s="38"/>
      <c r="AL54" s="38"/>
      <c r="AM54" s="38"/>
      <c r="AN54" s="38"/>
      <c r="AO54" s="38"/>
      <c r="AP54" s="38"/>
    </row>
    <row r="55" spans="1:42" ht="21" customHeight="1" x14ac:dyDescent="0.3">
      <c r="A55" s="22">
        <v>51</v>
      </c>
      <c r="B55" s="23">
        <v>1</v>
      </c>
      <c r="C55" s="23" t="s">
        <v>70</v>
      </c>
      <c r="D55" s="23" t="str">
        <f>VLOOKUP(C55,'[1]1.CUADRO RESUMEN DE SITIOS '!$C$5:$L$1052,2,FALSE())</f>
        <v>POP_05831</v>
      </c>
      <c r="E55" s="24">
        <f>VLOOKUP(C55,'[1]1.CUADRO RESUMEN DE SITIOS '!$C$5:$L$1052,3,FALSE())</f>
        <v>45940</v>
      </c>
      <c r="F55" s="23">
        <f>VLOOKUP(C55,'[1]1.CUADRO RESUMEN DE SITIOS '!$C$5:$L$1052,4,FALSE())</f>
        <v>2.4376111100000002</v>
      </c>
      <c r="G55" s="23">
        <f>VLOOKUP(C55,'[1]1.CUADRO RESUMEN DE SITIOS '!$C$5:$L$1052,5,FALSE())</f>
        <v>-76.615111110000001</v>
      </c>
      <c r="H55" s="23" t="str">
        <f>VLOOKUP(C55,'[1]1.CUADRO RESUMEN DE SITIOS '!$C$5:$L$1052,6,FALSE())</f>
        <v>Cauca</v>
      </c>
      <c r="I55" s="23" t="str">
        <f>VLOOKUP(C55,'[1]1.CUADRO RESUMEN DE SITIOS '!$C$5:$L$1052,7,FALSE())</f>
        <v>WOM</v>
      </c>
      <c r="J55" s="25" t="str">
        <f>VLOOKUP(C55,'[1]1.CUADRO RESUMEN DE SITIOS '!$C$5:$L$1052,8,FALSE())</f>
        <v>SUROCCIDENTE</v>
      </c>
      <c r="K55" s="23" t="str">
        <f>VLOOKUP(C55,'[1]1.CUADRO RESUMEN DE SITIOS '!$C$5:$L$1052,9,FALSE())</f>
        <v>Wilson Alejandro Solarte</v>
      </c>
      <c r="L55" s="26" t="str">
        <f>VLOOKUP(C55,'[1]1.CUADRO RESUMEN DE SITIOS '!$C$5:$L$1052,10,FALSE())</f>
        <v>Terminado</v>
      </c>
      <c r="M55" s="26">
        <v>8828119077</v>
      </c>
      <c r="N55" s="26">
        <f>VLOOKUP(M55,[1]LPU!$A$2:$G$1512,2,FALSE())</f>
        <v>103</v>
      </c>
      <c r="O55" s="26" t="str">
        <f>VLOOKUP(M55,[1]LPU!$A$2:$G$1512,3,FALSE)</f>
        <v>Suministro e instalación de cable electrico encauchetado 2x10 multifilar</v>
      </c>
      <c r="P55" s="26" t="str">
        <f>VLOOKUP(M55,[1]LPU!$A$2:$G$1512,4,FALSE())</f>
        <v>ENERGÍA</v>
      </c>
      <c r="Q55" s="26" t="str">
        <f>VLOOKUP(M55,[1]LPU!$A$2:$G$1512,5,FALSE())</f>
        <v>ML</v>
      </c>
      <c r="R55" s="27">
        <f>VLOOKUP(M55,[1]LPU!$A$2:$G$1512,6,FALSE())</f>
        <v>9095</v>
      </c>
      <c r="S55" s="27" t="str">
        <f>VLOOKUP(M55,[1]LPU!$A$2:$G$1512,7,FALSE())</f>
        <v>LPU FLM</v>
      </c>
      <c r="T55" s="28">
        <v>75</v>
      </c>
      <c r="U55" s="29">
        <f t="shared" si="1"/>
        <v>682125</v>
      </c>
      <c r="V55" s="29" t="s">
        <v>71</v>
      </c>
      <c r="W55" s="30"/>
      <c r="X55" s="29" t="s">
        <v>27</v>
      </c>
      <c r="Y55" s="5"/>
      <c r="Z55" s="5"/>
      <c r="AA55" s="5"/>
      <c r="AB55" s="5"/>
      <c r="AC55" s="5"/>
      <c r="AD55" s="5"/>
      <c r="AE55" s="5"/>
      <c r="AF55" s="5"/>
      <c r="AG55" s="5"/>
      <c r="AH55" s="38"/>
      <c r="AI55" s="38"/>
      <c r="AJ55" s="38"/>
      <c r="AK55" s="38"/>
      <c r="AL55" s="38"/>
      <c r="AM55" s="38"/>
      <c r="AN55" s="38"/>
      <c r="AO55" s="38"/>
      <c r="AP55" s="38"/>
    </row>
    <row r="56" spans="1:42" ht="21" customHeight="1" x14ac:dyDescent="0.3">
      <c r="A56" s="22">
        <v>52</v>
      </c>
      <c r="B56" s="23">
        <v>1</v>
      </c>
      <c r="C56" s="23" t="s">
        <v>70</v>
      </c>
      <c r="D56" s="23" t="str">
        <f>VLOOKUP(C56,'[1]1.CUADRO RESUMEN DE SITIOS '!$C$5:$L$1052,2,FALSE())</f>
        <v>POP_05831</v>
      </c>
      <c r="E56" s="24">
        <f>VLOOKUP(C56,'[1]1.CUADRO RESUMEN DE SITIOS '!$C$5:$L$1052,3,FALSE())</f>
        <v>45940</v>
      </c>
      <c r="F56" s="23">
        <f>VLOOKUP(C56,'[1]1.CUADRO RESUMEN DE SITIOS '!$C$5:$L$1052,4,FALSE())</f>
        <v>2.4376111100000002</v>
      </c>
      <c r="G56" s="23">
        <f>VLOOKUP(C56,'[1]1.CUADRO RESUMEN DE SITIOS '!$C$5:$L$1052,5,FALSE())</f>
        <v>-76.615111110000001</v>
      </c>
      <c r="H56" s="23" t="str">
        <f>VLOOKUP(C56,'[1]1.CUADRO RESUMEN DE SITIOS '!$C$5:$L$1052,6,FALSE())</f>
        <v>Cauca</v>
      </c>
      <c r="I56" s="23" t="str">
        <f>VLOOKUP(C56,'[1]1.CUADRO RESUMEN DE SITIOS '!$C$5:$L$1052,7,FALSE())</f>
        <v>WOM</v>
      </c>
      <c r="J56" s="25" t="str">
        <f>VLOOKUP(C56,'[1]1.CUADRO RESUMEN DE SITIOS '!$C$5:$L$1052,8,FALSE())</f>
        <v>SUROCCIDENTE</v>
      </c>
      <c r="K56" s="23" t="str">
        <f>VLOOKUP(C56,'[1]1.CUADRO RESUMEN DE SITIOS '!$C$5:$L$1052,9,FALSE())</f>
        <v>Wilson Alejandro Solarte</v>
      </c>
      <c r="L56" s="26" t="str">
        <f>VLOOKUP(C56,'[1]1.CUADRO RESUMEN DE SITIOS '!$C$5:$L$1052,10,FALSE())</f>
        <v>Terminado</v>
      </c>
      <c r="M56" s="26">
        <v>8828118956</v>
      </c>
      <c r="N56" s="26">
        <f>VLOOKUP(M56,[1]LPU!$A$2:$G$1512,2,FALSE())</f>
        <v>0</v>
      </c>
      <c r="O56" s="26" t="str">
        <f>VLOOKUP(M56,[1]LPU!$A$2:$G$1512,3,FALSE)</f>
        <v>Cable UTP Categoría 6, con conectores en sus extremos, certificado</v>
      </c>
      <c r="P56" s="26" t="str">
        <f>VLOOKUP(M56,[1]LPU!$A$2:$G$1512,4,FALSE())</f>
        <v>Item Critico</v>
      </c>
      <c r="Q56" s="26" t="str">
        <f>VLOOKUP(M56,[1]LPU!$A$2:$G$1512,5,FALSE())</f>
        <v>m</v>
      </c>
      <c r="R56" s="27">
        <f>VLOOKUP(M56,[1]LPU!$A$2:$G$1512,6,FALSE())</f>
        <v>4945</v>
      </c>
      <c r="S56" s="27" t="str">
        <f>VLOOKUP(M56,[1]LPU!$A$2:$G$1512,7,FALSE())</f>
        <v>LPU FO Propia</v>
      </c>
      <c r="T56" s="28">
        <v>50</v>
      </c>
      <c r="U56" s="29">
        <f t="shared" si="1"/>
        <v>247250</v>
      </c>
      <c r="V56" s="29" t="s">
        <v>71</v>
      </c>
      <c r="W56" s="30"/>
      <c r="X56" s="29" t="s">
        <v>27</v>
      </c>
      <c r="Y56" s="5"/>
      <c r="Z56" s="5"/>
      <c r="AA56" s="5"/>
      <c r="AB56" s="5"/>
      <c r="AC56" s="5"/>
      <c r="AD56" s="5"/>
      <c r="AE56" s="5"/>
      <c r="AF56" s="5"/>
      <c r="AG56" s="5"/>
      <c r="AH56" s="38"/>
      <c r="AI56" s="38"/>
      <c r="AJ56" s="38"/>
      <c r="AK56" s="38"/>
      <c r="AL56" s="38"/>
      <c r="AM56" s="38"/>
      <c r="AN56" s="38"/>
      <c r="AO56" s="38"/>
      <c r="AP56" s="38"/>
    </row>
    <row r="57" spans="1:42" ht="21" customHeight="1" x14ac:dyDescent="0.3">
      <c r="A57" s="22">
        <v>53</v>
      </c>
      <c r="B57" s="23">
        <v>1</v>
      </c>
      <c r="C57" s="23" t="s">
        <v>72</v>
      </c>
      <c r="D57" s="23" t="str">
        <f>VLOOKUP(C57,'[1]1.CUADRO RESUMEN DE SITIOS '!$C$5:$L$1052,2,FALSE())</f>
        <v>CLI_01014</v>
      </c>
      <c r="E57" s="24">
        <f>VLOOKUP(C57,'[1]1.CUADRO RESUMEN DE SITIOS '!$C$5:$L$1052,3,FALSE())</f>
        <v>45929</v>
      </c>
      <c r="F57" s="23">
        <f>VLOOKUP(C57,'[1]1.CUADRO RESUMEN DE SITIOS '!$C$5:$L$1052,4,FALSE())</f>
        <v>3.4849999999999999</v>
      </c>
      <c r="G57" s="23">
        <f>VLOOKUP(C57,'[1]1.CUADRO RESUMEN DE SITIOS '!$C$5:$L$1052,5,FALSE())</f>
        <v>-76.512349999999998</v>
      </c>
      <c r="H57" s="23" t="str">
        <f>VLOOKUP(C57,'[1]1.CUADRO RESUMEN DE SITIOS '!$C$5:$L$1052,6,FALSE())</f>
        <v>Valle del Cauca</v>
      </c>
      <c r="I57" s="23" t="str">
        <f>VLOOKUP(C57,'[1]1.CUADRO RESUMEN DE SITIOS '!$C$5:$L$1052,7,FALSE())</f>
        <v>WOM</v>
      </c>
      <c r="J57" s="25" t="str">
        <f>VLOOKUP(C57,'[1]1.CUADRO RESUMEN DE SITIOS '!$C$5:$L$1052,8,FALSE())</f>
        <v>SUROCCIDENTE</v>
      </c>
      <c r="K57" s="23" t="str">
        <f>VLOOKUP(C57,'[1]1.CUADRO RESUMEN DE SITIOS '!$C$5:$L$1052,9,FALSE())</f>
        <v>Wilson Alejandro Solarte</v>
      </c>
      <c r="L57" s="26" t="str">
        <f>VLOOKUP(C57,'[1]1.CUADRO RESUMEN DE SITIOS '!$C$5:$L$1052,10,FALSE())</f>
        <v>Terminado</v>
      </c>
      <c r="M57" s="26">
        <v>8828119073</v>
      </c>
      <c r="N57" s="26">
        <f>VLOOKUP(M57,[1]LPU!$A$2:$G$1512,2,FALSE())</f>
        <v>2.2599999999999998</v>
      </c>
      <c r="O57" s="26" t="str">
        <f>VLOOKUP(M57,[1]LPU!$A$2:$G$1512,3,FALSE)</f>
        <v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v>
      </c>
      <c r="P57" s="26" t="str">
        <f>VLOOKUP(M57,[1]LPU!$A$2:$G$1512,4,FALSE())</f>
        <v>Mantenimiento Electrico</v>
      </c>
      <c r="Q57" s="26" t="str">
        <f>VLOOKUP(M57,[1]LPU!$A$2:$G$1512,5,FALSE())</f>
        <v>ML</v>
      </c>
      <c r="R57" s="27">
        <f>VLOOKUP(M57,[1]LPU!$A$2:$G$1512,6,FALSE())</f>
        <v>3413.6</v>
      </c>
      <c r="S57" s="27" t="str">
        <f>VLOOKUP(M57,[1]LPU!$A$2:$G$1512,7,FALSE())</f>
        <v>Mantenimiento Electrico</v>
      </c>
      <c r="T57" s="28">
        <v>80</v>
      </c>
      <c r="U57" s="29">
        <f t="shared" si="1"/>
        <v>273088</v>
      </c>
      <c r="V57" s="29" t="s">
        <v>71</v>
      </c>
      <c r="W57" s="30"/>
      <c r="X57" s="29" t="s">
        <v>27</v>
      </c>
      <c r="Y57" s="5"/>
      <c r="Z57" s="5"/>
      <c r="AA57" s="5"/>
      <c r="AB57" s="5"/>
      <c r="AC57" s="5"/>
      <c r="AD57" s="5"/>
      <c r="AE57" s="5"/>
      <c r="AF57" s="5"/>
      <c r="AG57" s="5"/>
      <c r="AH57" s="38"/>
      <c r="AI57" s="38"/>
      <c r="AJ57" s="38"/>
      <c r="AK57" s="38"/>
      <c r="AL57" s="38"/>
      <c r="AM57" s="38"/>
      <c r="AN57" s="38"/>
      <c r="AO57" s="38"/>
      <c r="AP57" s="38"/>
    </row>
    <row r="58" spans="1:42" ht="21" customHeight="1" x14ac:dyDescent="0.3">
      <c r="A58" s="22">
        <v>54</v>
      </c>
      <c r="B58" s="23">
        <v>1</v>
      </c>
      <c r="C58" s="23" t="s">
        <v>73</v>
      </c>
      <c r="D58" s="23" t="str">
        <f>VLOOKUP(C58,'[1]1.CUADRO RESUMEN DE SITIOS '!$C$5:$L$1052,2,FALSE())</f>
        <v>CLI_02864</v>
      </c>
      <c r="E58" s="24">
        <f>VLOOKUP(C58,'[1]1.CUADRO RESUMEN DE SITIOS '!$C$5:$L$1052,3,FALSE())</f>
        <v>45936</v>
      </c>
      <c r="F58" s="23">
        <f>VLOOKUP(C58,'[1]1.CUADRO RESUMEN DE SITIOS '!$C$5:$L$1052,4,FALSE())</f>
        <v>3.4261200000000001</v>
      </c>
      <c r="G58" s="23">
        <f>VLOOKUP(C58,'[1]1.CUADRO RESUMEN DE SITIOS '!$C$5:$L$1052,5,FALSE())</f>
        <v>-76.501260000000002</v>
      </c>
      <c r="H58" s="23" t="str">
        <f>VLOOKUP(C58,'[1]1.CUADRO RESUMEN DE SITIOS '!$C$5:$L$1052,6,FALSE())</f>
        <v>Valle del Cauca</v>
      </c>
      <c r="I58" s="23" t="str">
        <f>VLOOKUP(C58,'[1]1.CUADRO RESUMEN DE SITIOS '!$C$5:$L$1052,7,FALSE())</f>
        <v>WOM</v>
      </c>
      <c r="J58" s="25" t="str">
        <f>VLOOKUP(C58,'[1]1.CUADRO RESUMEN DE SITIOS '!$C$5:$L$1052,8,FALSE())</f>
        <v>SUROCCIDENTE</v>
      </c>
      <c r="K58" s="23" t="str">
        <f>VLOOKUP(C58,'[1]1.CUADRO RESUMEN DE SITIOS '!$C$5:$L$1052,9,FALSE())</f>
        <v>Wilson Alejandro Solarte</v>
      </c>
      <c r="L58" s="26" t="str">
        <f>VLOOKUP(C58,'[1]1.CUADRO RESUMEN DE SITIOS '!$C$5:$L$1052,10,FALSE())</f>
        <v>Terminado</v>
      </c>
      <c r="M58" s="26">
        <v>8828118829</v>
      </c>
      <c r="N58" s="26">
        <f>VLOOKUP(M58,[1]LPU!$A$2:$G$1512,2,FALSE())</f>
        <v>0</v>
      </c>
      <c r="O58" s="26" t="str">
        <f>VLOOKUP(M58,[1]LPU!$A$2:$G$1512,3,FALSE)</f>
        <v>Sellado de camaras con soldadura de electrodo E6011</v>
      </c>
      <c r="P58" s="26" t="str">
        <f>VLOOKUP(M58,[1]LPU!$A$2:$G$1512,4,FALSE())</f>
        <v>Camaras y canalizados</v>
      </c>
      <c r="Q58" s="26" t="str">
        <f>VLOOKUP(M58,[1]LPU!$A$2:$G$1512,5,FALSE())</f>
        <v>Unidad</v>
      </c>
      <c r="R58" s="27">
        <f>VLOOKUP(M58,[1]LPU!$A$2:$G$1512,6,FALSE())</f>
        <v>63750</v>
      </c>
      <c r="S58" s="27" t="str">
        <f>VLOOKUP(M58,[1]LPU!$A$2:$G$1512,7,FALSE())</f>
        <v>LPU FO</v>
      </c>
      <c r="T58" s="28">
        <v>1</v>
      </c>
      <c r="U58" s="29">
        <f t="shared" si="1"/>
        <v>63750</v>
      </c>
      <c r="V58" s="29" t="s">
        <v>74</v>
      </c>
      <c r="W58" s="30"/>
      <c r="X58" s="29" t="s">
        <v>27</v>
      </c>
      <c r="Y58" s="5"/>
      <c r="Z58" s="5"/>
      <c r="AA58" s="5"/>
      <c r="AB58" s="5"/>
      <c r="AC58" s="5"/>
      <c r="AD58" s="5"/>
      <c r="AE58" s="5"/>
      <c r="AF58" s="5"/>
      <c r="AG58" s="5"/>
      <c r="AH58" s="38"/>
      <c r="AI58" s="38"/>
      <c r="AJ58" s="38"/>
      <c r="AK58" s="38"/>
      <c r="AL58" s="38"/>
      <c r="AM58" s="38"/>
      <c r="AN58" s="38"/>
      <c r="AO58" s="38"/>
      <c r="AP58" s="38"/>
    </row>
    <row r="59" spans="1:42" ht="21" customHeight="1" x14ac:dyDescent="0.3">
      <c r="A59" s="22">
        <v>55</v>
      </c>
      <c r="B59" s="23">
        <v>1</v>
      </c>
      <c r="C59" s="23" t="s">
        <v>73</v>
      </c>
      <c r="D59" s="23" t="str">
        <f>VLOOKUP(C59,'[1]1.CUADRO RESUMEN DE SITIOS '!$C$5:$L$1052,2,FALSE())</f>
        <v>CLI_02864</v>
      </c>
      <c r="E59" s="24">
        <f>VLOOKUP(C59,'[1]1.CUADRO RESUMEN DE SITIOS '!$C$5:$L$1052,3,FALSE())</f>
        <v>45936</v>
      </c>
      <c r="F59" s="23">
        <f>VLOOKUP(C59,'[1]1.CUADRO RESUMEN DE SITIOS '!$C$5:$L$1052,4,FALSE())</f>
        <v>3.4261200000000001</v>
      </c>
      <c r="G59" s="23">
        <f>VLOOKUP(C59,'[1]1.CUADRO RESUMEN DE SITIOS '!$C$5:$L$1052,5,FALSE())</f>
        <v>-76.501260000000002</v>
      </c>
      <c r="H59" s="23" t="str">
        <f>VLOOKUP(C59,'[1]1.CUADRO RESUMEN DE SITIOS '!$C$5:$L$1052,6,FALSE())</f>
        <v>Valle del Cauca</v>
      </c>
      <c r="I59" s="23" t="str">
        <f>VLOOKUP(C59,'[1]1.CUADRO RESUMEN DE SITIOS '!$C$5:$L$1052,7,FALSE())</f>
        <v>WOM</v>
      </c>
      <c r="J59" s="25" t="str">
        <f>VLOOKUP(C59,'[1]1.CUADRO RESUMEN DE SITIOS '!$C$5:$L$1052,8,FALSE())</f>
        <v>SUROCCIDENTE</v>
      </c>
      <c r="K59" s="23" t="str">
        <f>VLOOKUP(C59,'[1]1.CUADRO RESUMEN DE SITIOS '!$C$5:$L$1052,9,FALSE())</f>
        <v>Wilson Alejandro Solarte</v>
      </c>
      <c r="L59" s="26" t="str">
        <f>VLOOKUP(C59,'[1]1.CUADRO RESUMEN DE SITIOS '!$C$5:$L$1052,10,FALSE())</f>
        <v>Terminado</v>
      </c>
      <c r="M59" s="26">
        <v>8828119921</v>
      </c>
      <c r="N59" s="26">
        <f>VLOOKUP(M59,[1]LPU!$A$2:$G$1512,2,FALSE())</f>
        <v>163</v>
      </c>
      <c r="O59" s="26" t="str">
        <f>VLOOKUP(M59,[1]LPU!$A$2:$G$1512,3,FALSE)</f>
        <v>Tansporte tipo A, ciudad principal y área metropolitana</v>
      </c>
      <c r="P59" s="26" t="str">
        <f>VLOOKUP(M59,[1]LPU!$A$2:$G$1512,4,FALSE())</f>
        <v>LOCATIVO</v>
      </c>
      <c r="Q59" s="26" t="str">
        <f>VLOOKUP(M59,[1]LPU!$A$2:$G$1512,5,FALSE())</f>
        <v>Global</v>
      </c>
      <c r="R59" s="27">
        <f>VLOOKUP(M59,[1]LPU!$A$2:$G$1512,6,FALSE())</f>
        <v>133571.54999999999</v>
      </c>
      <c r="S59" s="27" t="str">
        <f>VLOOKUP(M59,[1]LPU!$A$2:$G$1512,7,FALSE())</f>
        <v>LPU FLM</v>
      </c>
      <c r="T59" s="28">
        <v>1</v>
      </c>
      <c r="U59" s="29">
        <f t="shared" si="1"/>
        <v>133571.54999999999</v>
      </c>
      <c r="V59" s="29" t="s">
        <v>74</v>
      </c>
      <c r="W59" s="30"/>
      <c r="X59" s="29" t="s">
        <v>27</v>
      </c>
      <c r="Y59" s="5"/>
      <c r="Z59" s="5"/>
      <c r="AA59" s="5"/>
      <c r="AB59" s="5"/>
      <c r="AC59" s="5"/>
      <c r="AD59" s="5"/>
      <c r="AE59" s="5"/>
      <c r="AF59" s="5"/>
      <c r="AG59" s="5"/>
      <c r="AH59" s="38"/>
      <c r="AI59" s="38"/>
      <c r="AJ59" s="38"/>
      <c r="AK59" s="38"/>
      <c r="AL59" s="38"/>
      <c r="AM59" s="38"/>
      <c r="AN59" s="38"/>
      <c r="AO59" s="38"/>
      <c r="AP59" s="38"/>
    </row>
    <row r="60" spans="1:42" ht="21" customHeight="1" x14ac:dyDescent="0.3">
      <c r="A60" s="22">
        <v>56</v>
      </c>
      <c r="B60" s="23">
        <v>1</v>
      </c>
      <c r="C60" s="23" t="s">
        <v>73</v>
      </c>
      <c r="D60" s="23" t="str">
        <f>VLOOKUP(C60,'[1]1.CUADRO RESUMEN DE SITIOS '!$C$5:$L$1052,2,FALSE())</f>
        <v>CLI_02864</v>
      </c>
      <c r="E60" s="24">
        <f>VLOOKUP(C60,'[1]1.CUADRO RESUMEN DE SITIOS '!$C$5:$L$1052,3,FALSE())</f>
        <v>45936</v>
      </c>
      <c r="F60" s="23">
        <f>VLOOKUP(C60,'[1]1.CUADRO RESUMEN DE SITIOS '!$C$5:$L$1052,4,FALSE())</f>
        <v>3.4261200000000001</v>
      </c>
      <c r="G60" s="23">
        <f>VLOOKUP(C60,'[1]1.CUADRO RESUMEN DE SITIOS '!$C$5:$L$1052,5,FALSE())</f>
        <v>-76.501260000000002</v>
      </c>
      <c r="H60" s="23" t="str">
        <f>VLOOKUP(C60,'[1]1.CUADRO RESUMEN DE SITIOS '!$C$5:$L$1052,6,FALSE())</f>
        <v>Valle del Cauca</v>
      </c>
      <c r="I60" s="23" t="str">
        <f>VLOOKUP(C60,'[1]1.CUADRO RESUMEN DE SITIOS '!$C$5:$L$1052,7,FALSE())</f>
        <v>WOM</v>
      </c>
      <c r="J60" s="25" t="str">
        <f>VLOOKUP(C60,'[1]1.CUADRO RESUMEN DE SITIOS '!$C$5:$L$1052,8,FALSE())</f>
        <v>SUROCCIDENTE</v>
      </c>
      <c r="K60" s="23" t="str">
        <f>VLOOKUP(C60,'[1]1.CUADRO RESUMEN DE SITIOS '!$C$5:$L$1052,9,FALSE())</f>
        <v>Wilson Alejandro Solarte</v>
      </c>
      <c r="L60" s="26" t="str">
        <f>VLOOKUP(C60,'[1]1.CUADRO RESUMEN DE SITIOS '!$C$5:$L$1052,10,FALSE())</f>
        <v>Terminado</v>
      </c>
      <c r="M60" s="26">
        <v>8828119110</v>
      </c>
      <c r="N60" s="26">
        <f>VLOOKUP(M60,[1]LPU!$A$2:$G$1512,2,FALSE())</f>
        <v>107</v>
      </c>
      <c r="O60" s="26" t="str">
        <f>VLOOKUP(M60,[1]LPU!$A$2:$G$1512,3,FALSE)</f>
        <v>Mano de Obra Tecnico Electricista Certficado CONTE</v>
      </c>
      <c r="P60" s="26" t="str">
        <f>VLOOKUP(M60,[1]LPU!$A$2:$G$1512,4,FALSE())</f>
        <v>ENERGÍA</v>
      </c>
      <c r="Q60" s="26" t="str">
        <f>VLOOKUP(M60,[1]LPU!$A$2:$G$1512,5,FALSE())</f>
        <v>DIA</v>
      </c>
      <c r="R60" s="27">
        <f>VLOOKUP(M60,[1]LPU!$A$2:$G$1512,6,FALSE())</f>
        <v>136000</v>
      </c>
      <c r="S60" s="27" t="str">
        <f>VLOOKUP(M60,[1]LPU!$A$2:$G$1512,7,FALSE())</f>
        <v>LPU FLM</v>
      </c>
      <c r="T60" s="28">
        <v>1</v>
      </c>
      <c r="U60" s="29">
        <f t="shared" si="1"/>
        <v>136000</v>
      </c>
      <c r="V60" s="29" t="s">
        <v>74</v>
      </c>
      <c r="W60" s="30"/>
      <c r="X60" s="29" t="s">
        <v>27</v>
      </c>
      <c r="Y60" s="5"/>
      <c r="Z60" s="5"/>
      <c r="AA60" s="5"/>
      <c r="AB60" s="5"/>
      <c r="AC60" s="5"/>
      <c r="AD60" s="5"/>
      <c r="AE60" s="5"/>
      <c r="AF60" s="5"/>
      <c r="AG60" s="5"/>
      <c r="AH60" s="38"/>
      <c r="AI60" s="38"/>
      <c r="AJ60" s="38"/>
      <c r="AK60" s="38"/>
      <c r="AL60" s="38"/>
      <c r="AM60" s="38"/>
      <c r="AN60" s="38"/>
      <c r="AO60" s="38"/>
      <c r="AP60" s="38"/>
    </row>
    <row r="61" spans="1:42" ht="21" customHeight="1" x14ac:dyDescent="0.3">
      <c r="A61" s="22">
        <v>57</v>
      </c>
      <c r="B61" s="23">
        <v>1</v>
      </c>
      <c r="C61" s="23" t="s">
        <v>75</v>
      </c>
      <c r="D61" s="23" t="str">
        <f>VLOOKUP(C61,'[1]1.CUADRO RESUMEN DE SITIOS '!$C$5:$L$1052,2,FALSE())</f>
        <v>SUC_06467</v>
      </c>
      <c r="E61" s="24">
        <f>VLOOKUP(C61,'[1]1.CUADRO RESUMEN DE SITIOS '!$C$5:$L$1052,3,FALSE())</f>
        <v>45944</v>
      </c>
      <c r="F61" s="23">
        <f>VLOOKUP(C61,'[1]1.CUADRO RESUMEN DE SITIOS '!$C$5:$L$1052,4,FALSE())</f>
        <v>8.8126700000000007</v>
      </c>
      <c r="G61" s="23">
        <f>VLOOKUP(C61,'[1]1.CUADRO RESUMEN DE SITIOS '!$C$5:$L$1052,5,FALSE())</f>
        <v>-74.721800000000002</v>
      </c>
      <c r="H61" s="23" t="str">
        <f>VLOOKUP(C61,'[1]1.CUADRO RESUMEN DE SITIOS '!$C$5:$L$1052,6,FALSE())</f>
        <v>Sucre</v>
      </c>
      <c r="I61" s="23" t="str">
        <f>VLOOKUP(C61,'[1]1.CUADRO RESUMEN DE SITIOS '!$C$5:$L$1052,7,FALSE())</f>
        <v>WOM</v>
      </c>
      <c r="J61" s="25" t="str">
        <f>VLOOKUP(C61,'[1]1.CUADRO RESUMEN DE SITIOS '!$C$5:$L$1052,8,FALSE())</f>
        <v>COSTA</v>
      </c>
      <c r="K61" s="23" t="str">
        <f>VLOOKUP(C61,'[1]1.CUADRO RESUMEN DE SITIOS '!$C$5:$L$1052,9,FALSE())</f>
        <v>Alfredo de la Cruz</v>
      </c>
      <c r="L61" s="26" t="str">
        <f>VLOOKUP(C61,'[1]1.CUADRO RESUMEN DE SITIOS '!$C$5:$L$1052,10,FALSE())</f>
        <v>Terminado</v>
      </c>
      <c r="M61" s="26">
        <v>8828120200</v>
      </c>
      <c r="N61" s="26">
        <f>VLOOKUP(M61,[1]LPU!$A$2:$G$1512,2,FALSE())</f>
        <v>57</v>
      </c>
      <c r="O61" s="26" t="str">
        <f>VLOOKUP(M61,[1]LPU!$A$2:$G$1512,3,FALSE)</f>
        <v>Apertura y Cierre de Cañuelas incluye Fusible</v>
      </c>
      <c r="P61" s="26" t="str">
        <f>VLOOKUP(M61,[1]LPU!$A$2:$G$1512,4,FALSE())</f>
        <v>ENERGÍA</v>
      </c>
      <c r="Q61" s="26" t="str">
        <f>VLOOKUP(M61,[1]LPU!$A$2:$G$1512,5,FALSE())</f>
        <v>U</v>
      </c>
      <c r="R61" s="27">
        <f>VLOOKUP(M61,[1]LPU!$A$2:$G$1512,6,FALSE())</f>
        <v>51840</v>
      </c>
      <c r="S61" s="27" t="str">
        <f>VLOOKUP(M61,[1]LPU!$A$2:$G$1512,7,FALSE())</f>
        <v>LPU FLM</v>
      </c>
      <c r="T61" s="28">
        <v>1.562506028</v>
      </c>
      <c r="U61" s="29">
        <f t="shared" si="1"/>
        <v>81000.312491520002</v>
      </c>
      <c r="V61" s="29" t="s">
        <v>26</v>
      </c>
      <c r="W61" s="30"/>
      <c r="X61" s="29" t="s">
        <v>27</v>
      </c>
      <c r="Y61" s="5"/>
      <c r="Z61" s="5"/>
      <c r="AA61" s="5"/>
      <c r="AB61" s="5"/>
      <c r="AC61" s="5"/>
      <c r="AD61" s="5"/>
      <c r="AE61" s="5"/>
      <c r="AF61" s="5"/>
      <c r="AG61" s="5"/>
      <c r="AH61" s="38"/>
      <c r="AI61" s="38"/>
      <c r="AJ61" s="38"/>
      <c r="AK61" s="38"/>
      <c r="AL61" s="38"/>
      <c r="AM61" s="38"/>
      <c r="AN61" s="38"/>
      <c r="AO61" s="38"/>
      <c r="AP61" s="38"/>
    </row>
    <row r="62" spans="1:42" ht="21" customHeight="1" x14ac:dyDescent="0.3">
      <c r="A62" s="22">
        <v>58</v>
      </c>
      <c r="B62" s="23">
        <v>1</v>
      </c>
      <c r="C62" s="23" t="s">
        <v>76</v>
      </c>
      <c r="D62" s="23" t="str">
        <f>VLOOKUP(C62,'[1]1.CUADRO RESUMEN DE SITIOS '!$C$5:$L$1052,2,FALSE())</f>
        <v>BTA_00123</v>
      </c>
      <c r="E62" s="24">
        <f>VLOOKUP(C62,'[1]1.CUADRO RESUMEN DE SITIOS '!$C$5:$L$1052,3,FALSE())</f>
        <v>45926</v>
      </c>
      <c r="F62" s="23">
        <f>VLOOKUP(C62,'[1]1.CUADRO RESUMEN DE SITIOS '!$C$5:$L$1052,4,FALSE())</f>
        <v>4.6216699999999999</v>
      </c>
      <c r="G62" s="23">
        <f>VLOOKUP(C62,'[1]1.CUADRO RESUMEN DE SITIOS '!$C$5:$L$1052,5,FALSE())</f>
        <v>-74.089299999999994</v>
      </c>
      <c r="H62" s="23" t="str">
        <f>VLOOKUP(C62,'[1]1.CUADRO RESUMEN DE SITIOS '!$C$5:$L$1052,6,FALSE())</f>
        <v>Cundinamarca</v>
      </c>
      <c r="I62" s="23" t="str">
        <f>VLOOKUP(C62,'[1]1.CUADRO RESUMEN DE SITIOS '!$C$5:$L$1052,7,FALSE())</f>
        <v>WOM</v>
      </c>
      <c r="J62" s="25" t="str">
        <f>VLOOKUP(C62,'[1]1.CUADRO RESUMEN DE SITIOS '!$C$5:$L$1052,8,FALSE())</f>
        <v>CENTRO SUR/ NORTE</v>
      </c>
      <c r="K62" s="23" t="str">
        <f>VLOOKUP(C62,'[1]1.CUADRO RESUMEN DE SITIOS '!$C$5:$L$1052,9,FALSE())</f>
        <v>Jason Julian Melo</v>
      </c>
      <c r="L62" s="26" t="str">
        <f>VLOOKUP(C62,'[1]1.CUADRO RESUMEN DE SITIOS '!$C$5:$L$1052,10,FALSE())</f>
        <v>Terminado</v>
      </c>
      <c r="M62" s="26">
        <v>8828120192</v>
      </c>
      <c r="N62" s="26">
        <f>VLOOKUP(M62,[1]LPU!$A$2:$G$1512,2,FALSE())</f>
        <v>52</v>
      </c>
      <c r="O62" s="26" t="str">
        <f>VLOOKUP(M62,[1]LPU!$A$2:$G$1512,3,FALSE)</f>
        <v>Desmonte Banco de Baterias para Rectificadores - Aplica para ampliaciones.</v>
      </c>
      <c r="P62" s="26" t="str">
        <f>VLOOKUP(M62,[1]LPU!$A$2:$G$1512,4,FALSE())</f>
        <v>ENERGÍA</v>
      </c>
      <c r="Q62" s="26" t="str">
        <f>VLOOKUP(M62,[1]LPU!$A$2:$G$1512,5,FALSE())</f>
        <v>U</v>
      </c>
      <c r="R62" s="27">
        <f>VLOOKUP(M62,[1]LPU!$A$2:$G$1512,6,FALSE())</f>
        <v>61880</v>
      </c>
      <c r="S62" s="27" t="str">
        <f>VLOOKUP(M62,[1]LPU!$A$2:$G$1512,7,FALSE())</f>
        <v>LPU FLM</v>
      </c>
      <c r="T62" s="28">
        <v>3</v>
      </c>
      <c r="U62" s="29">
        <f t="shared" si="1"/>
        <v>185640</v>
      </c>
      <c r="V62" s="29" t="s">
        <v>77</v>
      </c>
      <c r="W62" s="30"/>
      <c r="X62" s="29" t="s">
        <v>78</v>
      </c>
      <c r="Y62" s="5"/>
      <c r="Z62" s="5"/>
      <c r="AA62" s="5"/>
      <c r="AB62" s="5"/>
      <c r="AC62" s="5"/>
      <c r="AD62" s="5"/>
      <c r="AE62" s="5"/>
      <c r="AF62" s="5"/>
      <c r="AG62" s="5"/>
      <c r="AH62" s="38"/>
      <c r="AI62" s="38"/>
      <c r="AJ62" s="38"/>
      <c r="AK62" s="38"/>
      <c r="AL62" s="38"/>
      <c r="AM62" s="38"/>
      <c r="AN62" s="38"/>
      <c r="AO62" s="38"/>
      <c r="AP62" s="38"/>
    </row>
    <row r="63" spans="1:42" ht="21" customHeight="1" x14ac:dyDescent="0.3">
      <c r="A63" s="22">
        <v>59</v>
      </c>
      <c r="B63" s="23">
        <v>1</v>
      </c>
      <c r="C63" s="23" t="s">
        <v>79</v>
      </c>
      <c r="D63" s="23" t="str">
        <f>VLOOKUP(C63,'[1]1.CUADRO RESUMEN DE SITIOS '!$C$5:$L$1052,2,FALSE())</f>
        <v>S6895</v>
      </c>
      <c r="E63" s="24">
        <f>VLOOKUP(C63,'[1]1.CUADRO RESUMEN DE SITIOS '!$C$5:$L$1052,3,FALSE())</f>
        <v>45950</v>
      </c>
      <c r="F63" s="23">
        <f>VLOOKUP(C63,'[1]1.CUADRO RESUMEN DE SITIOS '!$C$5:$L$1052,4,FALSE())</f>
        <v>0</v>
      </c>
      <c r="G63" s="23">
        <f>VLOOKUP(C63,'[1]1.CUADRO RESUMEN DE SITIOS '!$C$5:$L$1052,5,FALSE())</f>
        <v>0</v>
      </c>
      <c r="H63" s="23" t="str">
        <f>VLOOKUP(C63,'[1]1.CUADRO RESUMEN DE SITIOS '!$C$5:$L$1052,6,FALSE())</f>
        <v>Cundinamarca</v>
      </c>
      <c r="I63" s="23" t="str">
        <f>VLOOKUP(C63,'[1]1.CUADRO RESUMEN DE SITIOS '!$C$5:$L$1052,7,FALSE())</f>
        <v>UNIRED</v>
      </c>
      <c r="J63" s="25" t="str">
        <f>VLOOKUP(C63,'[1]1.CUADRO RESUMEN DE SITIOS '!$C$5:$L$1052,8,FALSE())</f>
        <v>COSTA</v>
      </c>
      <c r="K63" s="23" t="str">
        <f>VLOOKUP(C63,'[1]1.CUADRO RESUMEN DE SITIOS '!$C$5:$L$1052,9,FALSE())</f>
        <v>Carlos Eduardo Montoya</v>
      </c>
      <c r="L63" s="26" t="str">
        <f>VLOOKUP(C63,'[1]1.CUADRO RESUMEN DE SITIOS '!$C$5:$L$1052,10,FALSE())</f>
        <v>Terminado</v>
      </c>
      <c r="M63" s="26">
        <v>1</v>
      </c>
      <c r="N63" s="26">
        <v>1</v>
      </c>
      <c r="O63" s="26" t="s">
        <v>80</v>
      </c>
      <c r="P63" s="26" t="s">
        <v>52</v>
      </c>
      <c r="Q63" s="26" t="s">
        <v>53</v>
      </c>
      <c r="R63" s="27">
        <v>16429000</v>
      </c>
      <c r="S63" s="27" t="s">
        <v>54</v>
      </c>
      <c r="T63" s="28">
        <v>1</v>
      </c>
      <c r="U63" s="29">
        <f t="shared" si="1"/>
        <v>16429000</v>
      </c>
      <c r="V63" s="29" t="s">
        <v>81</v>
      </c>
      <c r="W63" s="30"/>
      <c r="X63" s="29" t="s">
        <v>82</v>
      </c>
      <c r="Y63" s="5"/>
      <c r="Z63" s="5"/>
      <c r="AA63" s="5"/>
      <c r="AB63" s="5"/>
      <c r="AC63" s="5"/>
      <c r="AD63" s="5"/>
      <c r="AE63" s="5"/>
      <c r="AF63" s="5"/>
      <c r="AG63" s="5"/>
      <c r="AH63" s="38"/>
      <c r="AI63" s="38"/>
      <c r="AJ63" s="38"/>
      <c r="AK63" s="38"/>
      <c r="AL63" s="38"/>
      <c r="AM63" s="38"/>
      <c r="AN63" s="38"/>
      <c r="AO63" s="38"/>
      <c r="AP63" s="38"/>
    </row>
    <row r="64" spans="1:42" ht="21" customHeight="1" x14ac:dyDescent="0.3">
      <c r="A64" s="22">
        <v>60</v>
      </c>
      <c r="B64" s="23">
        <v>1</v>
      </c>
      <c r="C64" s="23" t="s">
        <v>83</v>
      </c>
      <c r="D64" s="23" t="str">
        <f>VLOOKUP(C64,'[1]1.CUADRO RESUMEN DE SITIOS '!$C$5:$L$1052,2,FALSE())</f>
        <v>JCOR_00246</v>
      </c>
      <c r="E64" s="24">
        <f>VLOOKUP(C64,'[1]1.CUADRO RESUMEN DE SITIOS '!$C$5:$L$1052,3,FALSE())</f>
        <v>45950</v>
      </c>
      <c r="F64" s="23">
        <f>VLOOKUP(C64,'[1]1.CUADRO RESUMEN DE SITIOS '!$C$5:$L$1052,4,FALSE())</f>
        <v>8.2468730000000008</v>
      </c>
      <c r="G64" s="23">
        <f>VLOOKUP(C64,'[1]1.CUADRO RESUMEN DE SITIOS '!$C$5:$L$1052,5,FALSE())</f>
        <v>-75.362761000000006</v>
      </c>
      <c r="H64" s="23" t="str">
        <f>VLOOKUP(C64,'[1]1.CUADRO RESUMEN DE SITIOS '!$C$5:$L$1052,6,FALSE())</f>
        <v>Córdoba</v>
      </c>
      <c r="I64" s="23" t="str">
        <f>VLOOKUP(C64,'[1]1.CUADRO RESUMEN DE SITIOS '!$C$5:$L$1052,7,FALSE())</f>
        <v>WOM</v>
      </c>
      <c r="J64" s="25" t="str">
        <f>VLOOKUP(C64,'[1]1.CUADRO RESUMEN DE SITIOS '!$C$5:$L$1052,8,FALSE())</f>
        <v>COSTA</v>
      </c>
      <c r="K64" s="23" t="str">
        <f>VLOOKUP(C64,'[1]1.CUADRO RESUMEN DE SITIOS '!$C$5:$L$1052,9,FALSE())</f>
        <v>Alfredo de la Cruz</v>
      </c>
      <c r="L64" s="26" t="str">
        <f>VLOOKUP(C64,'[1]1.CUADRO RESUMEN DE SITIOS '!$C$5:$L$1052,10,FALSE())</f>
        <v>Terminado</v>
      </c>
      <c r="M64" s="26">
        <v>8828120217</v>
      </c>
      <c r="N64" s="26">
        <f>VLOOKUP(M64,[1]LPU!$A$2:$G$1512,2,FALSE())</f>
        <v>60</v>
      </c>
      <c r="O64" s="26" t="str">
        <f>VLOOKUP(M64,[1]LPU!$A$2:$G$1512,3,FALSE)</f>
        <v>Prueba en Vacio de Transformador</v>
      </c>
      <c r="P64" s="26" t="str">
        <f>VLOOKUP(M64,[1]LPU!$A$2:$G$1512,4,FALSE())</f>
        <v>ENERGÍA</v>
      </c>
      <c r="Q64" s="26" t="str">
        <f>VLOOKUP(M64,[1]LPU!$A$2:$G$1512,5,FALSE())</f>
        <v>U</v>
      </c>
      <c r="R64" s="27">
        <f>VLOOKUP(M64,[1]LPU!$A$2:$G$1512,6,FALSE())</f>
        <v>269856</v>
      </c>
      <c r="S64" s="27" t="str">
        <f>VLOOKUP(M64,[1]LPU!$A$2:$G$1512,7,FALSE())</f>
        <v>LPU FLM</v>
      </c>
      <c r="T64" s="28">
        <v>1</v>
      </c>
      <c r="U64" s="29">
        <f t="shared" si="1"/>
        <v>269856</v>
      </c>
      <c r="V64" s="29" t="s">
        <v>84</v>
      </c>
      <c r="W64" s="30"/>
      <c r="X64" s="29" t="s">
        <v>27</v>
      </c>
      <c r="Y64" s="5"/>
      <c r="Z64" s="5"/>
      <c r="AA64" s="5"/>
      <c r="AB64" s="5"/>
      <c r="AC64" s="5"/>
      <c r="AD64" s="5"/>
      <c r="AE64" s="5"/>
      <c r="AF64" s="5"/>
      <c r="AG64" s="5"/>
      <c r="AH64" s="38"/>
      <c r="AI64" s="38"/>
      <c r="AJ64" s="38"/>
      <c r="AK64" s="38"/>
      <c r="AL64" s="38"/>
      <c r="AM64" s="38"/>
      <c r="AN64" s="38"/>
      <c r="AO64" s="38"/>
      <c r="AP64" s="38"/>
    </row>
    <row r="65" spans="1:42" ht="21" customHeight="1" x14ac:dyDescent="0.3">
      <c r="A65" s="22">
        <v>61</v>
      </c>
      <c r="B65" s="23">
        <v>1</v>
      </c>
      <c r="C65" s="23" t="s">
        <v>83</v>
      </c>
      <c r="D65" s="23" t="str">
        <f>VLOOKUP(C65,'[1]1.CUADRO RESUMEN DE SITIOS '!$C$5:$L$1052,2,FALSE())</f>
        <v>JCOR_00246</v>
      </c>
      <c r="E65" s="24">
        <f>VLOOKUP(C65,'[1]1.CUADRO RESUMEN DE SITIOS '!$C$5:$L$1052,3,FALSE())</f>
        <v>45950</v>
      </c>
      <c r="F65" s="23">
        <f>VLOOKUP(C65,'[1]1.CUADRO RESUMEN DE SITIOS '!$C$5:$L$1052,4,FALSE())</f>
        <v>8.2468730000000008</v>
      </c>
      <c r="G65" s="23">
        <f>VLOOKUP(C65,'[1]1.CUADRO RESUMEN DE SITIOS '!$C$5:$L$1052,5,FALSE())</f>
        <v>-75.362761000000006</v>
      </c>
      <c r="H65" s="23" t="str">
        <f>VLOOKUP(C65,'[1]1.CUADRO RESUMEN DE SITIOS '!$C$5:$L$1052,6,FALSE())</f>
        <v>Córdoba</v>
      </c>
      <c r="I65" s="23" t="str">
        <f>VLOOKUP(C65,'[1]1.CUADRO RESUMEN DE SITIOS '!$C$5:$L$1052,7,FALSE())</f>
        <v>WOM</v>
      </c>
      <c r="J65" s="25" t="str">
        <f>VLOOKUP(C65,'[1]1.CUADRO RESUMEN DE SITIOS '!$C$5:$L$1052,8,FALSE())</f>
        <v>COSTA</v>
      </c>
      <c r="K65" s="23" t="str">
        <f>VLOOKUP(C65,'[1]1.CUADRO RESUMEN DE SITIOS '!$C$5:$L$1052,9,FALSE())</f>
        <v>Alfredo de la Cruz</v>
      </c>
      <c r="L65" s="26" t="str">
        <f>VLOOKUP(C65,'[1]1.CUADRO RESUMEN DE SITIOS '!$C$5:$L$1052,10,FALSE())</f>
        <v>Terminado</v>
      </c>
      <c r="M65" s="26">
        <v>8828119941</v>
      </c>
      <c r="N65" s="26">
        <f>VLOOKUP(M65,[1]LPU!$A$2:$G$1512,2,FALSE())</f>
        <v>165</v>
      </c>
      <c r="O65" s="26" t="str">
        <f>VLOOKUP(M65,[1]LPU!$A$2:$G$1512,3,FALSE)</f>
        <v>Transporte tipo C, zona de dificil acceso</v>
      </c>
      <c r="P65" s="26" t="str">
        <f>VLOOKUP(M65,[1]LPU!$A$2:$G$1512,4,FALSE())</f>
        <v>LOCATIVO</v>
      </c>
      <c r="Q65" s="26" t="str">
        <f>VLOOKUP(M65,[1]LPU!$A$2:$G$1512,5,FALSE())</f>
        <v>Global</v>
      </c>
      <c r="R65" s="27">
        <f>VLOOKUP(M65,[1]LPU!$A$2:$G$1512,6,FALSE())</f>
        <v>388801.05</v>
      </c>
      <c r="S65" s="27" t="str">
        <f>VLOOKUP(M65,[1]LPU!$A$2:$G$1512,7,FALSE())</f>
        <v>LPU FLM</v>
      </c>
      <c r="T65" s="28">
        <v>1</v>
      </c>
      <c r="U65" s="29">
        <f t="shared" si="1"/>
        <v>388801.05</v>
      </c>
      <c r="V65" s="29" t="s">
        <v>84</v>
      </c>
      <c r="W65" s="30"/>
      <c r="X65" s="29" t="s">
        <v>27</v>
      </c>
      <c r="Y65" s="5"/>
      <c r="Z65" s="5"/>
      <c r="AA65" s="5"/>
      <c r="AB65" s="5"/>
      <c r="AC65" s="5"/>
      <c r="AD65" s="5"/>
      <c r="AE65" s="5"/>
      <c r="AF65" s="5"/>
      <c r="AG65" s="5"/>
      <c r="AH65" s="38"/>
      <c r="AI65" s="38"/>
      <c r="AJ65" s="38"/>
      <c r="AK65" s="38"/>
      <c r="AL65" s="38"/>
      <c r="AM65" s="38"/>
      <c r="AN65" s="38"/>
      <c r="AO65" s="38"/>
      <c r="AP65" s="38"/>
    </row>
    <row r="66" spans="1:42" ht="21" customHeight="1" x14ac:dyDescent="0.3">
      <c r="A66" s="22">
        <v>62</v>
      </c>
      <c r="B66" s="23">
        <v>1</v>
      </c>
      <c r="C66" s="23" t="s">
        <v>85</v>
      </c>
      <c r="D66" s="23" t="str">
        <f>VLOOKUP(C66,'[1]1.CUADRO RESUMEN DE SITIOS '!$C$5:$L$1052,2,FALSE())</f>
        <v>JSUC_00008</v>
      </c>
      <c r="E66" s="24">
        <f>VLOOKUP(C66,'[1]1.CUADRO RESUMEN DE SITIOS '!$C$5:$L$1052,3,FALSE())</f>
        <v>45899</v>
      </c>
      <c r="F66" s="23">
        <f>VLOOKUP(C66,'[1]1.CUADRO RESUMEN DE SITIOS '!$C$5:$L$1052,4,FALSE())</f>
        <v>8.4811099999999993</v>
      </c>
      <c r="G66" s="23">
        <f>VLOOKUP(C66,'[1]1.CUADRO RESUMEN DE SITIOS '!$C$5:$L$1052,5,FALSE())</f>
        <v>-74.709400000000002</v>
      </c>
      <c r="H66" s="23" t="str">
        <f>VLOOKUP(C66,'[1]1.CUADRO RESUMEN DE SITIOS '!$C$5:$L$1052,6,FALSE())</f>
        <v>Sucre</v>
      </c>
      <c r="I66" s="23" t="str">
        <f>VLOOKUP(C66,'[1]1.CUADRO RESUMEN DE SITIOS '!$C$5:$L$1052,7,FALSE())</f>
        <v>WOM</v>
      </c>
      <c r="J66" s="25" t="str">
        <f>VLOOKUP(C66,'[1]1.CUADRO RESUMEN DE SITIOS '!$C$5:$L$1052,8,FALSE())</f>
        <v>COSTA</v>
      </c>
      <c r="K66" s="23" t="str">
        <f>VLOOKUP(C66,'[1]1.CUADRO RESUMEN DE SITIOS '!$C$5:$L$1052,9,FALSE())</f>
        <v>Elkis Sandoval</v>
      </c>
      <c r="L66" s="26" t="str">
        <f>VLOOKUP(C66,'[1]1.CUADRO RESUMEN DE SITIOS '!$C$5:$L$1052,10,FALSE())</f>
        <v>Terminado</v>
      </c>
      <c r="M66" s="26">
        <v>8828120200</v>
      </c>
      <c r="N66" s="26">
        <f>VLOOKUP(M66,[1]LPU!$A$2:$G$1512,2,FALSE())</f>
        <v>57</v>
      </c>
      <c r="O66" s="26" t="str">
        <f>VLOOKUP(M66,[1]LPU!$A$2:$G$1512,3,FALSE)</f>
        <v>Apertura y Cierre de Cañuelas incluye Fusible</v>
      </c>
      <c r="P66" s="26" t="str">
        <f>VLOOKUP(M66,[1]LPU!$A$2:$G$1512,4,FALSE())</f>
        <v>ENERGÍA</v>
      </c>
      <c r="Q66" s="26" t="str">
        <f>VLOOKUP(M66,[1]LPU!$A$2:$G$1512,5,FALSE())</f>
        <v>U</v>
      </c>
      <c r="R66" s="27">
        <f>VLOOKUP(M66,[1]LPU!$A$2:$G$1512,6,FALSE())</f>
        <v>51840</v>
      </c>
      <c r="S66" s="27" t="str">
        <f>VLOOKUP(M66,[1]LPU!$A$2:$G$1512,7,FALSE())</f>
        <v>LPU FLM</v>
      </c>
      <c r="T66" s="28">
        <v>7.8</v>
      </c>
      <c r="U66" s="29">
        <f t="shared" si="1"/>
        <v>404352</v>
      </c>
      <c r="V66" s="29" t="s">
        <v>26</v>
      </c>
      <c r="W66" s="30"/>
      <c r="X66" s="29" t="s">
        <v>27</v>
      </c>
      <c r="Y66" s="5"/>
      <c r="Z66" s="5"/>
      <c r="AA66" s="5"/>
      <c r="AB66" s="5"/>
      <c r="AC66" s="5"/>
      <c r="AD66" s="5"/>
      <c r="AE66" s="5"/>
      <c r="AF66" s="5"/>
      <c r="AG66" s="5"/>
      <c r="AH66" s="38"/>
      <c r="AI66" s="38"/>
      <c r="AJ66" s="38"/>
      <c r="AK66" s="38"/>
      <c r="AL66" s="38"/>
      <c r="AM66" s="38"/>
      <c r="AN66" s="38"/>
      <c r="AO66" s="38"/>
      <c r="AP66" s="38"/>
    </row>
    <row r="67" spans="1:42" ht="21" customHeight="1" x14ac:dyDescent="0.3">
      <c r="A67" s="22">
        <v>63</v>
      </c>
      <c r="B67" s="23">
        <v>1</v>
      </c>
      <c r="C67" s="23" t="s">
        <v>85</v>
      </c>
      <c r="D67" s="23" t="str">
        <f>VLOOKUP(C67,'[1]1.CUADRO RESUMEN DE SITIOS '!$C$5:$L$1052,2,FALSE())</f>
        <v>JSUC_00008</v>
      </c>
      <c r="E67" s="24">
        <f>VLOOKUP(C67,'[1]1.CUADRO RESUMEN DE SITIOS '!$C$5:$L$1052,3,FALSE())</f>
        <v>45899</v>
      </c>
      <c r="F67" s="23">
        <f>VLOOKUP(C67,'[1]1.CUADRO RESUMEN DE SITIOS '!$C$5:$L$1052,4,FALSE())</f>
        <v>8.4811099999999993</v>
      </c>
      <c r="G67" s="23">
        <f>VLOOKUP(C67,'[1]1.CUADRO RESUMEN DE SITIOS '!$C$5:$L$1052,5,FALSE())</f>
        <v>-74.709400000000002</v>
      </c>
      <c r="H67" s="23" t="str">
        <f>VLOOKUP(C67,'[1]1.CUADRO RESUMEN DE SITIOS '!$C$5:$L$1052,6,FALSE())</f>
        <v>Sucre</v>
      </c>
      <c r="I67" s="23" t="str">
        <f>VLOOKUP(C67,'[1]1.CUADRO RESUMEN DE SITIOS '!$C$5:$L$1052,7,FALSE())</f>
        <v>WOM</v>
      </c>
      <c r="J67" s="25" t="str">
        <f>VLOOKUP(C67,'[1]1.CUADRO RESUMEN DE SITIOS '!$C$5:$L$1052,8,FALSE())</f>
        <v>COSTA</v>
      </c>
      <c r="K67" s="23" t="str">
        <f>VLOOKUP(C67,'[1]1.CUADRO RESUMEN DE SITIOS '!$C$5:$L$1052,9,FALSE())</f>
        <v>Elkis Sandoval</v>
      </c>
      <c r="L67" s="26" t="str">
        <f>VLOOKUP(C67,'[1]1.CUADRO RESUMEN DE SITIOS '!$C$5:$L$1052,10,FALSE())</f>
        <v>Terminado</v>
      </c>
      <c r="M67" s="26">
        <v>8828120200</v>
      </c>
      <c r="N67" s="26">
        <f>VLOOKUP(M67,[1]LPU!$A$2:$G$1512,2,FALSE())</f>
        <v>57</v>
      </c>
      <c r="O67" s="26" t="str">
        <f>VLOOKUP(M67,[1]LPU!$A$2:$G$1512,3,FALSE)</f>
        <v>Apertura y Cierre de Cañuelas incluye Fusible</v>
      </c>
      <c r="P67" s="26" t="str">
        <f>VLOOKUP(M67,[1]LPU!$A$2:$G$1512,4,FALSE())</f>
        <v>ENERGÍA</v>
      </c>
      <c r="Q67" s="26" t="str">
        <f>VLOOKUP(M67,[1]LPU!$A$2:$G$1512,5,FALSE())</f>
        <v>U</v>
      </c>
      <c r="R67" s="27">
        <f>VLOOKUP(M67,[1]LPU!$A$2:$G$1512,6,FALSE())</f>
        <v>51840</v>
      </c>
      <c r="S67" s="27" t="str">
        <f>VLOOKUP(M67,[1]LPU!$A$2:$G$1512,7,FALSE())</f>
        <v>LPU FLM</v>
      </c>
      <c r="T67" s="28">
        <v>5.21</v>
      </c>
      <c r="U67" s="29">
        <v>270000</v>
      </c>
      <c r="V67" s="29" t="s">
        <v>26</v>
      </c>
      <c r="W67" s="30"/>
      <c r="X67" s="29" t="s">
        <v>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ht="21" customHeight="1" x14ac:dyDescent="0.3">
      <c r="A68" s="22">
        <v>64</v>
      </c>
      <c r="B68" s="23">
        <v>1</v>
      </c>
      <c r="C68" s="23" t="s">
        <v>85</v>
      </c>
      <c r="D68" s="23" t="str">
        <f>VLOOKUP(C68,'[1]1.CUADRO RESUMEN DE SITIOS '!$C$5:$L$1052,2,FALSE())</f>
        <v>JSUC_00008</v>
      </c>
      <c r="E68" s="24">
        <f>VLOOKUP(C68,'[1]1.CUADRO RESUMEN DE SITIOS '!$C$5:$L$1052,3,FALSE())</f>
        <v>45899</v>
      </c>
      <c r="F68" s="23">
        <f>VLOOKUP(C68,'[1]1.CUADRO RESUMEN DE SITIOS '!$C$5:$L$1052,4,FALSE())</f>
        <v>8.4811099999999993</v>
      </c>
      <c r="G68" s="23">
        <f>VLOOKUP(C68,'[1]1.CUADRO RESUMEN DE SITIOS '!$C$5:$L$1052,5,FALSE())</f>
        <v>-74.709400000000002</v>
      </c>
      <c r="H68" s="23" t="str">
        <f>VLOOKUP(C68,'[1]1.CUADRO RESUMEN DE SITIOS '!$C$5:$L$1052,6,FALSE())</f>
        <v>Sucre</v>
      </c>
      <c r="I68" s="23" t="str">
        <f>VLOOKUP(C68,'[1]1.CUADRO RESUMEN DE SITIOS '!$C$5:$L$1052,7,FALSE())</f>
        <v>WOM</v>
      </c>
      <c r="J68" s="25" t="str">
        <f>VLOOKUP(C68,'[1]1.CUADRO RESUMEN DE SITIOS '!$C$5:$L$1052,8,FALSE())</f>
        <v>COSTA</v>
      </c>
      <c r="K68" s="23" t="str">
        <f>VLOOKUP(C68,'[1]1.CUADRO RESUMEN DE SITIOS '!$C$5:$L$1052,9,FALSE())</f>
        <v>Elkis Sandoval</v>
      </c>
      <c r="L68" s="26" t="str">
        <f>VLOOKUP(C68,'[1]1.CUADRO RESUMEN DE SITIOS '!$C$5:$L$1052,10,FALSE())</f>
        <v>Terminado</v>
      </c>
      <c r="M68" s="26">
        <v>8828120200</v>
      </c>
      <c r="N68" s="26">
        <f>VLOOKUP(M68,[1]LPU!$A$2:$G$1512,2,FALSE())</f>
        <v>57</v>
      </c>
      <c r="O68" s="26" t="str">
        <f>VLOOKUP(M68,[1]LPU!$A$2:$G$1512,3,FALSE)</f>
        <v>Apertura y Cierre de Cañuelas incluye Fusible</v>
      </c>
      <c r="P68" s="26" t="str">
        <f>VLOOKUP(M68,[1]LPU!$A$2:$G$1512,4,FALSE())</f>
        <v>ENERGÍA</v>
      </c>
      <c r="Q68" s="26" t="str">
        <f>VLOOKUP(M68,[1]LPU!$A$2:$G$1512,5,FALSE())</f>
        <v>U</v>
      </c>
      <c r="R68" s="27">
        <f>VLOOKUP(M68,[1]LPU!$A$2:$G$1512,6,FALSE())</f>
        <v>51840</v>
      </c>
      <c r="S68" s="27" t="str">
        <f>VLOOKUP(M68,[1]LPU!$A$2:$G$1512,7,FALSE())</f>
        <v>LPU FLM</v>
      </c>
      <c r="T68" s="28">
        <v>6.51</v>
      </c>
      <c r="U68" s="29">
        <f t="shared" ref="U68:U96" si="2">T68*R68</f>
        <v>337478.39999999997</v>
      </c>
      <c r="V68" s="29" t="s">
        <v>26</v>
      </c>
      <c r="W68" s="30"/>
      <c r="X68" s="29" t="s">
        <v>27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ht="21" customHeight="1" x14ac:dyDescent="0.3">
      <c r="A69" s="22">
        <v>65</v>
      </c>
      <c r="B69" s="23">
        <v>1</v>
      </c>
      <c r="C69" s="23" t="s">
        <v>85</v>
      </c>
      <c r="D69" s="23" t="str">
        <f>VLOOKUP(C69,'[1]1.CUADRO RESUMEN DE SITIOS '!$C$5:$L$1052,2,FALSE())</f>
        <v>JSUC_00008</v>
      </c>
      <c r="E69" s="24">
        <f>VLOOKUP(C69,'[1]1.CUADRO RESUMEN DE SITIOS '!$C$5:$L$1052,3,FALSE())</f>
        <v>45899</v>
      </c>
      <c r="F69" s="23">
        <f>VLOOKUP(C69,'[1]1.CUADRO RESUMEN DE SITIOS '!$C$5:$L$1052,4,FALSE())</f>
        <v>8.4811099999999993</v>
      </c>
      <c r="G69" s="23">
        <f>VLOOKUP(C69,'[1]1.CUADRO RESUMEN DE SITIOS '!$C$5:$L$1052,5,FALSE())</f>
        <v>-74.709400000000002</v>
      </c>
      <c r="H69" s="23" t="str">
        <f>VLOOKUP(C69,'[1]1.CUADRO RESUMEN DE SITIOS '!$C$5:$L$1052,6,FALSE())</f>
        <v>Sucre</v>
      </c>
      <c r="I69" s="23" t="str">
        <f>VLOOKUP(C69,'[1]1.CUADRO RESUMEN DE SITIOS '!$C$5:$L$1052,7,FALSE())</f>
        <v>WOM</v>
      </c>
      <c r="J69" s="25" t="str">
        <f>VLOOKUP(C69,'[1]1.CUADRO RESUMEN DE SITIOS '!$C$5:$L$1052,8,FALSE())</f>
        <v>COSTA</v>
      </c>
      <c r="K69" s="23" t="str">
        <f>VLOOKUP(C69,'[1]1.CUADRO RESUMEN DE SITIOS '!$C$5:$L$1052,9,FALSE())</f>
        <v>Elkis Sandoval</v>
      </c>
      <c r="L69" s="26" t="str">
        <f>VLOOKUP(C69,'[1]1.CUADRO RESUMEN DE SITIOS '!$C$5:$L$1052,10,FALSE())</f>
        <v>Terminado</v>
      </c>
      <c r="M69" s="26">
        <v>8828120200</v>
      </c>
      <c r="N69" s="26">
        <f>VLOOKUP(M69,[1]LPU!$A$2:$G$1512,2,FALSE())</f>
        <v>57</v>
      </c>
      <c r="O69" s="26" t="str">
        <f>VLOOKUP(M69,[1]LPU!$A$2:$G$1512,3,FALSE)</f>
        <v>Apertura y Cierre de Cañuelas incluye Fusible</v>
      </c>
      <c r="P69" s="26" t="str">
        <f>VLOOKUP(M69,[1]LPU!$A$2:$G$1512,4,FALSE())</f>
        <v>ENERGÍA</v>
      </c>
      <c r="Q69" s="26" t="str">
        <f>VLOOKUP(M69,[1]LPU!$A$2:$G$1512,5,FALSE())</f>
        <v>U</v>
      </c>
      <c r="R69" s="27">
        <f>VLOOKUP(M69,[1]LPU!$A$2:$G$1512,6,FALSE())</f>
        <v>51840</v>
      </c>
      <c r="S69" s="27" t="str">
        <f>VLOOKUP(M69,[1]LPU!$A$2:$G$1512,7,FALSE())</f>
        <v>LPU FLM</v>
      </c>
      <c r="T69" s="28">
        <v>5.21</v>
      </c>
      <c r="U69" s="29">
        <f t="shared" si="2"/>
        <v>270086.40000000002</v>
      </c>
      <c r="V69" s="29" t="s">
        <v>26</v>
      </c>
      <c r="W69" s="30"/>
      <c r="X69" s="29" t="s">
        <v>27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ht="21" customHeight="1" x14ac:dyDescent="0.3">
      <c r="A70" s="22">
        <v>66</v>
      </c>
      <c r="B70" s="23">
        <v>1</v>
      </c>
      <c r="C70" s="23" t="s">
        <v>87</v>
      </c>
      <c r="D70" s="23" t="str">
        <f>VLOOKUP(C70,'[1]1.CUADRO RESUMEN DE SITIOS '!$C$5:$L$1052,2,FALSE())</f>
        <v>JSUC_00496</v>
      </c>
      <c r="E70" s="24">
        <f>VLOOKUP(C70,'[1]1.CUADRO RESUMEN DE SITIOS '!$C$5:$L$1052,3,FALSE())</f>
        <v>40450</v>
      </c>
      <c r="F70" s="23">
        <f>VLOOKUP(C70,'[1]1.CUADRO RESUMEN DE SITIOS '!$C$5:$L$1052,4,FALSE())</f>
        <v>9.0757619999999992</v>
      </c>
      <c r="G70" s="23">
        <f>VLOOKUP(C70,'[1]1.CUADRO RESUMEN DE SITIOS '!$C$5:$L$1052,5,FALSE())</f>
        <v>-75.250719000000004</v>
      </c>
      <c r="H70" s="23" t="str">
        <f>VLOOKUP(C70,'[1]1.CUADRO RESUMEN DE SITIOS '!$C$5:$L$1052,6,FALSE())</f>
        <v>Sucre</v>
      </c>
      <c r="I70" s="23" t="str">
        <f>VLOOKUP(C70,'[1]1.CUADRO RESUMEN DE SITIOS '!$C$5:$L$1052,7,FALSE())</f>
        <v>WOM</v>
      </c>
      <c r="J70" s="25" t="str">
        <f>VLOOKUP(C70,'[1]1.CUADRO RESUMEN DE SITIOS '!$C$5:$L$1052,8,FALSE())</f>
        <v>COSTA</v>
      </c>
      <c r="K70" s="23" t="str">
        <f>VLOOKUP(C70,'[1]1.CUADRO RESUMEN DE SITIOS '!$C$5:$L$1052,9,FALSE())</f>
        <v>Wilson Alejandro Solarte</v>
      </c>
      <c r="L70" s="26" t="str">
        <f>VLOOKUP(C70,'[1]1.CUADRO RESUMEN DE SITIOS '!$C$5:$L$1052,10,FALSE())</f>
        <v>Terminado</v>
      </c>
      <c r="M70" s="26">
        <v>8828120200</v>
      </c>
      <c r="N70" s="26">
        <f>VLOOKUP(M70,[1]LPU!$A$2:$G$1512,2,FALSE())</f>
        <v>57</v>
      </c>
      <c r="O70" s="26" t="str">
        <f>VLOOKUP(M70,[1]LPU!$A$2:$G$1512,3,FALSE)</f>
        <v>Apertura y Cierre de Cañuelas incluye Fusible</v>
      </c>
      <c r="P70" s="26" t="str">
        <f>VLOOKUP(M70,[1]LPU!$A$2:$G$1512,4,FALSE())</f>
        <v>ENERGÍA</v>
      </c>
      <c r="Q70" s="26" t="str">
        <f>VLOOKUP(M70,[1]LPU!$A$2:$G$1512,5,FALSE())</f>
        <v>U</v>
      </c>
      <c r="R70" s="27">
        <f>VLOOKUP(M70,[1]LPU!$A$2:$G$1512,6,FALSE())</f>
        <v>51840</v>
      </c>
      <c r="S70" s="27" t="str">
        <f>VLOOKUP(M70,[1]LPU!$A$2:$G$1512,7,FALSE())</f>
        <v>LPU FLM</v>
      </c>
      <c r="T70" s="28">
        <v>2.61</v>
      </c>
      <c r="U70" s="29">
        <f t="shared" si="2"/>
        <v>135302.39999999999</v>
      </c>
      <c r="V70" s="29" t="s">
        <v>26</v>
      </c>
      <c r="W70" s="30"/>
      <c r="X70" s="29" t="s">
        <v>27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ht="21" customHeight="1" x14ac:dyDescent="0.3">
      <c r="A71" s="22">
        <v>67</v>
      </c>
      <c r="B71" s="23">
        <v>1</v>
      </c>
      <c r="C71" s="23" t="s">
        <v>83</v>
      </c>
      <c r="D71" s="23" t="str">
        <f>VLOOKUP(C71,'[1]1.CUADRO RESUMEN DE SITIOS '!$C$5:$L$1052,2,FALSE())</f>
        <v>JCOR_00246</v>
      </c>
      <c r="E71" s="24">
        <f>VLOOKUP(C71,'[1]1.CUADRO RESUMEN DE SITIOS '!$C$5:$L$1052,3,FALSE())</f>
        <v>45950</v>
      </c>
      <c r="F71" s="23">
        <f>VLOOKUP(C71,'[1]1.CUADRO RESUMEN DE SITIOS '!$C$5:$L$1052,4,FALSE())</f>
        <v>8.2468730000000008</v>
      </c>
      <c r="G71" s="23">
        <f>VLOOKUP(C71,'[1]1.CUADRO RESUMEN DE SITIOS '!$C$5:$L$1052,5,FALSE())</f>
        <v>-75.362761000000006</v>
      </c>
      <c r="H71" s="23" t="str">
        <f>VLOOKUP(C71,'[1]1.CUADRO RESUMEN DE SITIOS '!$C$5:$L$1052,6,FALSE())</f>
        <v>Córdoba</v>
      </c>
      <c r="I71" s="23" t="str">
        <f>VLOOKUP(C71,'[1]1.CUADRO RESUMEN DE SITIOS '!$C$5:$L$1052,7,FALSE())</f>
        <v>WOM</v>
      </c>
      <c r="J71" s="25" t="str">
        <f>VLOOKUP(C71,'[1]1.CUADRO RESUMEN DE SITIOS '!$C$5:$L$1052,8,FALSE())</f>
        <v>COSTA</v>
      </c>
      <c r="K71" s="23" t="str">
        <f>VLOOKUP(C71,'[1]1.CUADRO RESUMEN DE SITIOS '!$C$5:$L$1052,9,FALSE())</f>
        <v>Alfredo de la Cruz</v>
      </c>
      <c r="L71" s="26" t="str">
        <f>VLOOKUP(C71,'[1]1.CUADRO RESUMEN DE SITIOS '!$C$5:$L$1052,10,FALSE())</f>
        <v>Terminado</v>
      </c>
      <c r="M71" s="26">
        <v>8828120200</v>
      </c>
      <c r="N71" s="26">
        <f>VLOOKUP(M71,[1]LPU!$A$2:$G$1512,2,FALSE())</f>
        <v>57</v>
      </c>
      <c r="O71" s="26" t="str">
        <f>VLOOKUP(M71,[1]LPU!$A$2:$G$1512,3,FALSE)</f>
        <v>Apertura y Cierre de Cañuelas incluye Fusible</v>
      </c>
      <c r="P71" s="26" t="str">
        <f>VLOOKUP(M71,[1]LPU!$A$2:$G$1512,4,FALSE())</f>
        <v>ENERGÍA</v>
      </c>
      <c r="Q71" s="26" t="str">
        <f>VLOOKUP(M71,[1]LPU!$A$2:$G$1512,5,FALSE())</f>
        <v>U</v>
      </c>
      <c r="R71" s="27">
        <f>VLOOKUP(M71,[1]LPU!$A$2:$G$1512,6,FALSE())</f>
        <v>51840</v>
      </c>
      <c r="S71" s="27" t="str">
        <f>VLOOKUP(M71,[1]LPU!$A$2:$G$1512,7,FALSE())</f>
        <v>LPU FLM</v>
      </c>
      <c r="T71" s="28">
        <v>6.25</v>
      </c>
      <c r="U71" s="29">
        <f t="shared" si="2"/>
        <v>324000</v>
      </c>
      <c r="V71" s="29" t="s">
        <v>26</v>
      </c>
      <c r="W71" s="30"/>
      <c r="X71" s="29" t="s">
        <v>27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ht="21" customHeight="1" x14ac:dyDescent="0.3">
      <c r="A72" s="22">
        <v>68</v>
      </c>
      <c r="B72" s="23">
        <v>1</v>
      </c>
      <c r="C72" s="23" t="s">
        <v>88</v>
      </c>
      <c r="D72" s="23" t="str">
        <f>VLOOKUP(C72,'[1]1.CUADRO RESUMEN DE SITIOS '!$C$5:$L$1052,2,FALSE())</f>
        <v>JCOR_00104</v>
      </c>
      <c r="E72" s="24">
        <f>VLOOKUP(C72,'[1]1.CUADRO RESUMEN DE SITIOS '!$C$5:$L$1052,3,FALSE())</f>
        <v>46014</v>
      </c>
      <c r="F72" s="23">
        <f>VLOOKUP(C72,'[1]1.CUADRO RESUMEN DE SITIOS '!$C$5:$L$1052,4,FALSE())</f>
        <v>8.6066000000000003</v>
      </c>
      <c r="G72" s="23">
        <f>VLOOKUP(C72,'[1]1.CUADRO RESUMEN DE SITIOS '!$C$5:$L$1052,5,FALSE())</f>
        <v>-76.152349999999998</v>
      </c>
      <c r="H72" s="23" t="str">
        <f>VLOOKUP(C72,'[1]1.CUADRO RESUMEN DE SITIOS '!$C$5:$L$1052,6,FALSE())</f>
        <v>Cordoba</v>
      </c>
      <c r="I72" s="23" t="str">
        <f>VLOOKUP(C72,'[1]1.CUADRO RESUMEN DE SITIOS '!$C$5:$L$1052,7,FALSE())</f>
        <v>WOM-HUAWEI</v>
      </c>
      <c r="J72" s="25">
        <f>VLOOKUP(C72,'[1]1.CUADRO RESUMEN DE SITIOS '!$C$5:$L$1052,8,FALSE())</f>
        <v>0</v>
      </c>
      <c r="K72" s="23" t="str">
        <f>VLOOKUP(C72,'[1]1.CUADRO RESUMEN DE SITIOS '!$C$5:$L$1052,9,FALSE())</f>
        <v>Cesar Osorio</v>
      </c>
      <c r="L72" s="26" t="str">
        <f>VLOOKUP(C72,'[1]1.CUADRO RESUMEN DE SITIOS '!$C$5:$L$1052,10,FALSE())</f>
        <v>Terminado</v>
      </c>
      <c r="M72" s="26">
        <v>8828120200</v>
      </c>
      <c r="N72" s="26">
        <f>VLOOKUP(M72,[1]LPU!$A$2:$G$1512,2,FALSE())</f>
        <v>57</v>
      </c>
      <c r="O72" s="26" t="str">
        <f>VLOOKUP(M72,[1]LPU!$A$2:$G$1512,3,FALSE)</f>
        <v>Apertura y Cierre de Cañuelas incluye Fusible</v>
      </c>
      <c r="P72" s="26" t="str">
        <f>VLOOKUP(M72,[1]LPU!$A$2:$G$1512,4,FALSE())</f>
        <v>ENERGÍA</v>
      </c>
      <c r="Q72" s="26" t="str">
        <f>VLOOKUP(M72,[1]LPU!$A$2:$G$1512,5,FALSE())</f>
        <v>U</v>
      </c>
      <c r="R72" s="27">
        <f>VLOOKUP(M72,[1]LPU!$A$2:$G$1512,6,FALSE())</f>
        <v>51840</v>
      </c>
      <c r="S72" s="27" t="str">
        <f>VLOOKUP(M72,[1]LPU!$A$2:$G$1512,7,FALSE())</f>
        <v>LPU FLM</v>
      </c>
      <c r="T72" s="28">
        <v>1</v>
      </c>
      <c r="U72" s="29">
        <f t="shared" si="2"/>
        <v>51840</v>
      </c>
      <c r="V72" s="29" t="s">
        <v>26</v>
      </c>
      <c r="W72" s="30"/>
      <c r="X72" s="29" t="s">
        <v>27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ht="21" customHeight="1" x14ac:dyDescent="0.3">
      <c r="A73" s="22">
        <v>69</v>
      </c>
      <c r="B73" s="23">
        <v>1</v>
      </c>
      <c r="C73" s="23" t="s">
        <v>89</v>
      </c>
      <c r="D73" s="23" t="str">
        <f>VLOOKUP(C73,'[1]1.CUADRO RESUMEN DE SITIOS '!$C$5:$L$1052,2,FALSE())</f>
        <v>JSUC_00069</v>
      </c>
      <c r="E73" s="24">
        <f>VLOOKUP(C73,'[1]1.CUADRO RESUMEN DE SITIOS '!$C$5:$L$1052,3,FALSE())</f>
        <v>45953</v>
      </c>
      <c r="F73" s="23">
        <f>VLOOKUP(C73,'[1]1.CUADRO RESUMEN DE SITIOS '!$C$5:$L$1052,4,FALSE())</f>
        <v>8.7741530000000001</v>
      </c>
      <c r="G73" s="23">
        <f>VLOOKUP(C73,'[1]1.CUADRO RESUMEN DE SITIOS '!$C$5:$L$1052,5,FALSE())</f>
        <v>-75.266397999999995</v>
      </c>
      <c r="H73" s="23" t="str">
        <f>VLOOKUP(C73,'[1]1.CUADRO RESUMEN DE SITIOS '!$C$5:$L$1052,6,FALSE())</f>
        <v>Sucre</v>
      </c>
      <c r="I73" s="23" t="str">
        <f>VLOOKUP(C73,'[1]1.CUADRO RESUMEN DE SITIOS '!$C$5:$L$1052,7,FALSE())</f>
        <v>WOM</v>
      </c>
      <c r="J73" s="25" t="str">
        <f>VLOOKUP(C73,'[1]1.CUADRO RESUMEN DE SITIOS '!$C$5:$L$1052,8,FALSE())</f>
        <v>COSTA</v>
      </c>
      <c r="K73" s="23" t="str">
        <f>VLOOKUP(C73,'[1]1.CUADRO RESUMEN DE SITIOS '!$C$5:$L$1052,9,FALSE())</f>
        <v>Alfredo de la Cruz</v>
      </c>
      <c r="L73" s="26" t="str">
        <f>VLOOKUP(C73,'[1]1.CUADRO RESUMEN DE SITIOS '!$C$5:$L$1052,10,FALSE())</f>
        <v>Terminado</v>
      </c>
      <c r="M73" s="26">
        <v>8828120200</v>
      </c>
      <c r="N73" s="26">
        <f>VLOOKUP(M73,[1]LPU!$A$2:$G$1512,2,FALSE())</f>
        <v>57</v>
      </c>
      <c r="O73" s="26" t="str">
        <f>VLOOKUP(M73,[1]LPU!$A$2:$G$1512,3,FALSE)</f>
        <v>Apertura y Cierre de Cañuelas incluye Fusible</v>
      </c>
      <c r="P73" s="26" t="str">
        <f>VLOOKUP(M73,[1]LPU!$A$2:$G$1512,4,FALSE())</f>
        <v>ENERGÍA</v>
      </c>
      <c r="Q73" s="26" t="str">
        <f>VLOOKUP(M73,[1]LPU!$A$2:$G$1512,5,FALSE())</f>
        <v>U</v>
      </c>
      <c r="R73" s="27">
        <f>VLOOKUP(M73,[1]LPU!$A$2:$G$1512,6,FALSE())</f>
        <v>51840</v>
      </c>
      <c r="S73" s="27" t="str">
        <f>VLOOKUP(M73,[1]LPU!$A$2:$G$1512,7,FALSE())</f>
        <v>LPU FLM</v>
      </c>
      <c r="T73" s="28">
        <v>2.61</v>
      </c>
      <c r="U73" s="29">
        <f t="shared" si="2"/>
        <v>135302.39999999999</v>
      </c>
      <c r="V73" s="29" t="s">
        <v>26</v>
      </c>
      <c r="W73" s="30"/>
      <c r="X73" s="29" t="s">
        <v>27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ht="21" customHeight="1" x14ac:dyDescent="0.3">
      <c r="A74" s="22">
        <v>70</v>
      </c>
      <c r="B74" s="23">
        <v>1</v>
      </c>
      <c r="C74" s="23" t="s">
        <v>90</v>
      </c>
      <c r="D74" s="23" t="str">
        <f>VLOOKUP(C74,'[1]1.CUADRO RESUMEN DE SITIOS '!$C$5:$L$1052,2,FALSE())</f>
        <v>JSUC_00148</v>
      </c>
      <c r="E74" s="24">
        <f>VLOOKUP(C74,'[1]1.CUADRO RESUMEN DE SITIOS '!$C$5:$L$1052,3,FALSE())</f>
        <v>45973</v>
      </c>
      <c r="F74" s="23">
        <f>VLOOKUP(C74,'[1]1.CUADRO RESUMEN DE SITIOS '!$C$5:$L$1052,4,FALSE())</f>
        <v>8.8015699999999999</v>
      </c>
      <c r="G74" s="23">
        <f>VLOOKUP(C74,'[1]1.CUADRO RESUMEN DE SITIOS '!$C$5:$L$1052,5,FALSE())</f>
        <v>-75.356999999999999</v>
      </c>
      <c r="H74" s="23" t="str">
        <f>VLOOKUP(C74,'[1]1.CUADRO RESUMEN DE SITIOS '!$C$5:$L$1052,6,FALSE())</f>
        <v>Sucre</v>
      </c>
      <c r="I74" s="23" t="str">
        <f>VLOOKUP(C74,'[1]1.CUADRO RESUMEN DE SITIOS '!$C$5:$L$1052,7,FALSE())</f>
        <v>WOM</v>
      </c>
      <c r="J74" s="25" t="str">
        <f>VLOOKUP(C74,'[1]1.CUADRO RESUMEN DE SITIOS '!$C$5:$L$1052,8,FALSE())</f>
        <v>COSTA</v>
      </c>
      <c r="K74" s="23" t="str">
        <f>VLOOKUP(C74,'[1]1.CUADRO RESUMEN DE SITIOS '!$C$5:$L$1052,9,FALSE())</f>
        <v>Alfredo de la Cruz</v>
      </c>
      <c r="L74" s="26" t="str">
        <f>VLOOKUP(C74,'[1]1.CUADRO RESUMEN DE SITIOS '!$C$5:$L$1052,10,FALSE())</f>
        <v>Terminado</v>
      </c>
      <c r="M74" s="26">
        <v>8828120200</v>
      </c>
      <c r="N74" s="26">
        <f>VLOOKUP(M74,[1]LPU!$A$2:$G$1512,2,FALSE())</f>
        <v>57</v>
      </c>
      <c r="O74" s="26" t="str">
        <f>VLOOKUP(M74,[1]LPU!$A$2:$G$1512,3,FALSE)</f>
        <v>Apertura y Cierre de Cañuelas incluye Fusible</v>
      </c>
      <c r="P74" s="26" t="str">
        <f>VLOOKUP(M74,[1]LPU!$A$2:$G$1512,4,FALSE())</f>
        <v>ENERGÍA</v>
      </c>
      <c r="Q74" s="26" t="str">
        <f>VLOOKUP(M74,[1]LPU!$A$2:$G$1512,5,FALSE())</f>
        <v>U</v>
      </c>
      <c r="R74" s="27">
        <f>VLOOKUP(M74,[1]LPU!$A$2:$G$1512,6,FALSE())</f>
        <v>51840</v>
      </c>
      <c r="S74" s="27" t="str">
        <f>VLOOKUP(M74,[1]LPU!$A$2:$G$1512,7,FALSE())</f>
        <v>LPU FLM</v>
      </c>
      <c r="T74" s="28">
        <v>2.61</v>
      </c>
      <c r="U74" s="29">
        <f t="shared" si="2"/>
        <v>135302.39999999999</v>
      </c>
      <c r="V74" s="29" t="s">
        <v>26</v>
      </c>
      <c r="W74" s="30"/>
      <c r="X74" s="29" t="s">
        <v>27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ht="21" customHeight="1" x14ac:dyDescent="0.3">
      <c r="A75" s="22">
        <v>71</v>
      </c>
      <c r="B75" s="23">
        <v>1</v>
      </c>
      <c r="C75" s="23" t="s">
        <v>91</v>
      </c>
      <c r="D75" s="23" t="str">
        <f>VLOOKUP(C75,'[1]1.CUADRO RESUMEN DE SITIOS '!$C$5:$L$1052,2,FALSE())</f>
        <v>JSUC_00275</v>
      </c>
      <c r="E75" s="24">
        <f>VLOOKUP(C75,'[1]1.CUADRO RESUMEN DE SITIOS '!$C$5:$L$1052,3,FALSE())</f>
        <v>45974</v>
      </c>
      <c r="F75" s="23">
        <f>VLOOKUP(C75,'[1]1.CUADRO RESUMEN DE SITIOS '!$C$5:$L$1052,4,FALSE())</f>
        <v>8.6031449999999996</v>
      </c>
      <c r="G75" s="23">
        <f>VLOOKUP(C75,'[1]1.CUADRO RESUMEN DE SITIOS '!$C$5:$L$1052,5,FALSE())</f>
        <v>-74.700749999999999</v>
      </c>
      <c r="H75" s="23" t="str">
        <f>VLOOKUP(C75,'[1]1.CUADRO RESUMEN DE SITIOS '!$C$5:$L$1052,6,FALSE())</f>
        <v>Sucre</v>
      </c>
      <c r="I75" s="23" t="str">
        <f>VLOOKUP(C75,'[1]1.CUADRO RESUMEN DE SITIOS '!$C$5:$L$1052,7,FALSE())</f>
        <v>WOM</v>
      </c>
      <c r="J75" s="25" t="str">
        <f>VLOOKUP(C75,'[1]1.CUADRO RESUMEN DE SITIOS '!$C$5:$L$1052,8,FALSE())</f>
        <v>COSTA</v>
      </c>
      <c r="K75" s="23" t="str">
        <f>VLOOKUP(C75,'[1]1.CUADRO RESUMEN DE SITIOS '!$C$5:$L$1052,9,FALSE())</f>
        <v>Alfredo de la Cruz</v>
      </c>
      <c r="L75" s="26" t="str">
        <f>VLOOKUP(C75,'[1]1.CUADRO RESUMEN DE SITIOS '!$C$5:$L$1052,10,FALSE())</f>
        <v>Terminado</v>
      </c>
      <c r="M75" s="26">
        <v>8828120200</v>
      </c>
      <c r="N75" s="26">
        <f>VLOOKUP(M75,[1]LPU!$A$2:$G$1512,2,FALSE())</f>
        <v>57</v>
      </c>
      <c r="O75" s="26" t="str">
        <f>VLOOKUP(M75,[1]LPU!$A$2:$G$1512,3,FALSE)</f>
        <v>Apertura y Cierre de Cañuelas incluye Fusible</v>
      </c>
      <c r="P75" s="26" t="str">
        <f>VLOOKUP(M75,[1]LPU!$A$2:$G$1512,4,FALSE())</f>
        <v>ENERGÍA</v>
      </c>
      <c r="Q75" s="26" t="str">
        <f>VLOOKUP(M75,[1]LPU!$A$2:$G$1512,5,FALSE())</f>
        <v>U</v>
      </c>
      <c r="R75" s="27">
        <f>VLOOKUP(M75,[1]LPU!$A$2:$G$1512,6,FALSE())</f>
        <v>51840</v>
      </c>
      <c r="S75" s="27" t="str">
        <f>VLOOKUP(M75,[1]LPU!$A$2:$G$1512,7,FALSE())</f>
        <v>LPU FLM</v>
      </c>
      <c r="T75" s="28">
        <v>6.51</v>
      </c>
      <c r="U75" s="29">
        <f t="shared" si="2"/>
        <v>337478.39999999997</v>
      </c>
      <c r="V75" s="29" t="s">
        <v>26</v>
      </c>
      <c r="W75" s="30"/>
      <c r="X75" s="29" t="s">
        <v>27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ht="21" customHeight="1" x14ac:dyDescent="0.3">
      <c r="A76" s="22">
        <v>72</v>
      </c>
      <c r="B76" s="23">
        <v>1</v>
      </c>
      <c r="C76" s="23" t="s">
        <v>92</v>
      </c>
      <c r="D76" s="23" t="str">
        <f>VLOOKUP(C76,'[1]1.CUADRO RESUMEN DE SITIOS '!$C$5:$L$1052,2,FALSE())</f>
        <v>JSUC_00037</v>
      </c>
      <c r="E76" s="24">
        <f>VLOOKUP(C76,'[1]1.CUADRO RESUMEN DE SITIOS '!$C$5:$L$1052,3,FALSE())</f>
        <v>45980</v>
      </c>
      <c r="F76" s="23">
        <f>VLOOKUP(C76,'[1]1.CUADRO RESUMEN DE SITIOS '!$C$5:$L$1052,4,FALSE())</f>
        <v>9.6295090000000005</v>
      </c>
      <c r="G76" s="23">
        <f>VLOOKUP(C76,'[1]1.CUADRO RESUMEN DE SITIOS '!$C$5:$L$1052,5,FALSE())</f>
        <v>-75.510982999999996</v>
      </c>
      <c r="H76" s="23" t="str">
        <f>VLOOKUP(C76,'[1]1.CUADRO RESUMEN DE SITIOS '!$C$5:$L$1052,6,FALSE())</f>
        <v>Sucre</v>
      </c>
      <c r="I76" s="23" t="str">
        <f>VLOOKUP(C76,'[1]1.CUADRO RESUMEN DE SITIOS '!$C$5:$L$1052,7,FALSE())</f>
        <v>WOM</v>
      </c>
      <c r="J76" s="25" t="str">
        <f>VLOOKUP(C76,'[1]1.CUADRO RESUMEN DE SITIOS '!$C$5:$L$1052,8,FALSE())</f>
        <v>COSTA</v>
      </c>
      <c r="K76" s="23" t="str">
        <f>VLOOKUP(C76,'[1]1.CUADRO RESUMEN DE SITIOS '!$C$5:$L$1052,9,FALSE())</f>
        <v>Alfredo de la Cruz</v>
      </c>
      <c r="L76" s="26" t="str">
        <f>VLOOKUP(C76,'[1]1.CUADRO RESUMEN DE SITIOS '!$C$5:$L$1052,10,FALSE())</f>
        <v>Terminado</v>
      </c>
      <c r="M76" s="26">
        <v>8828120200</v>
      </c>
      <c r="N76" s="26">
        <f>VLOOKUP(M76,[1]LPU!$A$2:$G$1512,2,FALSE())</f>
        <v>57</v>
      </c>
      <c r="O76" s="26" t="str">
        <f>VLOOKUP(M76,[1]LPU!$A$2:$G$1512,3,FALSE)</f>
        <v>Apertura y Cierre de Cañuelas incluye Fusible</v>
      </c>
      <c r="P76" s="26" t="str">
        <f>VLOOKUP(M76,[1]LPU!$A$2:$G$1512,4,FALSE())</f>
        <v>ENERGÍA</v>
      </c>
      <c r="Q76" s="26" t="str">
        <f>VLOOKUP(M76,[1]LPU!$A$2:$G$1512,5,FALSE())</f>
        <v>U</v>
      </c>
      <c r="R76" s="27">
        <f>VLOOKUP(M76,[1]LPU!$A$2:$G$1512,6,FALSE())</f>
        <v>51840</v>
      </c>
      <c r="S76" s="27" t="str">
        <f>VLOOKUP(M76,[1]LPU!$A$2:$G$1512,7,FALSE())</f>
        <v>LPU FLM</v>
      </c>
      <c r="T76" s="28">
        <v>2.6</v>
      </c>
      <c r="U76" s="29">
        <f t="shared" si="2"/>
        <v>134784</v>
      </c>
      <c r="V76" s="29" t="s">
        <v>26</v>
      </c>
      <c r="W76" s="30"/>
      <c r="X76" s="29" t="s">
        <v>27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ht="21" customHeight="1" x14ac:dyDescent="0.3">
      <c r="A77" s="22">
        <v>73</v>
      </c>
      <c r="B77" s="23">
        <v>1</v>
      </c>
      <c r="C77" s="23" t="s">
        <v>93</v>
      </c>
      <c r="D77" s="23" t="str">
        <f>VLOOKUP(C77,'[1]1.CUADRO RESUMEN DE SITIOS '!$C$5:$L$1052,2,FALSE())</f>
        <v>JCOR 00118</v>
      </c>
      <c r="E77" s="24">
        <f>VLOOKUP(C77,'[1]1.CUADRO RESUMEN DE SITIOS '!$C$5:$L$1052,3,FALSE())</f>
        <v>45912</v>
      </c>
      <c r="F77" s="23">
        <f>VLOOKUP(C77,'[1]1.CUADRO RESUMEN DE SITIOS '!$C$5:$L$1052,4,FALSE())</f>
        <v>7.8415900000000001</v>
      </c>
      <c r="G77" s="23">
        <f>VLOOKUP(C77,'[1]1.CUADRO RESUMEN DE SITIOS '!$C$5:$L$1052,5,FALSE())</f>
        <v>-75.523120000000006</v>
      </c>
      <c r="H77" s="23" t="str">
        <f>VLOOKUP(C77,'[1]1.CUADRO RESUMEN DE SITIOS '!$C$5:$L$1052,6,FALSE())</f>
        <v>Córdoba</v>
      </c>
      <c r="I77" s="23" t="str">
        <f>VLOOKUP(C77,'[1]1.CUADRO RESUMEN DE SITIOS '!$C$5:$L$1052,7,FALSE())</f>
        <v>WOM</v>
      </c>
      <c r="J77" s="25" t="str">
        <f>VLOOKUP(C77,'[1]1.CUADRO RESUMEN DE SITIOS '!$C$5:$L$1052,8,FALSE())</f>
        <v>COSTA</v>
      </c>
      <c r="K77" s="23" t="str">
        <f>VLOOKUP(C77,'[1]1.CUADRO RESUMEN DE SITIOS '!$C$5:$L$1052,9,FALSE())</f>
        <v>Alfredo de la Cruz</v>
      </c>
      <c r="L77" s="26" t="str">
        <f>VLOOKUP(C77,'[1]1.CUADRO RESUMEN DE SITIOS '!$C$5:$L$1052,10,FALSE())</f>
        <v>Terminado</v>
      </c>
      <c r="M77" s="26">
        <v>8828120200</v>
      </c>
      <c r="N77" s="26">
        <f>VLOOKUP(M77,[1]LPU!$A$2:$G$1512,2,FALSE())</f>
        <v>57</v>
      </c>
      <c r="O77" s="26" t="str">
        <f>VLOOKUP(M77,[1]LPU!$A$2:$G$1512,3,FALSE)</f>
        <v>Apertura y Cierre de Cañuelas incluye Fusible</v>
      </c>
      <c r="P77" s="26" t="str">
        <f>VLOOKUP(M77,[1]LPU!$A$2:$G$1512,4,FALSE())</f>
        <v>ENERGÍA</v>
      </c>
      <c r="Q77" s="26" t="str">
        <f>VLOOKUP(M77,[1]LPU!$A$2:$G$1512,5,FALSE())</f>
        <v>U</v>
      </c>
      <c r="R77" s="27">
        <f>VLOOKUP(M77,[1]LPU!$A$2:$G$1512,6,FALSE())</f>
        <v>51840</v>
      </c>
      <c r="S77" s="27" t="str">
        <f>VLOOKUP(M77,[1]LPU!$A$2:$G$1512,7,FALSE())</f>
        <v>LPU FLM</v>
      </c>
      <c r="T77" s="28">
        <v>14.84</v>
      </c>
      <c r="U77" s="29">
        <f t="shared" si="2"/>
        <v>769305.59999999998</v>
      </c>
      <c r="V77" s="29" t="s">
        <v>26</v>
      </c>
      <c r="W77" s="30"/>
      <c r="X77" s="29" t="s">
        <v>27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ht="21" customHeight="1" x14ac:dyDescent="0.3">
      <c r="A78" s="22">
        <v>74</v>
      </c>
      <c r="B78" s="23">
        <v>1</v>
      </c>
      <c r="C78" s="23" t="s">
        <v>94</v>
      </c>
      <c r="D78" s="23" t="str">
        <f>VLOOKUP(C78,'[1]1.CUADRO RESUMEN DE SITIOS '!$C$5:$L$1052,2,FALSE())</f>
        <v>VDP_01991</v>
      </c>
      <c r="E78" s="24">
        <f>VLOOKUP(C78,'[1]1.CUADRO RESUMEN DE SITIOS '!$C$5:$L$1052,3,FALSE())</f>
        <v>45980</v>
      </c>
      <c r="F78" s="23">
        <f>VLOOKUP(C78,'[1]1.CUADRO RESUMEN DE SITIOS '!$C$5:$L$1052,4,FALSE())</f>
        <v>10.470064000000001</v>
      </c>
      <c r="G78" s="23">
        <f>VLOOKUP(C78,'[1]1.CUADRO RESUMEN DE SITIOS '!$C$5:$L$1052,5,FALSE())</f>
        <v>-73.249386999999999</v>
      </c>
      <c r="H78" s="23" t="str">
        <f>VLOOKUP(C78,'[1]1.CUADRO RESUMEN DE SITIOS '!$C$5:$L$1052,6,FALSE())</f>
        <v>Cesar</v>
      </c>
      <c r="I78" s="23" t="str">
        <f>VLOOKUP(C78,'[1]1.CUADRO RESUMEN DE SITIOS '!$C$5:$L$1052,7,FALSE())</f>
        <v>WOM</v>
      </c>
      <c r="J78" s="25" t="str">
        <f>VLOOKUP(C78,'[1]1.CUADRO RESUMEN DE SITIOS '!$C$5:$L$1052,8,FALSE())</f>
        <v>COSTA</v>
      </c>
      <c r="K78" s="23" t="str">
        <f>VLOOKUP(C78,'[1]1.CUADRO RESUMEN DE SITIOS '!$C$5:$L$1052,9,FALSE())</f>
        <v>Alfredo de la Cruz</v>
      </c>
      <c r="L78" s="26" t="str">
        <f>VLOOKUP(C78,'[1]1.CUADRO RESUMEN DE SITIOS '!$C$5:$L$1052,10,FALSE())</f>
        <v>Terminado</v>
      </c>
      <c r="M78" s="26">
        <v>8828120200</v>
      </c>
      <c r="N78" s="26">
        <f>VLOOKUP(M78,[1]LPU!$A$2:$G$1512,2,FALSE())</f>
        <v>57</v>
      </c>
      <c r="O78" s="26" t="str">
        <f>VLOOKUP(M78,[1]LPU!$A$2:$G$1512,3,FALSE)</f>
        <v>Apertura y Cierre de Cañuelas incluye Fusible</v>
      </c>
      <c r="P78" s="26" t="str">
        <f>VLOOKUP(M78,[1]LPU!$A$2:$G$1512,4,FALSE())</f>
        <v>ENERGÍA</v>
      </c>
      <c r="Q78" s="26" t="str">
        <f>VLOOKUP(M78,[1]LPU!$A$2:$G$1512,5,FALSE())</f>
        <v>U</v>
      </c>
      <c r="R78" s="27">
        <f>VLOOKUP(M78,[1]LPU!$A$2:$G$1512,6,FALSE())</f>
        <v>51840</v>
      </c>
      <c r="S78" s="27" t="str">
        <f>VLOOKUP(M78,[1]LPU!$A$2:$G$1512,7,FALSE())</f>
        <v>LPU FLM</v>
      </c>
      <c r="T78" s="28">
        <v>10.41</v>
      </c>
      <c r="U78" s="29">
        <f t="shared" si="2"/>
        <v>539654.40000000002</v>
      </c>
      <c r="V78" s="29" t="s">
        <v>26</v>
      </c>
      <c r="W78" s="30"/>
      <c r="X78" s="29" t="s">
        <v>27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ht="21" customHeight="1" x14ac:dyDescent="0.3">
      <c r="A79" s="22">
        <v>75</v>
      </c>
      <c r="B79" s="23">
        <v>1</v>
      </c>
      <c r="C79" s="23" t="s">
        <v>95</v>
      </c>
      <c r="D79" s="23" t="str">
        <f>VLOOKUP(C79,'[1]1.CUADRO RESUMEN DE SITIOS '!$C$5:$L$1052,2,FALSE())</f>
        <v>JCOR_00013</v>
      </c>
      <c r="E79" s="24">
        <f>VLOOKUP(C79,'[1]1.CUADRO RESUMEN DE SITIOS '!$C$5:$L$1052,3,FALSE())</f>
        <v>45983</v>
      </c>
      <c r="F79" s="23">
        <f>VLOOKUP(C79,'[1]1.CUADRO RESUMEN DE SITIOS '!$C$5:$L$1052,4,FALSE())</f>
        <v>7.7325299999999997</v>
      </c>
      <c r="G79" s="23">
        <f>VLOOKUP(C79,'[1]1.CUADRO RESUMEN DE SITIOS '!$C$5:$L$1052,5,FALSE())</f>
        <v>-75.787589999999994</v>
      </c>
      <c r="H79" s="23" t="str">
        <f>VLOOKUP(C79,'[1]1.CUADRO RESUMEN DE SITIOS '!$C$5:$L$1052,6,FALSE())</f>
        <v>Córdoba</v>
      </c>
      <c r="I79" s="23" t="str">
        <f>VLOOKUP(C79,'[1]1.CUADRO RESUMEN DE SITIOS '!$C$5:$L$1052,7,FALSE())</f>
        <v>WOM</v>
      </c>
      <c r="J79" s="25" t="str">
        <f>VLOOKUP(C79,'[1]1.CUADRO RESUMEN DE SITIOS '!$C$5:$L$1052,8,FALSE())</f>
        <v>COSTA</v>
      </c>
      <c r="K79" s="23" t="str">
        <f>VLOOKUP(C79,'[1]1.CUADRO RESUMEN DE SITIOS '!$C$5:$L$1052,9,FALSE())</f>
        <v>Alfredo de la Cruz</v>
      </c>
      <c r="L79" s="26" t="str">
        <f>VLOOKUP(C79,'[1]1.CUADRO RESUMEN DE SITIOS '!$C$5:$L$1052,10,FALSE())</f>
        <v>Terminado</v>
      </c>
      <c r="M79" s="26">
        <v>8828120200</v>
      </c>
      <c r="N79" s="26">
        <f>VLOOKUP(M79,[1]LPU!$A$2:$G$1512,2,FALSE())</f>
        <v>57</v>
      </c>
      <c r="O79" s="26" t="str">
        <f>VLOOKUP(M79,[1]LPU!$A$2:$G$1512,3,FALSE)</f>
        <v>Apertura y Cierre de Cañuelas incluye Fusible</v>
      </c>
      <c r="P79" s="26" t="str">
        <f>VLOOKUP(M79,[1]LPU!$A$2:$G$1512,4,FALSE())</f>
        <v>ENERGÍA</v>
      </c>
      <c r="Q79" s="26" t="str">
        <f>VLOOKUP(M79,[1]LPU!$A$2:$G$1512,5,FALSE())</f>
        <v>U</v>
      </c>
      <c r="R79" s="27">
        <f>VLOOKUP(M79,[1]LPU!$A$2:$G$1512,6,FALSE())</f>
        <v>51840</v>
      </c>
      <c r="S79" s="27" t="str">
        <f>VLOOKUP(M79,[1]LPU!$A$2:$G$1512,7,FALSE())</f>
        <v>LPU FLM</v>
      </c>
      <c r="T79" s="28">
        <v>6.25</v>
      </c>
      <c r="U79" s="29">
        <f t="shared" si="2"/>
        <v>324000</v>
      </c>
      <c r="V79" s="29" t="s">
        <v>26</v>
      </c>
      <c r="W79" s="30"/>
      <c r="X79" s="29" t="s">
        <v>27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ht="21" customHeight="1" x14ac:dyDescent="0.3">
      <c r="A80" s="22">
        <v>76</v>
      </c>
      <c r="B80" s="23">
        <v>1</v>
      </c>
      <c r="C80" s="23" t="s">
        <v>96</v>
      </c>
      <c r="D80" s="23" t="str">
        <f>VLOOKUP(C80,'[1]1.CUADRO RESUMEN DE SITIOS '!$C$5:$L$1052,2,FALSE())</f>
        <v>JCOR_00279</v>
      </c>
      <c r="E80" s="24">
        <f>VLOOKUP(C80,'[1]1.CUADRO RESUMEN DE SITIOS '!$C$5:$L$1052,3,FALSE())</f>
        <v>45985</v>
      </c>
      <c r="F80" s="23">
        <f>VLOOKUP(C80,'[1]1.CUADRO RESUMEN DE SITIOS '!$C$5:$L$1052,4,FALSE())</f>
        <v>8.7959490000000002</v>
      </c>
      <c r="G80" s="23">
        <f>VLOOKUP(C80,'[1]1.CUADRO RESUMEN DE SITIOS '!$C$5:$L$1052,5,FALSE())</f>
        <v>-76.332999999999998</v>
      </c>
      <c r="H80" s="23" t="str">
        <f>VLOOKUP(C80,'[1]1.CUADRO RESUMEN DE SITIOS '!$C$5:$L$1052,6,FALSE())</f>
        <v>Córdoba</v>
      </c>
      <c r="I80" s="23" t="str">
        <f>VLOOKUP(C80,'[1]1.CUADRO RESUMEN DE SITIOS '!$C$5:$L$1052,7,FALSE())</f>
        <v>WOM</v>
      </c>
      <c r="J80" s="25" t="str">
        <f>VLOOKUP(C80,'[1]1.CUADRO RESUMEN DE SITIOS '!$C$5:$L$1052,8,FALSE())</f>
        <v>COSTA</v>
      </c>
      <c r="K80" s="23" t="str">
        <f>VLOOKUP(C80,'[1]1.CUADRO RESUMEN DE SITIOS '!$C$5:$L$1052,9,FALSE())</f>
        <v>Alfredo de la Cruz</v>
      </c>
      <c r="L80" s="26" t="str">
        <f>VLOOKUP(C80,'[1]1.CUADRO RESUMEN DE SITIOS '!$C$5:$L$1052,10,FALSE())</f>
        <v>Terminado</v>
      </c>
      <c r="M80" s="26">
        <v>8828120200</v>
      </c>
      <c r="N80" s="26">
        <f>VLOOKUP(M80,[1]LPU!$A$2:$G$1512,2,FALSE())</f>
        <v>57</v>
      </c>
      <c r="O80" s="26" t="str">
        <f>VLOOKUP(M80,[1]LPU!$A$2:$G$1512,3,FALSE)</f>
        <v>Apertura y Cierre de Cañuelas incluye Fusible</v>
      </c>
      <c r="P80" s="26" t="str">
        <f>VLOOKUP(M80,[1]LPU!$A$2:$G$1512,4,FALSE())</f>
        <v>ENERGÍA</v>
      </c>
      <c r="Q80" s="26" t="str">
        <f>VLOOKUP(M80,[1]LPU!$A$2:$G$1512,5,FALSE())</f>
        <v>U</v>
      </c>
      <c r="R80" s="27">
        <f>VLOOKUP(M80,[1]LPU!$A$2:$G$1512,6,FALSE())</f>
        <v>51840</v>
      </c>
      <c r="S80" s="27" t="str">
        <f>VLOOKUP(M80,[1]LPU!$A$2:$G$1512,7,FALSE())</f>
        <v>LPU FLM</v>
      </c>
      <c r="T80" s="28">
        <v>3.38</v>
      </c>
      <c r="U80" s="29">
        <f t="shared" si="2"/>
        <v>175219.19999999998</v>
      </c>
      <c r="V80" s="29" t="s">
        <v>26</v>
      </c>
      <c r="W80" s="30"/>
      <c r="X80" s="29" t="s">
        <v>27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ht="21" customHeight="1" x14ac:dyDescent="0.3">
      <c r="A81" s="22">
        <v>77</v>
      </c>
      <c r="B81" s="23">
        <v>1</v>
      </c>
      <c r="C81" s="23" t="s">
        <v>97</v>
      </c>
      <c r="D81" s="23" t="str">
        <f>VLOOKUP(C81,'[1]1.CUADRO RESUMEN DE SITIOS '!$C$5:$L$1052,2,FALSE())</f>
        <v>JGUA_00010</v>
      </c>
      <c r="E81" s="24">
        <f>VLOOKUP(C81,'[1]1.CUADRO RESUMEN DE SITIOS '!$C$5:$L$1052,3,FALSE())</f>
        <v>45966</v>
      </c>
      <c r="F81" s="23">
        <f>VLOOKUP(C81,'[1]1.CUADRO RESUMEN DE SITIOS '!$C$5:$L$1052,4,FALSE())</f>
        <v>11.358890000000001</v>
      </c>
      <c r="G81" s="23">
        <f>VLOOKUP(C81,'[1]1.CUADRO RESUMEN DE SITIOS '!$C$5:$L$1052,5,FALSE())</f>
        <v>-72.476789999999994</v>
      </c>
      <c r="H81" s="23" t="str">
        <f>VLOOKUP(C81,'[1]1.CUADRO RESUMEN DE SITIOS '!$C$5:$L$1052,6,FALSE())</f>
        <v>La Guajira</v>
      </c>
      <c r="I81" s="23" t="str">
        <f>VLOOKUP(C81,'[1]1.CUADRO RESUMEN DE SITIOS '!$C$5:$L$1052,7,FALSE())</f>
        <v>WOM</v>
      </c>
      <c r="J81" s="25" t="str">
        <f>VLOOKUP(C81,'[1]1.CUADRO RESUMEN DE SITIOS '!$C$5:$L$1052,8,FALSE())</f>
        <v>COSTA</v>
      </c>
      <c r="K81" s="23" t="str">
        <f>VLOOKUP(C81,'[1]1.CUADRO RESUMEN DE SITIOS '!$C$5:$L$1052,9,FALSE())</f>
        <v>Alfredo de la Cruz</v>
      </c>
      <c r="L81" s="26" t="str">
        <f>VLOOKUP(C81,'[1]1.CUADRO RESUMEN DE SITIOS '!$C$5:$L$1052,10,FALSE())</f>
        <v>Terminado</v>
      </c>
      <c r="M81" s="26">
        <v>8828120200</v>
      </c>
      <c r="N81" s="26">
        <f>VLOOKUP(M81,[1]LPU!$A$2:$G$1512,2,FALSE())</f>
        <v>57</v>
      </c>
      <c r="O81" s="26" t="str">
        <f>VLOOKUP(M81,[1]LPU!$A$2:$G$1512,3,FALSE)</f>
        <v>Apertura y Cierre de Cañuelas incluye Fusible</v>
      </c>
      <c r="P81" s="26" t="str">
        <f>VLOOKUP(M81,[1]LPU!$A$2:$G$1512,4,FALSE())</f>
        <v>ENERGÍA</v>
      </c>
      <c r="Q81" s="26" t="str">
        <f>VLOOKUP(M81,[1]LPU!$A$2:$G$1512,5,FALSE())</f>
        <v>U</v>
      </c>
      <c r="R81" s="27">
        <f>VLOOKUP(M81,[1]LPU!$A$2:$G$1512,6,FALSE())</f>
        <v>51840</v>
      </c>
      <c r="S81" s="27" t="str">
        <f>VLOOKUP(M81,[1]LPU!$A$2:$G$1512,7,FALSE())</f>
        <v>LPU FLM</v>
      </c>
      <c r="T81" s="28">
        <v>2.08</v>
      </c>
      <c r="U81" s="29">
        <f t="shared" si="2"/>
        <v>107827.2</v>
      </c>
      <c r="V81" s="29" t="s">
        <v>26</v>
      </c>
      <c r="W81" s="30"/>
      <c r="X81" s="29" t="s">
        <v>27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ht="21" customHeight="1" x14ac:dyDescent="0.3">
      <c r="A82" s="22">
        <v>78</v>
      </c>
      <c r="B82" s="23">
        <v>1</v>
      </c>
      <c r="C82" s="23" t="s">
        <v>98</v>
      </c>
      <c r="D82" s="23">
        <f>VLOOKUP(C82,'[1]1.CUADRO RESUMEN DE SITIOS '!$C$5:$L$1052,2,FALSE())</f>
        <v>0</v>
      </c>
      <c r="E82" s="24">
        <f>VLOOKUP(C82,'[1]1.CUADRO RESUMEN DE SITIOS '!$C$5:$L$1052,3,FALSE())</f>
        <v>45936</v>
      </c>
      <c r="F82" s="23">
        <f>VLOOKUP(C82,'[1]1.CUADRO RESUMEN DE SITIOS '!$C$5:$L$1052,4,FALSE())</f>
        <v>0</v>
      </c>
      <c r="G82" s="23">
        <f>VLOOKUP(C82,'[1]1.CUADRO RESUMEN DE SITIOS '!$C$5:$L$1052,5,FALSE())</f>
        <v>0</v>
      </c>
      <c r="H82" s="23">
        <f>VLOOKUP(C82,'[1]1.CUADRO RESUMEN DE SITIOS '!$C$5:$L$1052,6,FALSE())</f>
        <v>0</v>
      </c>
      <c r="I82" s="23">
        <f>VLOOKUP(C82,'[1]1.CUADRO RESUMEN DE SITIOS '!$C$5:$L$1052,7,FALSE())</f>
        <v>0</v>
      </c>
      <c r="J82" s="25">
        <f>VLOOKUP(C82,'[1]1.CUADRO RESUMEN DE SITIOS '!$C$5:$L$1052,8,FALSE())</f>
        <v>0</v>
      </c>
      <c r="K82" s="23">
        <f>VLOOKUP(C82,'[1]1.CUADRO RESUMEN DE SITIOS '!$C$5:$L$1052,9,FALSE())</f>
        <v>0</v>
      </c>
      <c r="L82" s="26" t="str">
        <f>VLOOKUP(C82,'[1]1.CUADRO RESUMEN DE SITIOS '!$C$5:$L$1052,10,FALSE())</f>
        <v>Terminado</v>
      </c>
      <c r="M82" s="26">
        <v>8828120200</v>
      </c>
      <c r="N82" s="26">
        <f>VLOOKUP(M82,[1]LPU!$A$2:$G$1512,2,FALSE())</f>
        <v>57</v>
      </c>
      <c r="O82" s="26" t="str">
        <f>VLOOKUP(M82,[1]LPU!$A$2:$G$1512,3,FALSE)</f>
        <v>Apertura y Cierre de Cañuelas incluye Fusible</v>
      </c>
      <c r="P82" s="26" t="str">
        <f>VLOOKUP(M82,[1]LPU!$A$2:$G$1512,4,FALSE())</f>
        <v>ENERGÍA</v>
      </c>
      <c r="Q82" s="26" t="str">
        <f>VLOOKUP(M82,[1]LPU!$A$2:$G$1512,5,FALSE())</f>
        <v>U</v>
      </c>
      <c r="R82" s="27">
        <f>VLOOKUP(M82,[1]LPU!$A$2:$G$1512,6,FALSE())</f>
        <v>51840</v>
      </c>
      <c r="S82" s="27" t="str">
        <f>VLOOKUP(M82,[1]LPU!$A$2:$G$1512,7,FALSE())</f>
        <v>LPU FLM</v>
      </c>
      <c r="T82" s="28">
        <v>7.21</v>
      </c>
      <c r="U82" s="29">
        <f t="shared" si="2"/>
        <v>373766.40000000002</v>
      </c>
      <c r="V82" s="29" t="s">
        <v>26</v>
      </c>
      <c r="W82" s="30"/>
      <c r="X82" s="29" t="s">
        <v>27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ht="21" customHeight="1" x14ac:dyDescent="0.3">
      <c r="A83" s="22">
        <v>79</v>
      </c>
      <c r="B83" s="23">
        <v>1</v>
      </c>
      <c r="C83" s="23" t="s">
        <v>98</v>
      </c>
      <c r="D83" s="23">
        <f>VLOOKUP(C83,'[1]1.CUADRO RESUMEN DE SITIOS '!$C$5:$L$1052,2,FALSE())</f>
        <v>0</v>
      </c>
      <c r="E83" s="24">
        <f>VLOOKUP(C83,'[1]1.CUADRO RESUMEN DE SITIOS '!$C$5:$L$1052,3,FALSE())</f>
        <v>45936</v>
      </c>
      <c r="F83" s="23">
        <f>VLOOKUP(C83,'[1]1.CUADRO RESUMEN DE SITIOS '!$C$5:$L$1052,4,FALSE())</f>
        <v>0</v>
      </c>
      <c r="G83" s="23">
        <f>VLOOKUP(C83,'[1]1.CUADRO RESUMEN DE SITIOS '!$C$5:$L$1052,5,FALSE())</f>
        <v>0</v>
      </c>
      <c r="H83" s="23">
        <f>VLOOKUP(C83,'[1]1.CUADRO RESUMEN DE SITIOS '!$C$5:$L$1052,6,FALSE())</f>
        <v>0</v>
      </c>
      <c r="I83" s="23">
        <f>VLOOKUP(C83,'[1]1.CUADRO RESUMEN DE SITIOS '!$C$5:$L$1052,7,FALSE())</f>
        <v>0</v>
      </c>
      <c r="J83" s="25">
        <f>VLOOKUP(C83,'[1]1.CUADRO RESUMEN DE SITIOS '!$C$5:$L$1052,8,FALSE())</f>
        <v>0</v>
      </c>
      <c r="K83" s="23">
        <f>VLOOKUP(C83,'[1]1.CUADRO RESUMEN DE SITIOS '!$C$5:$L$1052,9,FALSE())</f>
        <v>0</v>
      </c>
      <c r="L83" s="26" t="str">
        <f>VLOOKUP(C83,'[1]1.CUADRO RESUMEN DE SITIOS '!$C$5:$L$1052,10,FALSE())</f>
        <v>Terminado</v>
      </c>
      <c r="M83" s="26">
        <v>8828120200</v>
      </c>
      <c r="N83" s="26">
        <f>VLOOKUP(M83,[1]LPU!$A$2:$G$1512,2,FALSE())</f>
        <v>57</v>
      </c>
      <c r="O83" s="26" t="str">
        <f>VLOOKUP(M83,[1]LPU!$A$2:$G$1512,3,FALSE)</f>
        <v>Apertura y Cierre de Cañuelas incluye Fusible</v>
      </c>
      <c r="P83" s="26" t="str">
        <f>VLOOKUP(M83,[1]LPU!$A$2:$G$1512,4,FALSE())</f>
        <v>ENERGÍA</v>
      </c>
      <c r="Q83" s="26" t="str">
        <f>VLOOKUP(M83,[1]LPU!$A$2:$G$1512,5,FALSE())</f>
        <v>U</v>
      </c>
      <c r="R83" s="27">
        <f>VLOOKUP(M83,[1]LPU!$A$2:$G$1512,6,FALSE())</f>
        <v>51840</v>
      </c>
      <c r="S83" s="27" t="str">
        <f>VLOOKUP(M83,[1]LPU!$A$2:$G$1512,7,FALSE())</f>
        <v>LPU FLM</v>
      </c>
      <c r="T83" s="28">
        <v>7.81</v>
      </c>
      <c r="U83" s="29">
        <f t="shared" si="2"/>
        <v>404870.39999999997</v>
      </c>
      <c r="V83" s="29" t="s">
        <v>26</v>
      </c>
      <c r="W83" s="30"/>
      <c r="X83" s="29" t="s">
        <v>27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ht="21" customHeight="1" x14ac:dyDescent="0.3">
      <c r="A84" s="22">
        <v>80</v>
      </c>
      <c r="B84" s="23">
        <v>1</v>
      </c>
      <c r="C84" s="23" t="s">
        <v>99</v>
      </c>
      <c r="D84" s="23">
        <f>VLOOKUP(C84,'[1]1.CUADRO RESUMEN DE SITIOS '!$C$5:$L$1052,2,FALSE())</f>
        <v>0</v>
      </c>
      <c r="E84" s="24">
        <f>VLOOKUP(C84,'[1]1.CUADRO RESUMEN DE SITIOS '!$C$5:$L$1052,3,FALSE())</f>
        <v>45937</v>
      </c>
      <c r="F84" s="23">
        <f>VLOOKUP(C84,'[1]1.CUADRO RESUMEN DE SITIOS '!$C$5:$L$1052,4,FALSE())</f>
        <v>0</v>
      </c>
      <c r="G84" s="23">
        <f>VLOOKUP(C84,'[1]1.CUADRO RESUMEN DE SITIOS '!$C$5:$L$1052,5,FALSE())</f>
        <v>0</v>
      </c>
      <c r="H84" s="23">
        <f>VLOOKUP(C84,'[1]1.CUADRO RESUMEN DE SITIOS '!$C$5:$L$1052,6,FALSE())</f>
        <v>0</v>
      </c>
      <c r="I84" s="23">
        <f>VLOOKUP(C84,'[1]1.CUADRO RESUMEN DE SITIOS '!$C$5:$L$1052,7,FALSE())</f>
        <v>0</v>
      </c>
      <c r="J84" s="25">
        <f>VLOOKUP(C84,'[1]1.CUADRO RESUMEN DE SITIOS '!$C$5:$L$1052,8,FALSE())</f>
        <v>0</v>
      </c>
      <c r="K84" s="23">
        <f>VLOOKUP(C84,'[1]1.CUADRO RESUMEN DE SITIOS '!$C$5:$L$1052,9,FALSE())</f>
        <v>0</v>
      </c>
      <c r="L84" s="26" t="str">
        <f>VLOOKUP(C84,'[1]1.CUADRO RESUMEN DE SITIOS '!$C$5:$L$1052,10,FALSE())</f>
        <v>Terminado</v>
      </c>
      <c r="M84" s="26">
        <v>8828120200</v>
      </c>
      <c r="N84" s="26">
        <f>VLOOKUP(M84,[1]LPU!$A$2:$G$1512,2,FALSE())</f>
        <v>57</v>
      </c>
      <c r="O84" s="26" t="str">
        <f>VLOOKUP(M84,[1]LPU!$A$2:$G$1512,3,FALSE)</f>
        <v>Apertura y Cierre de Cañuelas incluye Fusible</v>
      </c>
      <c r="P84" s="26" t="str">
        <f>VLOOKUP(M84,[1]LPU!$A$2:$G$1512,4,FALSE())</f>
        <v>ENERGÍA</v>
      </c>
      <c r="Q84" s="26" t="str">
        <f>VLOOKUP(M84,[1]LPU!$A$2:$G$1512,5,FALSE())</f>
        <v>U</v>
      </c>
      <c r="R84" s="27">
        <f>VLOOKUP(M84,[1]LPU!$A$2:$G$1512,6,FALSE())</f>
        <v>51840</v>
      </c>
      <c r="S84" s="27" t="str">
        <f>VLOOKUP(M84,[1]LPU!$A$2:$G$1512,7,FALSE())</f>
        <v>LPU FLM</v>
      </c>
      <c r="T84" s="28">
        <v>4.68</v>
      </c>
      <c r="U84" s="29">
        <f t="shared" si="2"/>
        <v>242611.19999999998</v>
      </c>
      <c r="V84" s="29" t="s">
        <v>26</v>
      </c>
      <c r="W84" s="30"/>
      <c r="X84" s="29" t="s">
        <v>27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ht="21" customHeight="1" x14ac:dyDescent="0.3">
      <c r="A85" s="22">
        <v>81</v>
      </c>
      <c r="B85" s="23">
        <v>1</v>
      </c>
      <c r="C85" s="23" t="s">
        <v>100</v>
      </c>
      <c r="D85" s="23" t="str">
        <f>VLOOKUP(C85,'[1]1.CUADRO RESUMEN DE SITIOS '!$C$5:$L$1052,2,FALSE())</f>
        <v>COR_08877</v>
      </c>
      <c r="E85" s="24">
        <f>VLOOKUP(C85,'[1]1.CUADRO RESUMEN DE SITIOS '!$C$5:$L$1052,3,FALSE())</f>
        <v>45938</v>
      </c>
      <c r="F85" s="23">
        <f>VLOOKUP(C85,'[1]1.CUADRO RESUMEN DE SITIOS '!$C$5:$L$1052,4,FALSE())</f>
        <v>8.5082699999999996</v>
      </c>
      <c r="G85" s="23">
        <f>VLOOKUP(C85,'[1]1.CUADRO RESUMEN DE SITIOS '!$C$5:$L$1052,5,FALSE())</f>
        <v>-75.505279999999999</v>
      </c>
      <c r="H85" s="23" t="str">
        <f>VLOOKUP(C85,'[1]1.CUADRO RESUMEN DE SITIOS '!$C$5:$L$1052,6,FALSE())</f>
        <v>Córdoba</v>
      </c>
      <c r="I85" s="23" t="str">
        <f>VLOOKUP(C85,'[1]1.CUADRO RESUMEN DE SITIOS '!$C$5:$L$1052,7,FALSE())</f>
        <v>WOM</v>
      </c>
      <c r="J85" s="25" t="str">
        <f>VLOOKUP(C85,'[1]1.CUADRO RESUMEN DE SITIOS '!$C$5:$L$1052,8,FALSE())</f>
        <v>COSTA</v>
      </c>
      <c r="K85" s="23" t="str">
        <f>VLOOKUP(C85,'[1]1.CUADRO RESUMEN DE SITIOS '!$C$5:$L$1052,9,FALSE())</f>
        <v>Alfredo de la Cruz</v>
      </c>
      <c r="L85" s="26" t="str">
        <f>VLOOKUP(C85,'[1]1.CUADRO RESUMEN DE SITIOS '!$C$5:$L$1052,10,FALSE())</f>
        <v>Terminado</v>
      </c>
      <c r="M85" s="26">
        <v>8828120200</v>
      </c>
      <c r="N85" s="26">
        <f>VLOOKUP(M85,[1]LPU!$A$2:$G$1512,2,FALSE())</f>
        <v>57</v>
      </c>
      <c r="O85" s="26" t="str">
        <f>VLOOKUP(M85,[1]LPU!$A$2:$G$1512,3,FALSE)</f>
        <v>Apertura y Cierre de Cañuelas incluye Fusible</v>
      </c>
      <c r="P85" s="26" t="str">
        <f>VLOOKUP(M85,[1]LPU!$A$2:$G$1512,4,FALSE())</f>
        <v>ENERGÍA</v>
      </c>
      <c r="Q85" s="26" t="str">
        <f>VLOOKUP(M85,[1]LPU!$A$2:$G$1512,5,FALSE())</f>
        <v>U</v>
      </c>
      <c r="R85" s="27">
        <f>VLOOKUP(M85,[1]LPU!$A$2:$G$1512,6,FALSE())</f>
        <v>51840</v>
      </c>
      <c r="S85" s="27" t="str">
        <f>VLOOKUP(M85,[1]LPU!$A$2:$G$1512,7,FALSE())</f>
        <v>LPU FLM</v>
      </c>
      <c r="T85" s="28">
        <v>4.68</v>
      </c>
      <c r="U85" s="29">
        <f t="shared" si="2"/>
        <v>242611.19999999998</v>
      </c>
      <c r="V85" s="29" t="s">
        <v>26</v>
      </c>
      <c r="W85" s="30"/>
      <c r="X85" s="29" t="s">
        <v>27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ht="21" customHeight="1" x14ac:dyDescent="0.3">
      <c r="A86" s="22">
        <v>82</v>
      </c>
      <c r="B86" s="23">
        <v>1</v>
      </c>
      <c r="C86" s="23" t="s">
        <v>85</v>
      </c>
      <c r="D86" s="23" t="str">
        <f>VLOOKUP(C86,'[1]1.CUADRO RESUMEN DE SITIOS '!$C$5:$L$1052,2,FALSE())</f>
        <v>JSUC_00008</v>
      </c>
      <c r="E86" s="24">
        <f>VLOOKUP(C86,'[1]1.CUADRO RESUMEN DE SITIOS '!$C$5:$L$1052,3,FALSE())</f>
        <v>45899</v>
      </c>
      <c r="F86" s="23">
        <f>VLOOKUP(C86,'[1]1.CUADRO RESUMEN DE SITIOS '!$C$5:$L$1052,4,FALSE())</f>
        <v>8.4811099999999993</v>
      </c>
      <c r="G86" s="23">
        <f>VLOOKUP(C86,'[1]1.CUADRO RESUMEN DE SITIOS '!$C$5:$L$1052,5,FALSE())</f>
        <v>-74.709400000000002</v>
      </c>
      <c r="H86" s="23" t="str">
        <f>VLOOKUP(C86,'[1]1.CUADRO RESUMEN DE SITIOS '!$C$5:$L$1052,6,FALSE())</f>
        <v>Sucre</v>
      </c>
      <c r="I86" s="23" t="str">
        <f>VLOOKUP(C86,'[1]1.CUADRO RESUMEN DE SITIOS '!$C$5:$L$1052,7,FALSE())</f>
        <v>WOM</v>
      </c>
      <c r="J86" s="25" t="str">
        <f>VLOOKUP(C86,'[1]1.CUADRO RESUMEN DE SITIOS '!$C$5:$L$1052,8,FALSE())</f>
        <v>COSTA</v>
      </c>
      <c r="K86" s="23" t="str">
        <f>VLOOKUP(C86,'[1]1.CUADRO RESUMEN DE SITIOS '!$C$5:$L$1052,9,FALSE())</f>
        <v>Elkis Sandoval</v>
      </c>
      <c r="L86" s="26" t="str">
        <f>VLOOKUP(C86,'[1]1.CUADRO RESUMEN DE SITIOS '!$C$5:$L$1052,10,FALSE())</f>
        <v>Terminado</v>
      </c>
      <c r="M86" s="26">
        <v>8828120200</v>
      </c>
      <c r="N86" s="26">
        <f>VLOOKUP(M86,[1]LPU!$A$2:$G$1512,2,FALSE())</f>
        <v>57</v>
      </c>
      <c r="O86" s="26" t="str">
        <f>VLOOKUP(M86,[1]LPU!$A$2:$G$1512,3,FALSE)</f>
        <v>Apertura y Cierre de Cañuelas incluye Fusible</v>
      </c>
      <c r="P86" s="26" t="str">
        <f>VLOOKUP(M86,[1]LPU!$A$2:$G$1512,4,FALSE())</f>
        <v>ENERGÍA</v>
      </c>
      <c r="Q86" s="26" t="str">
        <f>VLOOKUP(M86,[1]LPU!$A$2:$G$1512,5,FALSE())</f>
        <v>U</v>
      </c>
      <c r="R86" s="27">
        <f>VLOOKUP(M86,[1]LPU!$A$2:$G$1512,6,FALSE())</f>
        <v>51840</v>
      </c>
      <c r="S86" s="27" t="str">
        <f>VLOOKUP(M86,[1]LPU!$A$2:$G$1512,7,FALSE())</f>
        <v>LPU FLM</v>
      </c>
      <c r="T86" s="28">
        <v>7.81</v>
      </c>
      <c r="U86" s="29">
        <f t="shared" si="2"/>
        <v>404870.39999999997</v>
      </c>
      <c r="V86" s="29" t="s">
        <v>26</v>
      </c>
      <c r="W86" s="30"/>
      <c r="X86" s="29" t="s">
        <v>27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ht="21" customHeight="1" x14ac:dyDescent="0.3">
      <c r="A87" s="22">
        <v>83</v>
      </c>
      <c r="B87" s="23">
        <v>1</v>
      </c>
      <c r="C87" s="23" t="s">
        <v>101</v>
      </c>
      <c r="D87" s="23" t="str">
        <f>VLOOKUP(C87,'[1]1.CUADRO RESUMEN DE SITIOS '!$C$5:$L$1052,2,FALSE())</f>
        <v>JSUC_00208</v>
      </c>
      <c r="E87" s="24">
        <f>VLOOKUP(C87,'[1]1.CUADRO RESUMEN DE SITIOS '!$C$5:$L$1052,3,FALSE())</f>
        <v>45920</v>
      </c>
      <c r="F87" s="23">
        <f>VLOOKUP(C87,'[1]1.CUADRO RESUMEN DE SITIOS '!$C$5:$L$1052,4,FALSE())</f>
        <v>9.0958000000000006</v>
      </c>
      <c r="G87" s="23">
        <f>VLOOKUP(C87,'[1]1.CUADRO RESUMEN DE SITIOS '!$C$5:$L$1052,5,FALSE())</f>
        <v>-75.091560000000001</v>
      </c>
      <c r="H87" s="23" t="str">
        <f>VLOOKUP(C87,'[1]1.CUADRO RESUMEN DE SITIOS '!$C$5:$L$1052,6,FALSE())</f>
        <v>Sucre</v>
      </c>
      <c r="I87" s="23" t="str">
        <f>VLOOKUP(C87,'[1]1.CUADRO RESUMEN DE SITIOS '!$C$5:$L$1052,7,FALSE())</f>
        <v>WOM</v>
      </c>
      <c r="J87" s="25" t="str">
        <f>VLOOKUP(C87,'[1]1.CUADRO RESUMEN DE SITIOS '!$C$5:$L$1052,8,FALSE())</f>
        <v>COSTA</v>
      </c>
      <c r="K87" s="23" t="str">
        <f>VLOOKUP(C87,'[1]1.CUADRO RESUMEN DE SITIOS '!$C$5:$L$1052,9,FALSE())</f>
        <v>Alfredo de la Cruz</v>
      </c>
      <c r="L87" s="26" t="str">
        <f>VLOOKUP(C87,'[1]1.CUADRO RESUMEN DE SITIOS '!$C$5:$L$1052,10,FALSE())</f>
        <v>Terminado</v>
      </c>
      <c r="M87" s="26">
        <v>8828120200</v>
      </c>
      <c r="N87" s="26">
        <f>VLOOKUP(M87,[1]LPU!$A$2:$G$1512,2,FALSE())</f>
        <v>57</v>
      </c>
      <c r="O87" s="26" t="str">
        <f>VLOOKUP(M87,[1]LPU!$A$2:$G$1512,3,FALSE)</f>
        <v>Apertura y Cierre de Cañuelas incluye Fusible</v>
      </c>
      <c r="P87" s="26" t="str">
        <f>VLOOKUP(M87,[1]LPU!$A$2:$G$1512,4,FALSE())</f>
        <v>ENERGÍA</v>
      </c>
      <c r="Q87" s="26" t="str">
        <f>VLOOKUP(M87,[1]LPU!$A$2:$G$1512,5,FALSE())</f>
        <v>U</v>
      </c>
      <c r="R87" s="27">
        <f>VLOOKUP(M87,[1]LPU!$A$2:$G$1512,6,FALSE())</f>
        <v>51840</v>
      </c>
      <c r="S87" s="27" t="str">
        <f>VLOOKUP(M87,[1]LPU!$A$2:$G$1512,7,FALSE())</f>
        <v>LPU FLM</v>
      </c>
      <c r="T87" s="28">
        <v>4</v>
      </c>
      <c r="U87" s="29">
        <f t="shared" si="2"/>
        <v>207360</v>
      </c>
      <c r="V87" s="29" t="s">
        <v>35</v>
      </c>
      <c r="W87" s="30"/>
      <c r="X87" s="29" t="s">
        <v>102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ht="21" customHeight="1" x14ac:dyDescent="0.3">
      <c r="A88" s="22">
        <v>84</v>
      </c>
      <c r="B88" s="23">
        <v>1</v>
      </c>
      <c r="C88" s="23" t="s">
        <v>101</v>
      </c>
      <c r="D88" s="23" t="str">
        <f>VLOOKUP(C88,'[1]1.CUADRO RESUMEN DE SITIOS '!$C$5:$L$1052,2,FALSE())</f>
        <v>JSUC_00208</v>
      </c>
      <c r="E88" s="24">
        <f>VLOOKUP(C88,'[1]1.CUADRO RESUMEN DE SITIOS '!$C$5:$L$1052,3,FALSE())</f>
        <v>45920</v>
      </c>
      <c r="F88" s="23">
        <f>VLOOKUP(C88,'[1]1.CUADRO RESUMEN DE SITIOS '!$C$5:$L$1052,4,FALSE())</f>
        <v>9.0958000000000006</v>
      </c>
      <c r="G88" s="23">
        <f>VLOOKUP(C88,'[1]1.CUADRO RESUMEN DE SITIOS '!$C$5:$L$1052,5,FALSE())</f>
        <v>-75.091560000000001</v>
      </c>
      <c r="H88" s="23" t="str">
        <f>VLOOKUP(C88,'[1]1.CUADRO RESUMEN DE SITIOS '!$C$5:$L$1052,6,FALSE())</f>
        <v>Sucre</v>
      </c>
      <c r="I88" s="23" t="str">
        <f>VLOOKUP(C88,'[1]1.CUADRO RESUMEN DE SITIOS '!$C$5:$L$1052,7,FALSE())</f>
        <v>WOM</v>
      </c>
      <c r="J88" s="25" t="str">
        <f>VLOOKUP(C88,'[1]1.CUADRO RESUMEN DE SITIOS '!$C$5:$L$1052,8,FALSE())</f>
        <v>COSTA</v>
      </c>
      <c r="K88" s="23" t="str">
        <f>VLOOKUP(C88,'[1]1.CUADRO RESUMEN DE SITIOS '!$C$5:$L$1052,9,FALSE())</f>
        <v>Alfredo de la Cruz</v>
      </c>
      <c r="L88" s="26" t="str">
        <f>VLOOKUP(C88,'[1]1.CUADRO RESUMEN DE SITIOS '!$C$5:$L$1052,10,FALSE())</f>
        <v>Terminado</v>
      </c>
      <c r="M88" s="26">
        <v>8828119146</v>
      </c>
      <c r="N88" s="26">
        <f>VLOOKUP(M88,[1]LPU!$A$2:$G$1512,2,FALSE())</f>
        <v>1.05</v>
      </c>
      <c r="O88" s="26" t="str">
        <f>VLOOKUP(M88,[1]LPU!$A$2:$G$1512,3,FALSE)</f>
        <v>Desconexión y desmonte de transformador existente de hasta 75 kVA, en frio (Con red desenergizada), transporte de personal y herramienta necesaria, limpieza de zona de trabajo.</v>
      </c>
      <c r="P88" s="26" t="str">
        <f>VLOOKUP(M88,[1]LPU!$A$2:$G$1512,4,FALSE())</f>
        <v>Mantenimiento Electrico</v>
      </c>
      <c r="Q88" s="26" t="str">
        <f>VLOOKUP(M88,[1]LPU!$A$2:$G$1512,5,FALSE())</f>
        <v>UN</v>
      </c>
      <c r="R88" s="27">
        <f>VLOOKUP(M88,[1]LPU!$A$2:$G$1512,6,FALSE())</f>
        <v>362993.35</v>
      </c>
      <c r="S88" s="27" t="str">
        <f>VLOOKUP(M88,[1]LPU!$A$2:$G$1512,7,FALSE())</f>
        <v>Mantenimiento Electrico</v>
      </c>
      <c r="T88" s="28">
        <v>1</v>
      </c>
      <c r="U88" s="29">
        <f t="shared" si="2"/>
        <v>362993.35</v>
      </c>
      <c r="V88" s="29" t="s">
        <v>35</v>
      </c>
      <c r="W88" s="30"/>
      <c r="X88" s="29" t="s">
        <v>102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ht="21" customHeight="1" x14ac:dyDescent="0.3">
      <c r="A89" s="22">
        <v>85</v>
      </c>
      <c r="B89" s="23">
        <v>1</v>
      </c>
      <c r="C89" s="23" t="s">
        <v>101</v>
      </c>
      <c r="D89" s="23" t="str">
        <f>VLOOKUP(C89,'[1]1.CUADRO RESUMEN DE SITIOS '!$C$5:$L$1052,2,FALSE())</f>
        <v>JSUC_00208</v>
      </c>
      <c r="E89" s="24">
        <f>VLOOKUP(C89,'[1]1.CUADRO RESUMEN DE SITIOS '!$C$5:$L$1052,3,FALSE())</f>
        <v>45920</v>
      </c>
      <c r="F89" s="23">
        <f>VLOOKUP(C89,'[1]1.CUADRO RESUMEN DE SITIOS '!$C$5:$L$1052,4,FALSE())</f>
        <v>9.0958000000000006</v>
      </c>
      <c r="G89" s="23">
        <f>VLOOKUP(C89,'[1]1.CUADRO RESUMEN DE SITIOS '!$C$5:$L$1052,5,FALSE())</f>
        <v>-75.091560000000001</v>
      </c>
      <c r="H89" s="23" t="str">
        <f>VLOOKUP(C89,'[1]1.CUADRO RESUMEN DE SITIOS '!$C$5:$L$1052,6,FALSE())</f>
        <v>Sucre</v>
      </c>
      <c r="I89" s="23" t="str">
        <f>VLOOKUP(C89,'[1]1.CUADRO RESUMEN DE SITIOS '!$C$5:$L$1052,7,FALSE())</f>
        <v>WOM</v>
      </c>
      <c r="J89" s="25" t="str">
        <f>VLOOKUP(C89,'[1]1.CUADRO RESUMEN DE SITIOS '!$C$5:$L$1052,8,FALSE())</f>
        <v>COSTA</v>
      </c>
      <c r="K89" s="23" t="str">
        <f>VLOOKUP(C89,'[1]1.CUADRO RESUMEN DE SITIOS '!$C$5:$L$1052,9,FALSE())</f>
        <v>Alfredo de la Cruz</v>
      </c>
      <c r="L89" s="26" t="str">
        <f>VLOOKUP(C89,'[1]1.CUADRO RESUMEN DE SITIOS '!$C$5:$L$1052,10,FALSE())</f>
        <v>Terminado</v>
      </c>
      <c r="M89" s="26">
        <v>8828119264</v>
      </c>
      <c r="N89" s="26">
        <f>VLOOKUP(M89,[1]LPU!$A$2:$G$1512,2,FALSE())</f>
        <v>378</v>
      </c>
      <c r="O89" s="26" t="str">
        <f>VLOOKUP(M89,[1]LPU!$A$2:$G$1512,3,FALSE)</f>
        <v>TRANSFORMADOR 10 KVA BIFASICO 13.2KV / 220 V N2 23</v>
      </c>
      <c r="P89" s="26" t="str">
        <f>VLOOKUP(M89,[1]LPU!$A$2:$G$1512,4,FALSE())</f>
        <v>Nivel 2</v>
      </c>
      <c r="Q89" s="26" t="str">
        <f>VLOOKUP(M89,[1]LPU!$A$2:$G$1512,5,FALSE())</f>
        <v>Uni</v>
      </c>
      <c r="R89" s="27">
        <f>VLOOKUP(M89,[1]LPU!$A$2:$G$1512,6,FALSE())</f>
        <v>4767149</v>
      </c>
      <c r="S89" s="27" t="str">
        <f>VLOOKUP(M89,[1]LPU!$A$2:$G$1512,7,FALSE())</f>
        <v>N2</v>
      </c>
      <c r="T89" s="28">
        <v>1</v>
      </c>
      <c r="U89" s="29">
        <f t="shared" si="2"/>
        <v>4767149</v>
      </c>
      <c r="V89" s="29" t="s">
        <v>35</v>
      </c>
      <c r="W89" s="30"/>
      <c r="X89" s="29" t="s">
        <v>102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ht="21" customHeight="1" x14ac:dyDescent="0.3">
      <c r="A90" s="22">
        <v>86</v>
      </c>
      <c r="B90" s="23">
        <v>1</v>
      </c>
      <c r="C90" s="23" t="s">
        <v>101</v>
      </c>
      <c r="D90" s="23" t="str">
        <f>VLOOKUP(C90,'[1]1.CUADRO RESUMEN DE SITIOS '!$C$5:$L$1052,2,FALSE())</f>
        <v>JSUC_00208</v>
      </c>
      <c r="E90" s="24">
        <f>VLOOKUP(C90,'[1]1.CUADRO RESUMEN DE SITIOS '!$C$5:$L$1052,3,FALSE())</f>
        <v>45920</v>
      </c>
      <c r="F90" s="23">
        <f>VLOOKUP(C90,'[1]1.CUADRO RESUMEN DE SITIOS '!$C$5:$L$1052,4,FALSE())</f>
        <v>9.0958000000000006</v>
      </c>
      <c r="G90" s="23">
        <f>VLOOKUP(C90,'[1]1.CUADRO RESUMEN DE SITIOS '!$C$5:$L$1052,5,FALSE())</f>
        <v>-75.091560000000001</v>
      </c>
      <c r="H90" s="23" t="str">
        <f>VLOOKUP(C90,'[1]1.CUADRO RESUMEN DE SITIOS '!$C$5:$L$1052,6,FALSE())</f>
        <v>Sucre</v>
      </c>
      <c r="I90" s="23" t="str">
        <f>VLOOKUP(C90,'[1]1.CUADRO RESUMEN DE SITIOS '!$C$5:$L$1052,7,FALSE())</f>
        <v>WOM</v>
      </c>
      <c r="J90" s="25" t="str">
        <f>VLOOKUP(C90,'[1]1.CUADRO RESUMEN DE SITIOS '!$C$5:$L$1052,8,FALSE())</f>
        <v>COSTA</v>
      </c>
      <c r="K90" s="23" t="str">
        <f>VLOOKUP(C90,'[1]1.CUADRO RESUMEN DE SITIOS '!$C$5:$L$1052,9,FALSE())</f>
        <v>Alfredo de la Cruz</v>
      </c>
      <c r="L90" s="26" t="str">
        <f>VLOOKUP(C90,'[1]1.CUADRO RESUMEN DE SITIOS '!$C$5:$L$1052,10,FALSE())</f>
        <v>Terminado</v>
      </c>
      <c r="M90" s="26">
        <v>8828118979</v>
      </c>
      <c r="N90" s="26">
        <f>VLOOKUP(M90,[1]LPU!$A$2:$G$1512,2,FALSE())</f>
        <v>157</v>
      </c>
      <c r="O90" s="26" t="str">
        <f>VLOOKUP(M90,[1]LPU!$A$2:$G$1512,3,FALSE)</f>
        <v>PARARRAYOS DE 13 2 KV N2 23</v>
      </c>
      <c r="P90" s="26" t="str">
        <f>VLOOKUP(M90,[1]LPU!$A$2:$G$1512,4,FALSE())</f>
        <v>Nivel 2</v>
      </c>
      <c r="Q90" s="26" t="str">
        <f>VLOOKUP(M90,[1]LPU!$A$2:$G$1512,5,FALSE())</f>
        <v>Uni</v>
      </c>
      <c r="R90" s="27">
        <f>VLOOKUP(M90,[1]LPU!$A$2:$G$1512,6,FALSE())</f>
        <v>397488</v>
      </c>
      <c r="S90" s="27" t="str">
        <f>VLOOKUP(M90,[1]LPU!$A$2:$G$1512,7,FALSE())</f>
        <v>N2</v>
      </c>
      <c r="T90" s="28">
        <v>4</v>
      </c>
      <c r="U90" s="29">
        <f t="shared" si="2"/>
        <v>1589952</v>
      </c>
      <c r="V90" s="29" t="s">
        <v>35</v>
      </c>
      <c r="W90" s="30"/>
      <c r="X90" s="29" t="s">
        <v>102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ht="21" customHeight="1" x14ac:dyDescent="0.3">
      <c r="A91" s="22">
        <v>87</v>
      </c>
      <c r="B91" s="23">
        <v>1</v>
      </c>
      <c r="C91" s="23" t="s">
        <v>101</v>
      </c>
      <c r="D91" s="23" t="str">
        <f>VLOOKUP(C91,'[1]1.CUADRO RESUMEN DE SITIOS '!$C$5:$L$1052,2,FALSE())</f>
        <v>JSUC_00208</v>
      </c>
      <c r="E91" s="24">
        <f>VLOOKUP(C91,'[1]1.CUADRO RESUMEN DE SITIOS '!$C$5:$L$1052,3,FALSE())</f>
        <v>45920</v>
      </c>
      <c r="F91" s="23">
        <f>VLOOKUP(C91,'[1]1.CUADRO RESUMEN DE SITIOS '!$C$5:$L$1052,4,FALSE())</f>
        <v>9.0958000000000006</v>
      </c>
      <c r="G91" s="23">
        <f>VLOOKUP(C91,'[1]1.CUADRO RESUMEN DE SITIOS '!$C$5:$L$1052,5,FALSE())</f>
        <v>-75.091560000000001</v>
      </c>
      <c r="H91" s="23" t="str">
        <f>VLOOKUP(C91,'[1]1.CUADRO RESUMEN DE SITIOS '!$C$5:$L$1052,6,FALSE())</f>
        <v>Sucre</v>
      </c>
      <c r="I91" s="23" t="str">
        <f>VLOOKUP(C91,'[1]1.CUADRO RESUMEN DE SITIOS '!$C$5:$L$1052,7,FALSE())</f>
        <v>WOM</v>
      </c>
      <c r="J91" s="25" t="str">
        <f>VLOOKUP(C91,'[1]1.CUADRO RESUMEN DE SITIOS '!$C$5:$L$1052,8,FALSE())</f>
        <v>COSTA</v>
      </c>
      <c r="K91" s="23" t="str">
        <f>VLOOKUP(C91,'[1]1.CUADRO RESUMEN DE SITIOS '!$C$5:$L$1052,9,FALSE())</f>
        <v>Alfredo de la Cruz</v>
      </c>
      <c r="L91" s="26" t="str">
        <f>VLOOKUP(C91,'[1]1.CUADRO RESUMEN DE SITIOS '!$C$5:$L$1052,10,FALSE())</f>
        <v>Terminado</v>
      </c>
      <c r="M91" s="26">
        <v>8828119360</v>
      </c>
      <c r="N91" s="26">
        <f>VLOOKUP(M91,[1]LPU!$A$2:$G$1512,2,FALSE())</f>
        <v>387</v>
      </c>
      <c r="O91" s="26" t="str">
        <f>VLOOKUP(M91,[1]LPU!$A$2:$G$1512,3,FALSE)</f>
        <v>TRANSPORTE TRANSFORMADOR 10KVA ZONA 2 N2 23</v>
      </c>
      <c r="P91" s="26" t="str">
        <f>VLOOKUP(M91,[1]LPU!$A$2:$G$1512,4,FALSE())</f>
        <v>Nivel 2</v>
      </c>
      <c r="Q91" s="26" t="str">
        <f>VLOOKUP(M91,[1]LPU!$A$2:$G$1512,5,FALSE())</f>
        <v>GL</v>
      </c>
      <c r="R91" s="27">
        <f>VLOOKUP(M91,[1]LPU!$A$2:$G$1512,6,FALSE())</f>
        <v>374680</v>
      </c>
      <c r="S91" s="27" t="str">
        <f>VLOOKUP(M91,[1]LPU!$A$2:$G$1512,7,FALSE())</f>
        <v>N2</v>
      </c>
      <c r="T91" s="28">
        <v>1</v>
      </c>
      <c r="U91" s="29">
        <f t="shared" si="2"/>
        <v>374680</v>
      </c>
      <c r="V91" s="29" t="s">
        <v>35</v>
      </c>
      <c r="W91" s="30"/>
      <c r="X91" s="29" t="s">
        <v>102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ht="21" customHeight="1" x14ac:dyDescent="0.3">
      <c r="A92" s="22">
        <v>88</v>
      </c>
      <c r="B92" s="23">
        <v>1</v>
      </c>
      <c r="C92" s="23" t="s">
        <v>101</v>
      </c>
      <c r="D92" s="23" t="str">
        <f>VLOOKUP(C92,'[1]1.CUADRO RESUMEN DE SITIOS '!$C$5:$L$1052,2,FALSE())</f>
        <v>JSUC_00208</v>
      </c>
      <c r="E92" s="24">
        <f>VLOOKUP(C92,'[1]1.CUADRO RESUMEN DE SITIOS '!$C$5:$L$1052,3,FALSE())</f>
        <v>45920</v>
      </c>
      <c r="F92" s="23">
        <f>VLOOKUP(C92,'[1]1.CUADRO RESUMEN DE SITIOS '!$C$5:$L$1052,4,FALSE())</f>
        <v>9.0958000000000006</v>
      </c>
      <c r="G92" s="23">
        <f>VLOOKUP(C92,'[1]1.CUADRO RESUMEN DE SITIOS '!$C$5:$L$1052,5,FALSE())</f>
        <v>-75.091560000000001</v>
      </c>
      <c r="H92" s="23" t="str">
        <f>VLOOKUP(C92,'[1]1.CUADRO RESUMEN DE SITIOS '!$C$5:$L$1052,6,FALSE())</f>
        <v>Sucre</v>
      </c>
      <c r="I92" s="23" t="str">
        <f>VLOOKUP(C92,'[1]1.CUADRO RESUMEN DE SITIOS '!$C$5:$L$1052,7,FALSE())</f>
        <v>WOM</v>
      </c>
      <c r="J92" s="25" t="str">
        <f>VLOOKUP(C92,'[1]1.CUADRO RESUMEN DE SITIOS '!$C$5:$L$1052,8,FALSE())</f>
        <v>COSTA</v>
      </c>
      <c r="K92" s="23" t="str">
        <f>VLOOKUP(C92,'[1]1.CUADRO RESUMEN DE SITIOS '!$C$5:$L$1052,9,FALSE())</f>
        <v>Alfredo de la Cruz</v>
      </c>
      <c r="L92" s="26" t="str">
        <f>VLOOKUP(C92,'[1]1.CUADRO RESUMEN DE SITIOS '!$C$5:$L$1052,10,FALSE())</f>
        <v>Terminado</v>
      </c>
      <c r="M92" s="26">
        <v>8828119941</v>
      </c>
      <c r="N92" s="26">
        <f>VLOOKUP(M92,[1]LPU!$A$2:$G$1512,2,FALSE())</f>
        <v>165</v>
      </c>
      <c r="O92" s="26" t="str">
        <f>VLOOKUP(M92,[1]LPU!$A$2:$G$1512,3,FALSE)</f>
        <v>Transporte tipo C, zona de dificil acceso</v>
      </c>
      <c r="P92" s="26" t="str">
        <f>VLOOKUP(M92,[1]LPU!$A$2:$G$1512,4,FALSE())</f>
        <v>LOCATIVO</v>
      </c>
      <c r="Q92" s="26" t="str">
        <f>VLOOKUP(M92,[1]LPU!$A$2:$G$1512,5,FALSE())</f>
        <v>Global</v>
      </c>
      <c r="R92" s="27">
        <f>VLOOKUP(M92,[1]LPU!$A$2:$G$1512,6,FALSE())</f>
        <v>388801.05</v>
      </c>
      <c r="S92" s="27" t="str">
        <f>VLOOKUP(M92,[1]LPU!$A$2:$G$1512,7,FALSE())</f>
        <v>LPU FLM</v>
      </c>
      <c r="T92" s="28">
        <v>1</v>
      </c>
      <c r="U92" s="29">
        <f t="shared" si="2"/>
        <v>388801.05</v>
      </c>
      <c r="V92" s="29" t="s">
        <v>35</v>
      </c>
      <c r="W92" s="30"/>
      <c r="X92" s="29" t="s">
        <v>102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ht="21" customHeight="1" x14ac:dyDescent="0.3">
      <c r="A93" s="22">
        <v>89</v>
      </c>
      <c r="B93" s="23">
        <v>1</v>
      </c>
      <c r="C93" s="23" t="s">
        <v>101</v>
      </c>
      <c r="D93" s="23" t="str">
        <f>VLOOKUP(C93,'[1]1.CUADRO RESUMEN DE SITIOS '!$C$5:$L$1052,2,FALSE())</f>
        <v>JSUC_00208</v>
      </c>
      <c r="E93" s="24">
        <f>VLOOKUP(C93,'[1]1.CUADRO RESUMEN DE SITIOS '!$C$5:$L$1052,3,FALSE())</f>
        <v>45920</v>
      </c>
      <c r="F93" s="23">
        <f>VLOOKUP(C93,'[1]1.CUADRO RESUMEN DE SITIOS '!$C$5:$L$1052,4,FALSE())</f>
        <v>9.0958000000000006</v>
      </c>
      <c r="G93" s="23">
        <f>VLOOKUP(C93,'[1]1.CUADRO RESUMEN DE SITIOS '!$C$5:$L$1052,5,FALSE())</f>
        <v>-75.091560000000001</v>
      </c>
      <c r="H93" s="23" t="str">
        <f>VLOOKUP(C93,'[1]1.CUADRO RESUMEN DE SITIOS '!$C$5:$L$1052,6,FALSE())</f>
        <v>Sucre</v>
      </c>
      <c r="I93" s="23" t="str">
        <f>VLOOKUP(C93,'[1]1.CUADRO RESUMEN DE SITIOS '!$C$5:$L$1052,7,FALSE())</f>
        <v>WOM</v>
      </c>
      <c r="J93" s="25" t="str">
        <f>VLOOKUP(C93,'[1]1.CUADRO RESUMEN DE SITIOS '!$C$5:$L$1052,8,FALSE())</f>
        <v>COSTA</v>
      </c>
      <c r="K93" s="23" t="str">
        <f>VLOOKUP(C93,'[1]1.CUADRO RESUMEN DE SITIOS '!$C$5:$L$1052,9,FALSE())</f>
        <v>Alfredo de la Cruz</v>
      </c>
      <c r="L93" s="26" t="str">
        <f>VLOOKUP(C93,'[1]1.CUADRO RESUMEN DE SITIOS '!$C$5:$L$1052,10,FALSE())</f>
        <v>Terminado</v>
      </c>
      <c r="M93" s="26">
        <v>8828119285</v>
      </c>
      <c r="N93" s="26">
        <f>VLOOKUP(M93,[1]LPU!$A$2:$G$1512,2,FALSE())</f>
        <v>2.48</v>
      </c>
      <c r="O93" s="26" t="str">
        <f>VLOOKUP(M93,[1]LPU!$A$2:$G$1512,3,FALSE)</f>
        <v>Suministro e instalación para la reposición del sistema de puesta a tierra para el trasformador en poste y sus protecciones, incluye varilla de cobre de 5/8" x 2,44 m, cinta de aterrizaje para tierras, conectores y accesorios de montaje, incluye todas las actividades necesarias para su ejecución.</v>
      </c>
      <c r="P93" s="26" t="str">
        <f>VLOOKUP(M93,[1]LPU!$A$2:$G$1512,4,FALSE())</f>
        <v>Mantenimiento Electrico</v>
      </c>
      <c r="Q93" s="26" t="str">
        <f>VLOOKUP(M93,[1]LPU!$A$2:$G$1512,5,FALSE())</f>
        <v>Glb</v>
      </c>
      <c r="R93" s="27">
        <f>VLOOKUP(M93,[1]LPU!$A$2:$G$1512,6,FALSE())</f>
        <v>737120</v>
      </c>
      <c r="S93" s="27" t="str">
        <f>VLOOKUP(M93,[1]LPU!$A$2:$G$1512,7,FALSE())</f>
        <v>Mantenimiento Electrico</v>
      </c>
      <c r="T93" s="28">
        <v>0.5</v>
      </c>
      <c r="U93" s="29">
        <f t="shared" si="2"/>
        <v>368560</v>
      </c>
      <c r="V93" s="29" t="s">
        <v>35</v>
      </c>
      <c r="W93" s="30"/>
      <c r="X93" s="29" t="s">
        <v>102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ht="21" customHeight="1" x14ac:dyDescent="0.3">
      <c r="A94" s="22">
        <v>90</v>
      </c>
      <c r="B94" s="23">
        <v>1</v>
      </c>
      <c r="C94" s="23" t="s">
        <v>101</v>
      </c>
      <c r="D94" s="23" t="str">
        <f>VLOOKUP(C94,'[1]1.CUADRO RESUMEN DE SITIOS '!$C$5:$L$1052,2,FALSE())</f>
        <v>JSUC_00208</v>
      </c>
      <c r="E94" s="24">
        <f>VLOOKUP(C94,'[1]1.CUADRO RESUMEN DE SITIOS '!$C$5:$L$1052,3,FALSE())</f>
        <v>45920</v>
      </c>
      <c r="F94" s="23">
        <f>VLOOKUP(C94,'[1]1.CUADRO RESUMEN DE SITIOS '!$C$5:$L$1052,4,FALSE())</f>
        <v>9.0958000000000006</v>
      </c>
      <c r="G94" s="23">
        <f>VLOOKUP(C94,'[1]1.CUADRO RESUMEN DE SITIOS '!$C$5:$L$1052,5,FALSE())</f>
        <v>-75.091560000000001</v>
      </c>
      <c r="H94" s="23" t="str">
        <f>VLOOKUP(C94,'[1]1.CUADRO RESUMEN DE SITIOS '!$C$5:$L$1052,6,FALSE())</f>
        <v>Sucre</v>
      </c>
      <c r="I94" s="23" t="str">
        <f>VLOOKUP(C94,'[1]1.CUADRO RESUMEN DE SITIOS '!$C$5:$L$1052,7,FALSE())</f>
        <v>WOM</v>
      </c>
      <c r="J94" s="25" t="str">
        <f>VLOOKUP(C94,'[1]1.CUADRO RESUMEN DE SITIOS '!$C$5:$L$1052,8,FALSE())</f>
        <v>COSTA</v>
      </c>
      <c r="K94" s="23" t="str">
        <f>VLOOKUP(C94,'[1]1.CUADRO RESUMEN DE SITIOS '!$C$5:$L$1052,9,FALSE())</f>
        <v>Alfredo de la Cruz</v>
      </c>
      <c r="L94" s="26" t="str">
        <f>VLOOKUP(C94,'[1]1.CUADRO RESUMEN DE SITIOS '!$C$5:$L$1052,10,FALSE())</f>
        <v>Terminado</v>
      </c>
      <c r="M94" s="26">
        <v>8828119110</v>
      </c>
      <c r="N94" s="26">
        <f>VLOOKUP(M94,[1]LPU!$A$2:$G$1512,2,FALSE())</f>
        <v>107</v>
      </c>
      <c r="O94" s="26" t="str">
        <f>VLOOKUP(M94,[1]LPU!$A$2:$G$1512,3,FALSE)</f>
        <v>Mano de Obra Tecnico Electricista Certficado CONTE</v>
      </c>
      <c r="P94" s="26" t="str">
        <f>VLOOKUP(M94,[1]LPU!$A$2:$G$1512,4,FALSE())</f>
        <v>ENERGÍA</v>
      </c>
      <c r="Q94" s="26" t="str">
        <f>VLOOKUP(M94,[1]LPU!$A$2:$G$1512,5,FALSE())</f>
        <v>DIA</v>
      </c>
      <c r="R94" s="27">
        <f>VLOOKUP(M94,[1]LPU!$A$2:$G$1512,6,FALSE())</f>
        <v>136000</v>
      </c>
      <c r="S94" s="27" t="str">
        <f>VLOOKUP(M94,[1]LPU!$A$2:$G$1512,7,FALSE())</f>
        <v>LPU FLM</v>
      </c>
      <c r="T94" s="28">
        <v>1</v>
      </c>
      <c r="U94" s="29">
        <f t="shared" si="2"/>
        <v>136000</v>
      </c>
      <c r="V94" s="29" t="s">
        <v>35</v>
      </c>
      <c r="W94" s="30"/>
      <c r="X94" s="29" t="s">
        <v>102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ht="21" customHeight="1" x14ac:dyDescent="0.3">
      <c r="A95" s="22">
        <v>91</v>
      </c>
      <c r="B95" s="23">
        <v>1</v>
      </c>
      <c r="C95" s="23" t="s">
        <v>101</v>
      </c>
      <c r="D95" s="23" t="str">
        <f>VLOOKUP(C95,'[1]1.CUADRO RESUMEN DE SITIOS '!$C$5:$L$1052,2,FALSE())</f>
        <v>JSUC_00208</v>
      </c>
      <c r="E95" s="24">
        <f>VLOOKUP(C95,'[1]1.CUADRO RESUMEN DE SITIOS '!$C$5:$L$1052,3,FALSE())</f>
        <v>45920</v>
      </c>
      <c r="F95" s="23">
        <f>VLOOKUP(C95,'[1]1.CUADRO RESUMEN DE SITIOS '!$C$5:$L$1052,4,FALSE())</f>
        <v>9.0958000000000006</v>
      </c>
      <c r="G95" s="23">
        <f>VLOOKUP(C95,'[1]1.CUADRO RESUMEN DE SITIOS '!$C$5:$L$1052,5,FALSE())</f>
        <v>-75.091560000000001</v>
      </c>
      <c r="H95" s="23" t="str">
        <f>VLOOKUP(C95,'[1]1.CUADRO RESUMEN DE SITIOS '!$C$5:$L$1052,6,FALSE())</f>
        <v>Sucre</v>
      </c>
      <c r="I95" s="23" t="str">
        <f>VLOOKUP(C95,'[1]1.CUADRO RESUMEN DE SITIOS '!$C$5:$L$1052,7,FALSE())</f>
        <v>WOM</v>
      </c>
      <c r="J95" s="25" t="str">
        <f>VLOOKUP(C95,'[1]1.CUADRO RESUMEN DE SITIOS '!$C$5:$L$1052,8,FALSE())</f>
        <v>COSTA</v>
      </c>
      <c r="K95" s="23" t="str">
        <f>VLOOKUP(C95,'[1]1.CUADRO RESUMEN DE SITIOS '!$C$5:$L$1052,9,FALSE())</f>
        <v>Alfredo de la Cruz</v>
      </c>
      <c r="L95" s="26" t="str">
        <f>VLOOKUP(C95,'[1]1.CUADRO RESUMEN DE SITIOS '!$C$5:$L$1052,10,FALSE())</f>
        <v>Terminado</v>
      </c>
      <c r="M95" s="26">
        <v>8828119661</v>
      </c>
      <c r="N95" s="26">
        <f>VLOOKUP(M95,[1]LPU!$A$2:$G$1512,2,FALSE())</f>
        <v>33</v>
      </c>
      <c r="O95" s="26" t="str">
        <f>VLOOKUP(M95,[1]LPU!$A$2:$G$1512,3,FALSE)</f>
        <v>CRUCETA METALICA DE 3.0 MTS N2 23</v>
      </c>
      <c r="P95" s="26" t="str">
        <f>VLOOKUP(M95,[1]LPU!$A$2:$G$1512,4,FALSE())</f>
        <v>Nivel 2</v>
      </c>
      <c r="Q95" s="26" t="str">
        <f>VLOOKUP(M95,[1]LPU!$A$2:$G$1512,5,FALSE())</f>
        <v>Uni</v>
      </c>
      <c r="R95" s="27">
        <f>VLOOKUP(M95,[1]LPU!$A$2:$G$1512,6,FALSE())</f>
        <v>148497</v>
      </c>
      <c r="S95" s="27" t="str">
        <f>VLOOKUP(M95,[1]LPU!$A$2:$G$1512,7,FALSE())</f>
        <v>N2</v>
      </c>
      <c r="T95" s="28">
        <v>1</v>
      </c>
      <c r="U95" s="29">
        <f t="shared" si="2"/>
        <v>148497</v>
      </c>
      <c r="V95" s="29" t="s">
        <v>35</v>
      </c>
      <c r="W95" s="30"/>
      <c r="X95" s="29" t="s">
        <v>102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ht="21" customHeight="1" x14ac:dyDescent="0.3">
      <c r="A96" s="22">
        <v>92</v>
      </c>
      <c r="B96" s="23">
        <v>1</v>
      </c>
      <c r="C96" s="23" t="s">
        <v>103</v>
      </c>
      <c r="D96" s="23" t="str">
        <f>VLOOKUP(C96,'[1]1.CUADRO RESUMEN DE SITIOS '!$C$5:$L$1052,2,FALSE())</f>
        <v>BUC_00980</v>
      </c>
      <c r="E96" s="24">
        <f>VLOOKUP(C96,'[1]1.CUADRO RESUMEN DE SITIOS '!$C$5:$L$1052,3,FALSE())</f>
        <v>45957</v>
      </c>
      <c r="F96" s="23">
        <f>VLOOKUP(C96,'[1]1.CUADRO RESUMEN DE SITIOS '!$C$5:$L$1052,4,FALSE())</f>
        <v>7.1172469999999999</v>
      </c>
      <c r="G96" s="23">
        <f>VLOOKUP(C96,'[1]1.CUADRO RESUMEN DE SITIOS '!$C$5:$L$1052,5,FALSE())</f>
        <v>-73.110996999999998</v>
      </c>
      <c r="H96" s="23" t="str">
        <f>VLOOKUP(C96,'[1]1.CUADRO RESUMEN DE SITIOS '!$C$5:$L$1052,6,FALSE())</f>
        <v>Santander</v>
      </c>
      <c r="I96" s="23" t="str">
        <f>VLOOKUP(C96,'[1]1.CUADRO RESUMEN DE SITIOS '!$C$5:$L$1052,7,FALSE())</f>
        <v>WOM</v>
      </c>
      <c r="J96" s="25" t="str">
        <f>VLOOKUP(C96,'[1]1.CUADRO RESUMEN DE SITIOS '!$C$5:$L$1052,8,FALSE())</f>
        <v>CENTRO SUR/ NORTE</v>
      </c>
      <c r="K96" s="23" t="str">
        <f>VLOOKUP(C96,'[1]1.CUADRO RESUMEN DE SITIOS '!$C$5:$L$1052,9,FALSE())</f>
        <v>Diego Fernando Cepeda</v>
      </c>
      <c r="L96" s="26" t="str">
        <f>VLOOKUP(C96,'[1]1.CUADRO RESUMEN DE SITIOS '!$C$5:$L$1052,10,FALSE())</f>
        <v>Terminado</v>
      </c>
      <c r="M96" s="26">
        <v>8828119931</v>
      </c>
      <c r="N96" s="26">
        <f>VLOOKUP(M96,[1]LPU!$A$2:$G$1512,2,FALSE())</f>
        <v>164</v>
      </c>
      <c r="O96" s="26" t="str">
        <f>VLOOKUP(M96,[1]LPU!$A$2:$G$1512,3,FALSE)</f>
        <v>Tansporte tipo B, fuera de área metropolitana</v>
      </c>
      <c r="P96" s="26" t="str">
        <f>VLOOKUP(M96,[1]LPU!$A$2:$G$1512,4,FALSE())</f>
        <v>LOCATIVO</v>
      </c>
      <c r="Q96" s="26" t="str">
        <f>VLOOKUP(M96,[1]LPU!$A$2:$G$1512,5,FALSE())</f>
        <v>Global</v>
      </c>
      <c r="R96" s="27">
        <f>VLOOKUP(M96,[1]LPU!$A$2:$G$1512,6,FALSE())</f>
        <v>253785</v>
      </c>
      <c r="S96" s="27" t="str">
        <f>VLOOKUP(M96,[1]LPU!$A$2:$G$1512,7,FALSE())</f>
        <v>LPU FLM</v>
      </c>
      <c r="T96" s="28">
        <v>1</v>
      </c>
      <c r="U96" s="29">
        <f t="shared" si="2"/>
        <v>253785</v>
      </c>
      <c r="V96" s="29" t="s">
        <v>104</v>
      </c>
      <c r="W96" s="30"/>
      <c r="X96" s="29" t="s">
        <v>38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ht="21" customHeight="1" x14ac:dyDescent="0.3">
      <c r="A97" s="22">
        <v>93</v>
      </c>
      <c r="B97" s="23">
        <v>1</v>
      </c>
      <c r="C97" s="23" t="s">
        <v>103</v>
      </c>
      <c r="D97" s="23" t="str">
        <f>VLOOKUP(C97,'[1]1.CUADRO RESUMEN DE SITIOS '!$C$5:$L$1052,2,FALSE())</f>
        <v>BUC_00980</v>
      </c>
      <c r="E97" s="24">
        <f>VLOOKUP(C97,'[1]1.CUADRO RESUMEN DE SITIOS '!$C$5:$L$1052,3,FALSE())</f>
        <v>45957</v>
      </c>
      <c r="F97" s="23">
        <f>VLOOKUP(C97,'[1]1.CUADRO RESUMEN DE SITIOS '!$C$5:$L$1052,4,FALSE())</f>
        <v>7.1172469999999999</v>
      </c>
      <c r="G97" s="23">
        <f>VLOOKUP(C97,'[1]1.CUADRO RESUMEN DE SITIOS '!$C$5:$L$1052,5,FALSE())</f>
        <v>-73.110996999999998</v>
      </c>
      <c r="H97" s="23" t="str">
        <f>VLOOKUP(C97,'[1]1.CUADRO RESUMEN DE SITIOS '!$C$5:$L$1052,6,FALSE())</f>
        <v>Santander</v>
      </c>
      <c r="I97" s="23" t="str">
        <f>VLOOKUP(C97,'[1]1.CUADRO RESUMEN DE SITIOS '!$C$5:$L$1052,7,FALSE())</f>
        <v>WOM</v>
      </c>
      <c r="J97" s="25" t="str">
        <f>VLOOKUP(C97,'[1]1.CUADRO RESUMEN DE SITIOS '!$C$5:$L$1052,8,FALSE())</f>
        <v>CENTRO SUR/ NORTE</v>
      </c>
      <c r="K97" s="23" t="str">
        <f>VLOOKUP(C97,'[1]1.CUADRO RESUMEN DE SITIOS '!$C$5:$L$1052,9,FALSE())</f>
        <v>Diego Fernando Cepeda</v>
      </c>
      <c r="L97" s="26" t="str">
        <f>VLOOKUP(C97,'[1]1.CUADRO RESUMEN DE SITIOS '!$C$5:$L$1052,10,FALSE())</f>
        <v>Terminado</v>
      </c>
      <c r="M97" s="26">
        <v>8828119410</v>
      </c>
      <c r="N97" s="26">
        <f>VLOOKUP(M97,[1]LPU!$A$2:$G$1512,2,FALSE())</f>
        <v>457</v>
      </c>
      <c r="O97" s="26" t="str">
        <f>VLOOKUP(M97,[1]LPU!$A$2:$G$1512,3,FALSE)</f>
        <v>BATERIA ARRANQUE 31H N2 23</v>
      </c>
      <c r="P97" s="26" t="str">
        <f>VLOOKUP(M97,[1]LPU!$A$2:$G$1512,4,FALSE())</f>
        <v>Nivel 2</v>
      </c>
      <c r="Q97" s="26" t="str">
        <f>VLOOKUP(M97,[1]LPU!$A$2:$G$1512,5,FALSE())</f>
        <v>Uni</v>
      </c>
      <c r="R97" s="27">
        <f>VLOOKUP(M97,[1]LPU!$A$2:$G$1512,6,FALSE())</f>
        <v>632400</v>
      </c>
      <c r="S97" s="27" t="str">
        <f>VLOOKUP(M97,[1]LPU!$A$2:$G$1512,7,FALSE())</f>
        <v>N2</v>
      </c>
      <c r="T97" s="28">
        <v>1</v>
      </c>
      <c r="U97" s="29">
        <v>352730</v>
      </c>
      <c r="V97" s="29" t="s">
        <v>104</v>
      </c>
      <c r="W97" s="30"/>
      <c r="X97" s="29" t="s">
        <v>38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ht="21" customHeight="1" x14ac:dyDescent="0.3">
      <c r="A98" s="22">
        <v>94</v>
      </c>
      <c r="B98" s="23">
        <v>1</v>
      </c>
      <c r="C98" s="23" t="s">
        <v>103</v>
      </c>
      <c r="D98" s="23" t="str">
        <f>VLOOKUP(C98,'[1]1.CUADRO RESUMEN DE SITIOS '!$C$5:$L$1052,2,FALSE())</f>
        <v>BUC_00980</v>
      </c>
      <c r="E98" s="24">
        <f>VLOOKUP(C98,'[1]1.CUADRO RESUMEN DE SITIOS '!$C$5:$L$1052,3,FALSE())</f>
        <v>45957</v>
      </c>
      <c r="F98" s="23">
        <f>VLOOKUP(C98,'[1]1.CUADRO RESUMEN DE SITIOS '!$C$5:$L$1052,4,FALSE())</f>
        <v>7.1172469999999999</v>
      </c>
      <c r="G98" s="23">
        <f>VLOOKUP(C98,'[1]1.CUADRO RESUMEN DE SITIOS '!$C$5:$L$1052,5,FALSE())</f>
        <v>-73.110996999999998</v>
      </c>
      <c r="H98" s="23" t="str">
        <f>VLOOKUP(C98,'[1]1.CUADRO RESUMEN DE SITIOS '!$C$5:$L$1052,6,FALSE())</f>
        <v>Santander</v>
      </c>
      <c r="I98" s="23" t="str">
        <f>VLOOKUP(C98,'[1]1.CUADRO RESUMEN DE SITIOS '!$C$5:$L$1052,7,FALSE())</f>
        <v>WOM</v>
      </c>
      <c r="J98" s="25" t="str">
        <f>VLOOKUP(C98,'[1]1.CUADRO RESUMEN DE SITIOS '!$C$5:$L$1052,8,FALSE())</f>
        <v>CENTRO SUR/ NORTE</v>
      </c>
      <c r="K98" s="23" t="str">
        <f>VLOOKUP(C98,'[1]1.CUADRO RESUMEN DE SITIOS '!$C$5:$L$1052,9,FALSE())</f>
        <v>Diego Fernando Cepeda</v>
      </c>
      <c r="L98" s="26" t="str">
        <f>VLOOKUP(C98,'[1]1.CUADRO RESUMEN DE SITIOS '!$C$5:$L$1052,10,FALSE())</f>
        <v>Terminado</v>
      </c>
      <c r="M98" s="26">
        <v>8828119110</v>
      </c>
      <c r="N98" s="26">
        <f>VLOOKUP(M98,[1]LPU!$A$2:$G$1512,2,FALSE())</f>
        <v>107</v>
      </c>
      <c r="O98" s="26" t="str">
        <f>VLOOKUP(M98,[1]LPU!$A$2:$G$1512,3,FALSE)</f>
        <v>Mano de Obra Tecnico Electricista Certficado CONTE</v>
      </c>
      <c r="P98" s="26" t="str">
        <f>VLOOKUP(M98,[1]LPU!$A$2:$G$1512,4,FALSE())</f>
        <v>ENERGÍA</v>
      </c>
      <c r="Q98" s="26" t="str">
        <f>VLOOKUP(M98,[1]LPU!$A$2:$G$1512,5,FALSE())</f>
        <v>DIA</v>
      </c>
      <c r="R98" s="27">
        <f>VLOOKUP(M98,[1]LPU!$A$2:$G$1512,6,FALSE())</f>
        <v>136000</v>
      </c>
      <c r="S98" s="27" t="str">
        <f>VLOOKUP(M98,[1]LPU!$A$2:$G$1512,7,FALSE())</f>
        <v>LPU FLM</v>
      </c>
      <c r="T98" s="28">
        <v>1</v>
      </c>
      <c r="U98" s="29">
        <f t="shared" ref="U98:U260" si="3">T98*R98</f>
        <v>136000</v>
      </c>
      <c r="V98" s="29" t="s">
        <v>104</v>
      </c>
      <c r="W98" s="30"/>
      <c r="X98" s="29" t="s">
        <v>38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ht="21" customHeight="1" x14ac:dyDescent="0.3">
      <c r="A99" s="22">
        <v>95</v>
      </c>
      <c r="B99" s="23">
        <v>1</v>
      </c>
      <c r="C99" s="23" t="s">
        <v>103</v>
      </c>
      <c r="D99" s="23" t="str">
        <f>VLOOKUP(C99,'[1]1.CUADRO RESUMEN DE SITIOS '!$C$5:$L$1052,2,FALSE())</f>
        <v>BUC_00980</v>
      </c>
      <c r="E99" s="24">
        <f>VLOOKUP(C99,'[1]1.CUADRO RESUMEN DE SITIOS '!$C$5:$L$1052,3,FALSE())</f>
        <v>45957</v>
      </c>
      <c r="F99" s="23">
        <f>VLOOKUP(C99,'[1]1.CUADRO RESUMEN DE SITIOS '!$C$5:$L$1052,4,FALSE())</f>
        <v>7.1172469999999999</v>
      </c>
      <c r="G99" s="23">
        <f>VLOOKUP(C99,'[1]1.CUADRO RESUMEN DE SITIOS '!$C$5:$L$1052,5,FALSE())</f>
        <v>-73.110996999999998</v>
      </c>
      <c r="H99" s="23" t="str">
        <f>VLOOKUP(C99,'[1]1.CUADRO RESUMEN DE SITIOS '!$C$5:$L$1052,6,FALSE())</f>
        <v>Santander</v>
      </c>
      <c r="I99" s="23" t="str">
        <f>VLOOKUP(C99,'[1]1.CUADRO RESUMEN DE SITIOS '!$C$5:$L$1052,7,FALSE())</f>
        <v>WOM</v>
      </c>
      <c r="J99" s="25" t="str">
        <f>VLOOKUP(C99,'[1]1.CUADRO RESUMEN DE SITIOS '!$C$5:$L$1052,8,FALSE())</f>
        <v>CENTRO SUR/ NORTE</v>
      </c>
      <c r="K99" s="23" t="str">
        <f>VLOOKUP(C99,'[1]1.CUADRO RESUMEN DE SITIOS '!$C$5:$L$1052,9,FALSE())</f>
        <v>Diego Fernando Cepeda</v>
      </c>
      <c r="L99" s="26" t="str">
        <f>VLOOKUP(C99,'[1]1.CUADRO RESUMEN DE SITIOS '!$C$5:$L$1052,10,FALSE())</f>
        <v>Terminado</v>
      </c>
      <c r="M99" s="26">
        <v>8828119318</v>
      </c>
      <c r="N99" s="26">
        <f>VLOOKUP(M99,[1]LPU!$A$2:$G$1512,2,FALSE())</f>
        <v>128</v>
      </c>
      <c r="O99" s="26" t="str">
        <f>VLOOKUP(M99,[1]LPU!$A$2:$G$1512,3,FALSE)</f>
        <v>Mantenimiento Planta Eléctrica tipo CAF (Cambio de Aceite y Filtros)</v>
      </c>
      <c r="P99" s="26" t="str">
        <f>VLOOKUP(M99,[1]LPU!$A$2:$G$1512,4,FALSE())</f>
        <v>GENERADORES</v>
      </c>
      <c r="Q99" s="26" t="str">
        <f>VLOOKUP(M99,[1]LPU!$A$2:$G$1512,5,FALSE())</f>
        <v>U</v>
      </c>
      <c r="R99" s="27">
        <f>VLOOKUP(M99,[1]LPU!$A$2:$G$1512,6,FALSE())</f>
        <v>232900</v>
      </c>
      <c r="S99" s="27" t="str">
        <f>VLOOKUP(M99,[1]LPU!$A$2:$G$1512,7,FALSE())</f>
        <v>LPU FLM</v>
      </c>
      <c r="T99" s="28">
        <v>1</v>
      </c>
      <c r="U99" s="29">
        <f t="shared" si="3"/>
        <v>232900</v>
      </c>
      <c r="V99" s="29" t="s">
        <v>104</v>
      </c>
      <c r="W99" s="30"/>
      <c r="X99" s="29" t="s">
        <v>38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ht="21" customHeight="1" x14ac:dyDescent="0.3">
      <c r="A100" s="22">
        <v>96</v>
      </c>
      <c r="B100" s="23">
        <v>1</v>
      </c>
      <c r="C100" s="23" t="s">
        <v>103</v>
      </c>
      <c r="D100" s="23" t="str">
        <f>VLOOKUP(C100,'[1]1.CUADRO RESUMEN DE SITIOS '!$C$5:$L$1052,2,FALSE())</f>
        <v>BUC_00980</v>
      </c>
      <c r="E100" s="24">
        <f>VLOOKUP(C100,'[1]1.CUADRO RESUMEN DE SITIOS '!$C$5:$L$1052,3,FALSE())</f>
        <v>45957</v>
      </c>
      <c r="F100" s="23">
        <f>VLOOKUP(C100,'[1]1.CUADRO RESUMEN DE SITIOS '!$C$5:$L$1052,4,FALSE())</f>
        <v>7.1172469999999999</v>
      </c>
      <c r="G100" s="23">
        <f>VLOOKUP(C100,'[1]1.CUADRO RESUMEN DE SITIOS '!$C$5:$L$1052,5,FALSE())</f>
        <v>-73.110996999999998</v>
      </c>
      <c r="H100" s="23" t="str">
        <f>VLOOKUP(C100,'[1]1.CUADRO RESUMEN DE SITIOS '!$C$5:$L$1052,6,FALSE())</f>
        <v>Santander</v>
      </c>
      <c r="I100" s="23" t="str">
        <f>VLOOKUP(C100,'[1]1.CUADRO RESUMEN DE SITIOS '!$C$5:$L$1052,7,FALSE())</f>
        <v>WOM</v>
      </c>
      <c r="J100" s="25" t="str">
        <f>VLOOKUP(C100,'[1]1.CUADRO RESUMEN DE SITIOS '!$C$5:$L$1052,8,FALSE())</f>
        <v>CENTRO SUR/ NORTE</v>
      </c>
      <c r="K100" s="23" t="str">
        <f>VLOOKUP(C100,'[1]1.CUADRO RESUMEN DE SITIOS '!$C$5:$L$1052,9,FALSE())</f>
        <v>Diego Fernando Cepeda</v>
      </c>
      <c r="L100" s="26" t="str">
        <f>VLOOKUP(C100,'[1]1.CUADRO RESUMEN DE SITIOS '!$C$5:$L$1052,10,FALSE())</f>
        <v>Terminado</v>
      </c>
      <c r="M100" s="26">
        <v>8828119311</v>
      </c>
      <c r="N100" s="26">
        <f>VLOOKUP(M100,[1]LPU!$A$2:$G$1512,2,FALSE())</f>
        <v>127</v>
      </c>
      <c r="O100" s="26" t="str">
        <f>VLOOKUP(M100,[1]LPU!$A$2:$G$1512,3,FALSE)</f>
        <v>Suministro Aceite Multigrado</v>
      </c>
      <c r="P100" s="26" t="str">
        <f>VLOOKUP(M100,[1]LPU!$A$2:$G$1512,4,FALSE())</f>
        <v>GENERADORES</v>
      </c>
      <c r="Q100" s="26" t="str">
        <f>VLOOKUP(M100,[1]LPU!$A$2:$G$1512,5,FALSE())</f>
        <v>Galón</v>
      </c>
      <c r="R100" s="27">
        <f>VLOOKUP(M100,[1]LPU!$A$2:$G$1512,6,FALSE())</f>
        <v>60112</v>
      </c>
      <c r="S100" s="27" t="str">
        <f>VLOOKUP(M100,[1]LPU!$A$2:$G$1512,7,FALSE())</f>
        <v>LPU FLM</v>
      </c>
      <c r="T100" s="28">
        <v>1</v>
      </c>
      <c r="U100" s="29">
        <f t="shared" si="3"/>
        <v>60112</v>
      </c>
      <c r="V100" s="29" t="s">
        <v>104</v>
      </c>
      <c r="W100" s="30"/>
      <c r="X100" s="29" t="s">
        <v>38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ht="21" customHeight="1" x14ac:dyDescent="0.3">
      <c r="A101" s="22">
        <v>97</v>
      </c>
      <c r="B101" s="23">
        <v>1</v>
      </c>
      <c r="C101" s="23" t="s">
        <v>103</v>
      </c>
      <c r="D101" s="23" t="str">
        <f>VLOOKUP(C101,'[1]1.CUADRO RESUMEN DE SITIOS '!$C$5:$L$1052,2,FALSE())</f>
        <v>BUC_00980</v>
      </c>
      <c r="E101" s="24">
        <f>VLOOKUP(C101,'[1]1.CUADRO RESUMEN DE SITIOS '!$C$5:$L$1052,3,FALSE())</f>
        <v>45957</v>
      </c>
      <c r="F101" s="23">
        <f>VLOOKUP(C101,'[1]1.CUADRO RESUMEN DE SITIOS '!$C$5:$L$1052,4,FALSE())</f>
        <v>7.1172469999999999</v>
      </c>
      <c r="G101" s="23">
        <f>VLOOKUP(C101,'[1]1.CUADRO RESUMEN DE SITIOS '!$C$5:$L$1052,5,FALSE())</f>
        <v>-73.110996999999998</v>
      </c>
      <c r="H101" s="23" t="str">
        <f>VLOOKUP(C101,'[1]1.CUADRO RESUMEN DE SITIOS '!$C$5:$L$1052,6,FALSE())</f>
        <v>Santander</v>
      </c>
      <c r="I101" s="23" t="str">
        <f>VLOOKUP(C101,'[1]1.CUADRO RESUMEN DE SITIOS '!$C$5:$L$1052,7,FALSE())</f>
        <v>WOM</v>
      </c>
      <c r="J101" s="25" t="str">
        <f>VLOOKUP(C101,'[1]1.CUADRO RESUMEN DE SITIOS '!$C$5:$L$1052,8,FALSE())</f>
        <v>CENTRO SUR/ NORTE</v>
      </c>
      <c r="K101" s="23" t="str">
        <f>VLOOKUP(C101,'[1]1.CUADRO RESUMEN DE SITIOS '!$C$5:$L$1052,9,FALSE())</f>
        <v>Diego Fernando Cepeda</v>
      </c>
      <c r="L101" s="26" t="str">
        <f>VLOOKUP(C101,'[1]1.CUADRO RESUMEN DE SITIOS '!$C$5:$L$1052,10,FALSE())</f>
        <v>Terminado</v>
      </c>
      <c r="M101" s="26">
        <v>8828119194</v>
      </c>
      <c r="N101" s="26">
        <f>VLOOKUP(M101,[1]LPU!$A$2:$G$1512,2,FALSE())</f>
        <v>115</v>
      </c>
      <c r="O101" s="26" t="str">
        <f>VLOOKUP(M101,[1]LPU!$A$2:$G$1512,3,FALSE)</f>
        <v>Suministro filtro de aceite planta Perkins</v>
      </c>
      <c r="P101" s="26" t="str">
        <f>VLOOKUP(M101,[1]LPU!$A$2:$G$1512,4,FALSE())</f>
        <v>GENERADORES</v>
      </c>
      <c r="Q101" s="26" t="str">
        <f>VLOOKUP(M101,[1]LPU!$A$2:$G$1512,5,FALSE())</f>
        <v>U</v>
      </c>
      <c r="R101" s="27">
        <v>45900</v>
      </c>
      <c r="S101" s="27" t="str">
        <f>VLOOKUP(M101,[1]LPU!$A$2:$G$1512,7,FALSE())</f>
        <v>LPU FLM</v>
      </c>
      <c r="T101" s="28">
        <v>1</v>
      </c>
      <c r="U101" s="29">
        <f t="shared" si="3"/>
        <v>45900</v>
      </c>
      <c r="V101" s="29" t="s">
        <v>104</v>
      </c>
      <c r="W101" s="30"/>
      <c r="X101" s="29" t="s">
        <v>38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ht="21" customHeight="1" x14ac:dyDescent="0.3">
      <c r="A102" s="22">
        <v>98</v>
      </c>
      <c r="B102" s="23">
        <v>1</v>
      </c>
      <c r="C102" s="23" t="s">
        <v>105</v>
      </c>
      <c r="D102" s="23" t="str">
        <f>VLOOKUP(C102,'[1]1.CUADRO RESUMEN DE SITIOS '!$C$5:$L$1052,2,FALSE())</f>
        <v>JNOR_00528</v>
      </c>
      <c r="E102" s="24">
        <f>VLOOKUP(C102,'[1]1.CUADRO RESUMEN DE SITIOS '!$C$5:$L$1052,3,FALSE())</f>
        <v>45972</v>
      </c>
      <c r="F102" s="23">
        <f>VLOOKUP(C102,'[1]1.CUADRO RESUMEN DE SITIOS '!$C$5:$L$1052,4,FALSE())</f>
        <v>8.0470570000000006</v>
      </c>
      <c r="G102" s="23">
        <f>VLOOKUP(C102,'[1]1.CUADRO RESUMEN DE SITIOS '!$C$5:$L$1052,5,FALSE())</f>
        <v>-72.499279999999999</v>
      </c>
      <c r="H102" s="23" t="str">
        <f>VLOOKUP(C102,'[1]1.CUADRO RESUMEN DE SITIOS '!$C$5:$L$1052,6,FALSE())</f>
        <v>Norte de Santander</v>
      </c>
      <c r="I102" s="23" t="str">
        <f>VLOOKUP(C102,'[1]1.CUADRO RESUMEN DE SITIOS '!$C$5:$L$1052,7,FALSE())</f>
        <v>WOM</v>
      </c>
      <c r="J102" s="25" t="str">
        <f>VLOOKUP(C102,'[1]1.CUADRO RESUMEN DE SITIOS '!$C$5:$L$1052,8,FALSE())</f>
        <v>CENTRO SUR/ NORTE</v>
      </c>
      <c r="K102" s="23" t="str">
        <f>VLOOKUP(C102,'[1]1.CUADRO RESUMEN DE SITIOS '!$C$5:$L$1052,9,FALSE())</f>
        <v>Maria Camila Torres</v>
      </c>
      <c r="L102" s="26" t="str">
        <f>VLOOKUP(C102,'[1]1.CUADRO RESUMEN DE SITIOS '!$C$5:$L$1052,10,FALSE())</f>
        <v>Terminado</v>
      </c>
      <c r="M102" s="26">
        <v>8828120088</v>
      </c>
      <c r="N102" s="26">
        <f>VLOOKUP(M102,[1]LPU!$A$2:$G$1512,2,FALSE())</f>
        <v>180</v>
      </c>
      <c r="O102" s="26" t="str">
        <f>VLOOKUP(M102,[1]LPU!$A$2:$G$1512,3,FALSE)</f>
        <v>Limpieza de Estación Base y Disposición de Residuos.</v>
      </c>
      <c r="P102" s="26" t="str">
        <f>VLOOKUP(M102,[1]LPU!$A$2:$G$1512,4,FALSE())</f>
        <v>LOCATIVO</v>
      </c>
      <c r="Q102" s="26" t="str">
        <f>VLOOKUP(M102,[1]LPU!$A$2:$G$1512,5,FALSE())</f>
        <v>U</v>
      </c>
      <c r="R102" s="27">
        <f>VLOOKUP(M102,[1]LPU!$A$2:$G$1512,6,FALSE())</f>
        <v>167960</v>
      </c>
      <c r="S102" s="27" t="str">
        <f>VLOOKUP(M102,[1]LPU!$A$2:$G$1512,7,FALSE())</f>
        <v>LPU FLM</v>
      </c>
      <c r="T102" s="28">
        <v>1</v>
      </c>
      <c r="U102" s="29">
        <f t="shared" si="3"/>
        <v>167960</v>
      </c>
      <c r="V102" s="29" t="s">
        <v>104</v>
      </c>
      <c r="W102" s="30"/>
      <c r="X102" s="29" t="s">
        <v>38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ht="21" customHeight="1" x14ac:dyDescent="0.3">
      <c r="A103" s="22">
        <v>99</v>
      </c>
      <c r="B103" s="23">
        <v>1</v>
      </c>
      <c r="C103" s="23" t="s">
        <v>105</v>
      </c>
      <c r="D103" s="23" t="str">
        <f>VLOOKUP(C103,'[1]1.CUADRO RESUMEN DE SITIOS '!$C$5:$L$1052,2,FALSE())</f>
        <v>JNOR_00528</v>
      </c>
      <c r="E103" s="24">
        <f>VLOOKUP(C103,'[1]1.CUADRO RESUMEN DE SITIOS '!$C$5:$L$1052,3,FALSE())</f>
        <v>45972</v>
      </c>
      <c r="F103" s="23">
        <f>VLOOKUP(C103,'[1]1.CUADRO RESUMEN DE SITIOS '!$C$5:$L$1052,4,FALSE())</f>
        <v>8.0470570000000006</v>
      </c>
      <c r="G103" s="23">
        <f>VLOOKUP(C103,'[1]1.CUADRO RESUMEN DE SITIOS '!$C$5:$L$1052,5,FALSE())</f>
        <v>-72.499279999999999</v>
      </c>
      <c r="H103" s="23" t="str">
        <f>VLOOKUP(C103,'[1]1.CUADRO RESUMEN DE SITIOS '!$C$5:$L$1052,6,FALSE())</f>
        <v>Norte de Santander</v>
      </c>
      <c r="I103" s="23" t="str">
        <f>VLOOKUP(C103,'[1]1.CUADRO RESUMEN DE SITIOS '!$C$5:$L$1052,7,FALSE())</f>
        <v>WOM</v>
      </c>
      <c r="J103" s="25" t="str">
        <f>VLOOKUP(C103,'[1]1.CUADRO RESUMEN DE SITIOS '!$C$5:$L$1052,8,FALSE())</f>
        <v>CENTRO SUR/ NORTE</v>
      </c>
      <c r="K103" s="23" t="str">
        <f>VLOOKUP(C103,'[1]1.CUADRO RESUMEN DE SITIOS '!$C$5:$L$1052,9,FALSE())</f>
        <v>Maria Camila Torres</v>
      </c>
      <c r="L103" s="26" t="str">
        <f>VLOOKUP(C103,'[1]1.CUADRO RESUMEN DE SITIOS '!$C$5:$L$1052,10,FALSE())</f>
        <v>Terminado</v>
      </c>
      <c r="M103" s="26">
        <v>8828120073</v>
      </c>
      <c r="N103" s="26">
        <f>VLOOKUP(M103,[1]LPU!$A$2:$G$1512,2,FALSE())</f>
        <v>178</v>
      </c>
      <c r="O103" s="26" t="str">
        <f>VLOOKUP(M103,[1]LPU!$A$2:$G$1512,3,FALSE)</f>
        <v>Desmalezamiento (incluye poda y fumigación)</v>
      </c>
      <c r="P103" s="26" t="str">
        <f>VLOOKUP(M103,[1]LPU!$A$2:$G$1512,4,FALSE())</f>
        <v>LOCATIVO</v>
      </c>
      <c r="Q103" s="26" t="str">
        <f>VLOOKUP(M103,[1]LPU!$A$2:$G$1512,5,FALSE())</f>
        <v>Sitio</v>
      </c>
      <c r="R103" s="27">
        <f>VLOOKUP(M103,[1]LPU!$A$2:$G$1512,6,FALSE())</f>
        <v>88400</v>
      </c>
      <c r="S103" s="27" t="str">
        <f>VLOOKUP(M103,[1]LPU!$A$2:$G$1512,7,FALSE())</f>
        <v>LPU FLM</v>
      </c>
      <c r="T103" s="28">
        <v>1</v>
      </c>
      <c r="U103" s="29">
        <f t="shared" si="3"/>
        <v>88400</v>
      </c>
      <c r="V103" s="29" t="s">
        <v>104</v>
      </c>
      <c r="W103" s="30"/>
      <c r="X103" s="29" t="s">
        <v>38</v>
      </c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ht="21" customHeight="1" x14ac:dyDescent="0.3">
      <c r="A104" s="22">
        <v>100</v>
      </c>
      <c r="B104" s="23">
        <v>1</v>
      </c>
      <c r="C104" s="23" t="s">
        <v>105</v>
      </c>
      <c r="D104" s="23" t="str">
        <f>VLOOKUP(C104,'[1]1.CUADRO RESUMEN DE SITIOS '!$C$5:$L$1052,2,FALSE())</f>
        <v>JNOR_00528</v>
      </c>
      <c r="E104" s="24">
        <f>VLOOKUP(C104,'[1]1.CUADRO RESUMEN DE SITIOS '!$C$5:$L$1052,3,FALSE())</f>
        <v>45972</v>
      </c>
      <c r="F104" s="23">
        <f>VLOOKUP(C104,'[1]1.CUADRO RESUMEN DE SITIOS '!$C$5:$L$1052,4,FALSE())</f>
        <v>8.0470570000000006</v>
      </c>
      <c r="G104" s="23">
        <f>VLOOKUP(C104,'[1]1.CUADRO RESUMEN DE SITIOS '!$C$5:$L$1052,5,FALSE())</f>
        <v>-72.499279999999999</v>
      </c>
      <c r="H104" s="23" t="str">
        <f>VLOOKUP(C104,'[1]1.CUADRO RESUMEN DE SITIOS '!$C$5:$L$1052,6,FALSE())</f>
        <v>Norte de Santander</v>
      </c>
      <c r="I104" s="23" t="str">
        <f>VLOOKUP(C104,'[1]1.CUADRO RESUMEN DE SITIOS '!$C$5:$L$1052,7,FALSE())</f>
        <v>WOM</v>
      </c>
      <c r="J104" s="25" t="str">
        <f>VLOOKUP(C104,'[1]1.CUADRO RESUMEN DE SITIOS '!$C$5:$L$1052,8,FALSE())</f>
        <v>CENTRO SUR/ NORTE</v>
      </c>
      <c r="K104" s="23" t="str">
        <f>VLOOKUP(C104,'[1]1.CUADRO RESUMEN DE SITIOS '!$C$5:$L$1052,9,FALSE())</f>
        <v>Maria Camila Torres</v>
      </c>
      <c r="L104" s="26" t="str">
        <f>VLOOKUP(C104,'[1]1.CUADRO RESUMEN DE SITIOS '!$C$5:$L$1052,10,FALSE())</f>
        <v>Terminado</v>
      </c>
      <c r="M104" s="26">
        <v>8828119941</v>
      </c>
      <c r="N104" s="26">
        <f>VLOOKUP(M104,[1]LPU!$A$2:$G$1512,2,FALSE())</f>
        <v>165</v>
      </c>
      <c r="O104" s="26" t="str">
        <f>VLOOKUP(M104,[1]LPU!$A$2:$G$1512,3,FALSE)</f>
        <v>Transporte tipo C, zona de dificil acceso</v>
      </c>
      <c r="P104" s="26" t="str">
        <f>VLOOKUP(M104,[1]LPU!$A$2:$G$1512,4,FALSE())</f>
        <v>LOCATIVO</v>
      </c>
      <c r="Q104" s="26" t="str">
        <f>VLOOKUP(M104,[1]LPU!$A$2:$G$1512,5,FALSE())</f>
        <v>Global</v>
      </c>
      <c r="R104" s="27">
        <f>VLOOKUP(M104,[1]LPU!$A$2:$G$1512,6,FALSE())</f>
        <v>388801.05</v>
      </c>
      <c r="S104" s="27" t="str">
        <f>VLOOKUP(M104,[1]LPU!$A$2:$G$1512,7,FALSE())</f>
        <v>LPU FLM</v>
      </c>
      <c r="T104" s="28">
        <v>1</v>
      </c>
      <c r="U104" s="29">
        <f t="shared" si="3"/>
        <v>388801.05</v>
      </c>
      <c r="V104" s="29" t="s">
        <v>104</v>
      </c>
      <c r="W104" s="30"/>
      <c r="X104" s="29" t="s">
        <v>38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ht="21" customHeight="1" x14ac:dyDescent="0.3">
      <c r="A105" s="22">
        <v>101</v>
      </c>
      <c r="B105" s="23">
        <v>1</v>
      </c>
      <c r="C105" s="23" t="s">
        <v>106</v>
      </c>
      <c r="D105" s="23" t="str">
        <f>VLOOKUP(C105,'[1]1.CUADRO RESUMEN DE SITIOS '!$C$5:$L$1052,2,FALSE())</f>
        <v>CMAN_02492</v>
      </c>
      <c r="E105" s="24">
        <f>VLOOKUP(C105,'[1]1.CUADRO RESUMEN DE SITIOS '!$C$5:$L$1052,3,FALSE())</f>
        <v>45974</v>
      </c>
      <c r="F105" s="23">
        <f>VLOOKUP(C105,'[1]1.CUADRO RESUMEN DE SITIOS '!$C$5:$L$1052,4,FALSE())</f>
        <v>5.0417899999999998</v>
      </c>
      <c r="G105" s="23">
        <f>VLOOKUP(C105,'[1]1.CUADRO RESUMEN DE SITIOS '!$C$5:$L$1052,5,FALSE())</f>
        <v>-75.516540000000006</v>
      </c>
      <c r="H105" s="23" t="str">
        <f>VLOOKUP(C105,'[1]1.CUADRO RESUMEN DE SITIOS '!$C$5:$L$1052,6,FALSE())</f>
        <v>Caldas</v>
      </c>
      <c r="I105" s="23" t="str">
        <f>VLOOKUP(C105,'[1]1.CUADRO RESUMEN DE SITIOS '!$C$5:$L$1052,7,FALSE())</f>
        <v>WOM</v>
      </c>
      <c r="J105" s="25" t="str">
        <f>VLOOKUP(C105,'[1]1.CUADRO RESUMEN DE SITIOS '!$C$5:$L$1052,8,FALSE())</f>
        <v>CENTRO SUR/ NORTE</v>
      </c>
      <c r="K105" s="23" t="str">
        <f>VLOOKUP(C105,'[1]1.CUADRO RESUMEN DE SITIOS '!$C$5:$L$1052,9,FALSE())</f>
        <v>Alejandro Sanchez</v>
      </c>
      <c r="L105" s="26" t="str">
        <f>VLOOKUP(C105,'[1]1.CUADRO RESUMEN DE SITIOS '!$C$5:$L$1052,10,FALSE())</f>
        <v>Terminado</v>
      </c>
      <c r="M105" s="26">
        <v>8828120018</v>
      </c>
      <c r="N105" s="26">
        <f>VLOOKUP(M105,[1]LPU!$A$2:$G$1512,2,FALSE())</f>
        <v>4.38</v>
      </c>
      <c r="O105" s="26" t="str">
        <f>VLOOKUP(M105,[1]LPU!$A$2:$G$1512,3,FALSE)</f>
        <v>Impermeabilización sikalastic 450 y refuerzo con sikafealt o similar. (incluye Imprimación, nivelaciones, sellamiento en los traslapos).</v>
      </c>
      <c r="P105" s="26" t="str">
        <f>VLOOKUP(M105,[1]LPU!$A$2:$G$1512,4,FALSE())</f>
        <v>Mantenimiento CW</v>
      </c>
      <c r="Q105" s="26" t="str">
        <f>VLOOKUP(M105,[1]LPU!$A$2:$G$1512,5,FALSE())</f>
        <v>M2</v>
      </c>
      <c r="R105" s="27">
        <f>VLOOKUP(M105,[1]LPU!$A$2:$G$1512,6,FALSE())</f>
        <v>52240.15</v>
      </c>
      <c r="S105" s="27" t="str">
        <f>VLOOKUP(M105,[1]LPU!$A$2:$G$1512,7,FALSE())</f>
        <v>Mantenimiento CW</v>
      </c>
      <c r="T105" s="28">
        <v>2</v>
      </c>
      <c r="U105" s="29">
        <f t="shared" si="3"/>
        <v>104480.3</v>
      </c>
      <c r="V105" s="29" t="s">
        <v>104</v>
      </c>
      <c r="W105" s="30"/>
      <c r="X105" s="29" t="s">
        <v>38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ht="21" customHeight="1" x14ac:dyDescent="0.3">
      <c r="A106" s="22">
        <v>102</v>
      </c>
      <c r="B106" s="23">
        <v>1</v>
      </c>
      <c r="C106" s="23" t="s">
        <v>106</v>
      </c>
      <c r="D106" s="23" t="str">
        <f>VLOOKUP(C106,'[1]1.CUADRO RESUMEN DE SITIOS '!$C$5:$L$1052,2,FALSE())</f>
        <v>CMAN_02492</v>
      </c>
      <c r="E106" s="24">
        <f>VLOOKUP(C106,'[1]1.CUADRO RESUMEN DE SITIOS '!$C$5:$L$1052,3,FALSE())</f>
        <v>45974</v>
      </c>
      <c r="F106" s="23">
        <f>VLOOKUP(C106,'[1]1.CUADRO RESUMEN DE SITIOS '!$C$5:$L$1052,4,FALSE())</f>
        <v>5.0417899999999998</v>
      </c>
      <c r="G106" s="23">
        <f>VLOOKUP(C106,'[1]1.CUADRO RESUMEN DE SITIOS '!$C$5:$L$1052,5,FALSE())</f>
        <v>-75.516540000000006</v>
      </c>
      <c r="H106" s="23" t="str">
        <f>VLOOKUP(C106,'[1]1.CUADRO RESUMEN DE SITIOS '!$C$5:$L$1052,6,FALSE())</f>
        <v>Caldas</v>
      </c>
      <c r="I106" s="23" t="str">
        <f>VLOOKUP(C106,'[1]1.CUADRO RESUMEN DE SITIOS '!$C$5:$L$1052,7,FALSE())</f>
        <v>WOM</v>
      </c>
      <c r="J106" s="25" t="str">
        <f>VLOOKUP(C106,'[1]1.CUADRO RESUMEN DE SITIOS '!$C$5:$L$1052,8,FALSE())</f>
        <v>CENTRO SUR/ NORTE</v>
      </c>
      <c r="K106" s="23" t="str">
        <f>VLOOKUP(C106,'[1]1.CUADRO RESUMEN DE SITIOS '!$C$5:$L$1052,9,FALSE())</f>
        <v>Alejandro Sanchez</v>
      </c>
      <c r="L106" s="26" t="str">
        <f>VLOOKUP(C106,'[1]1.CUADRO RESUMEN DE SITIOS '!$C$5:$L$1052,10,FALSE())</f>
        <v>Terminado</v>
      </c>
      <c r="M106" s="26">
        <v>8828119931</v>
      </c>
      <c r="N106" s="26">
        <f>VLOOKUP(M106,[1]LPU!$A$2:$G$1512,2,FALSE())</f>
        <v>164</v>
      </c>
      <c r="O106" s="26" t="str">
        <f>VLOOKUP(M106,[1]LPU!$A$2:$G$1512,3,FALSE)</f>
        <v>Tansporte tipo B, fuera de área metropolitana</v>
      </c>
      <c r="P106" s="26" t="str">
        <f>VLOOKUP(M106,[1]LPU!$A$2:$G$1512,4,FALSE())</f>
        <v>LOCATIVO</v>
      </c>
      <c r="Q106" s="26" t="str">
        <f>VLOOKUP(M106,[1]LPU!$A$2:$G$1512,5,FALSE())</f>
        <v>Global</v>
      </c>
      <c r="R106" s="27">
        <f>VLOOKUP(M106,[1]LPU!$A$2:$G$1512,6,FALSE())</f>
        <v>253785</v>
      </c>
      <c r="S106" s="27" t="str">
        <f>VLOOKUP(M106,[1]LPU!$A$2:$G$1512,7,FALSE())</f>
        <v>LPU FLM</v>
      </c>
      <c r="T106" s="28">
        <v>1</v>
      </c>
      <c r="U106" s="29">
        <f t="shared" si="3"/>
        <v>253785</v>
      </c>
      <c r="V106" s="29" t="s">
        <v>104</v>
      </c>
      <c r="W106" s="30"/>
      <c r="X106" s="29" t="s">
        <v>38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ht="21" customHeight="1" x14ac:dyDescent="0.3">
      <c r="A107" s="22">
        <v>103</v>
      </c>
      <c r="B107" s="23">
        <v>1</v>
      </c>
      <c r="C107" s="23" t="s">
        <v>106</v>
      </c>
      <c r="D107" s="23" t="str">
        <f>VLOOKUP(C107,'[1]1.CUADRO RESUMEN DE SITIOS '!$C$5:$L$1052,2,FALSE())</f>
        <v>CMAN_02492</v>
      </c>
      <c r="E107" s="24">
        <f>VLOOKUP(C107,'[1]1.CUADRO RESUMEN DE SITIOS '!$C$5:$L$1052,3,FALSE())</f>
        <v>45974</v>
      </c>
      <c r="F107" s="23">
        <f>VLOOKUP(C107,'[1]1.CUADRO RESUMEN DE SITIOS '!$C$5:$L$1052,4,FALSE())</f>
        <v>5.0417899999999998</v>
      </c>
      <c r="G107" s="23">
        <f>VLOOKUP(C107,'[1]1.CUADRO RESUMEN DE SITIOS '!$C$5:$L$1052,5,FALSE())</f>
        <v>-75.516540000000006</v>
      </c>
      <c r="H107" s="23" t="str">
        <f>VLOOKUP(C107,'[1]1.CUADRO RESUMEN DE SITIOS '!$C$5:$L$1052,6,FALSE())</f>
        <v>Caldas</v>
      </c>
      <c r="I107" s="23" t="str">
        <f>VLOOKUP(C107,'[1]1.CUADRO RESUMEN DE SITIOS '!$C$5:$L$1052,7,FALSE())</f>
        <v>WOM</v>
      </c>
      <c r="J107" s="25" t="str">
        <f>VLOOKUP(C107,'[1]1.CUADRO RESUMEN DE SITIOS '!$C$5:$L$1052,8,FALSE())</f>
        <v>CENTRO SUR/ NORTE</v>
      </c>
      <c r="K107" s="23" t="str">
        <f>VLOOKUP(C107,'[1]1.CUADRO RESUMEN DE SITIOS '!$C$5:$L$1052,9,FALSE())</f>
        <v>Alejandro Sanchez</v>
      </c>
      <c r="L107" s="26" t="str">
        <f>VLOOKUP(C107,'[1]1.CUADRO RESUMEN DE SITIOS '!$C$5:$L$1052,10,FALSE())</f>
        <v>Terminado</v>
      </c>
      <c r="M107" s="26">
        <v>8828120008</v>
      </c>
      <c r="N107" s="26">
        <f>VLOOKUP(M107,[1]LPU!$A$2:$G$1512,2,FALSE())</f>
        <v>4.37</v>
      </c>
      <c r="O107" s="26" t="str">
        <f>VLOOKUP(M107,[1]LPU!$A$2:$G$1512,3,FALSE)</f>
        <v>Impermeabilización manto fiberglass con foil de aluminio e= 0,03( incluye imprimación de emulsión asfáltica, nivelaciones, sellamiento en los traslapos y aplicación de pintura en aluminio bituminoso)</v>
      </c>
      <c r="P107" s="26" t="str">
        <f>VLOOKUP(M107,[1]LPU!$A$2:$G$1512,4,FALSE())</f>
        <v>Mantenimiento CW</v>
      </c>
      <c r="Q107" s="26" t="str">
        <f>VLOOKUP(M107,[1]LPU!$A$2:$G$1512,5,FALSE())</f>
        <v>M2</v>
      </c>
      <c r="R107" s="27">
        <f>VLOOKUP(M107,[1]LPU!$A$2:$G$1512,6,FALSE())</f>
        <v>47196.25</v>
      </c>
      <c r="S107" s="27" t="str">
        <f>VLOOKUP(M107,[1]LPU!$A$2:$G$1512,7,FALSE())</f>
        <v>Mantenimiento CW</v>
      </c>
      <c r="T107" s="28">
        <v>5</v>
      </c>
      <c r="U107" s="29">
        <f t="shared" si="3"/>
        <v>235981.25</v>
      </c>
      <c r="V107" s="29" t="s">
        <v>104</v>
      </c>
      <c r="W107" s="30"/>
      <c r="X107" s="29" t="s">
        <v>38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ht="21" customHeight="1" x14ac:dyDescent="0.3">
      <c r="A108" s="22">
        <v>104</v>
      </c>
      <c r="B108" s="23">
        <v>1</v>
      </c>
      <c r="C108" s="23" t="s">
        <v>107</v>
      </c>
      <c r="D108" s="23" t="str">
        <f>VLOOKUP(C108,'[1]1.CUADRO RESUMEN DE SITIOS '!$C$5:$L$1052,2,FALSE())</f>
        <v>BTA_07173</v>
      </c>
      <c r="E108" s="24">
        <f>VLOOKUP(C108,'[1]1.CUADRO RESUMEN DE SITIOS '!$C$5:$L$1052,3,FALSE())</f>
        <v>45989</v>
      </c>
      <c r="F108" s="23">
        <f>VLOOKUP(C108,'[1]1.CUADRO RESUMEN DE SITIOS '!$C$5:$L$1052,4,FALSE())</f>
        <v>4.6438730000000001</v>
      </c>
      <c r="G108" s="23">
        <f>VLOOKUP(C108,'[1]1.CUADRO RESUMEN DE SITIOS '!$C$5:$L$1052,5,FALSE())</f>
        <v>-74.17192</v>
      </c>
      <c r="H108" s="23" t="str">
        <f>VLOOKUP(C108,'[1]1.CUADRO RESUMEN DE SITIOS '!$C$5:$L$1052,6,FALSE())</f>
        <v>Cundinamarca</v>
      </c>
      <c r="I108" s="23" t="str">
        <f>VLOOKUP(C108,'[1]1.CUADRO RESUMEN DE SITIOS '!$C$5:$L$1052,7,FALSE())</f>
        <v>WOM</v>
      </c>
      <c r="J108" s="25" t="str">
        <f>VLOOKUP(C108,'[1]1.CUADRO RESUMEN DE SITIOS '!$C$5:$L$1052,8,FALSE())</f>
        <v>CENTRO SUR/ NORTE</v>
      </c>
      <c r="K108" s="23" t="str">
        <f>VLOOKUP(C108,'[1]1.CUADRO RESUMEN DE SITIOS '!$C$5:$L$1052,9,FALSE())</f>
        <v>Maria Camila Torres</v>
      </c>
      <c r="L108" s="26" t="str">
        <f>VLOOKUP(C108,'[1]1.CUADRO RESUMEN DE SITIOS '!$C$5:$L$1052,10,FALSE())</f>
        <v>Terminado</v>
      </c>
      <c r="M108" s="26">
        <v>8828119355</v>
      </c>
      <c r="N108" s="26">
        <f>VLOOKUP(M108,[1]LPU!$A$2:$G$1512,2,FALSE())</f>
        <v>4.22</v>
      </c>
      <c r="O108" s="26" t="str">
        <f>VLOOKUP(M108,[1]LPU!$A$2:$G$1512,3,FALSE)</f>
        <v>Raspado, lijado, aplicación de anticorrosivo y pintura en esmalte para puertas metálicas</v>
      </c>
      <c r="P108" s="26" t="str">
        <f>VLOOKUP(M108,[1]LPU!$A$2:$G$1512,4,FALSE())</f>
        <v>Mantenimiento CW</v>
      </c>
      <c r="Q108" s="26" t="str">
        <f>VLOOKUP(M108,[1]LPU!$A$2:$G$1512,5,FALSE())</f>
        <v>M2</v>
      </c>
      <c r="R108" s="27">
        <f>VLOOKUP(M108,[1]LPU!$A$2:$G$1512,6,FALSE())</f>
        <v>32507.4</v>
      </c>
      <c r="S108" s="27" t="str">
        <f>VLOOKUP(M108,[1]LPU!$A$2:$G$1512,7,FALSE())</f>
        <v>Mantenimiento CW</v>
      </c>
      <c r="T108" s="28">
        <v>2</v>
      </c>
      <c r="U108" s="29">
        <f t="shared" si="3"/>
        <v>65014.8</v>
      </c>
      <c r="V108" s="29" t="s">
        <v>108</v>
      </c>
      <c r="W108" s="30"/>
      <c r="X108" s="29" t="s">
        <v>38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ht="21" customHeight="1" x14ac:dyDescent="0.3">
      <c r="A109" s="22">
        <v>105</v>
      </c>
      <c r="B109" s="23">
        <v>1</v>
      </c>
      <c r="C109" s="23" t="s">
        <v>107</v>
      </c>
      <c r="D109" s="23" t="str">
        <f>VLOOKUP(C109,'[1]1.CUADRO RESUMEN DE SITIOS '!$C$5:$L$1052,2,FALSE())</f>
        <v>BTA_07173</v>
      </c>
      <c r="E109" s="24">
        <f>VLOOKUP(C109,'[1]1.CUADRO RESUMEN DE SITIOS '!$C$5:$L$1052,3,FALSE())</f>
        <v>45989</v>
      </c>
      <c r="F109" s="23">
        <f>VLOOKUP(C109,'[1]1.CUADRO RESUMEN DE SITIOS '!$C$5:$L$1052,4,FALSE())</f>
        <v>4.6438730000000001</v>
      </c>
      <c r="G109" s="23">
        <f>VLOOKUP(C109,'[1]1.CUADRO RESUMEN DE SITIOS '!$C$5:$L$1052,5,FALSE())</f>
        <v>-74.17192</v>
      </c>
      <c r="H109" s="23" t="str">
        <f>VLOOKUP(C109,'[1]1.CUADRO RESUMEN DE SITIOS '!$C$5:$L$1052,6,FALSE())</f>
        <v>Cundinamarca</v>
      </c>
      <c r="I109" s="23" t="str">
        <f>VLOOKUP(C109,'[1]1.CUADRO RESUMEN DE SITIOS '!$C$5:$L$1052,7,FALSE())</f>
        <v>WOM</v>
      </c>
      <c r="J109" s="25" t="str">
        <f>VLOOKUP(C109,'[1]1.CUADRO RESUMEN DE SITIOS '!$C$5:$L$1052,8,FALSE())</f>
        <v>CENTRO SUR/ NORTE</v>
      </c>
      <c r="K109" s="23" t="str">
        <f>VLOOKUP(C109,'[1]1.CUADRO RESUMEN DE SITIOS '!$C$5:$L$1052,9,FALSE())</f>
        <v>Maria Camila Torres</v>
      </c>
      <c r="L109" s="26" t="str">
        <f>VLOOKUP(C109,'[1]1.CUADRO RESUMEN DE SITIOS '!$C$5:$L$1052,10,FALSE())</f>
        <v>Terminado</v>
      </c>
      <c r="M109" s="26">
        <v>8828119081</v>
      </c>
      <c r="N109" s="26">
        <f>VLOOKUP(M109,[1]LPU!$A$2:$G$1512,2,FALSE())</f>
        <v>6.01</v>
      </c>
      <c r="O109" s="26" t="str">
        <f>VLOOKUP(M109,[1]LPU!$A$2:$G$1512,3,FALSE)</f>
        <v>Servicio de SST - HSEQ ***</v>
      </c>
      <c r="P109" s="26" t="str">
        <f>VLOOKUP(M109,[1]LPU!$A$2:$G$1512,4,FALSE())</f>
        <v>Mantenimiento CW</v>
      </c>
      <c r="Q109" s="26" t="str">
        <f>VLOOKUP(M109,[1]LPU!$A$2:$G$1512,5,FALSE())</f>
        <v>Día</v>
      </c>
      <c r="R109" s="27">
        <f>VLOOKUP(M109,[1]LPU!$A$2:$G$1512,6,FALSE())</f>
        <v>163166.85</v>
      </c>
      <c r="S109" s="27" t="str">
        <f>VLOOKUP(M109,[1]LPU!$A$2:$G$1512,7,FALSE())</f>
        <v>Mantenimiento CW</v>
      </c>
      <c r="T109" s="28">
        <v>1</v>
      </c>
      <c r="U109" s="29">
        <f t="shared" si="3"/>
        <v>163166.85</v>
      </c>
      <c r="V109" s="29" t="s">
        <v>108</v>
      </c>
      <c r="W109" s="30"/>
      <c r="X109" s="29" t="s">
        <v>38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ht="21" customHeight="1" x14ac:dyDescent="0.3">
      <c r="A110" s="22">
        <v>106</v>
      </c>
      <c r="B110" s="23">
        <v>1</v>
      </c>
      <c r="C110" s="23" t="s">
        <v>109</v>
      </c>
      <c r="D110" s="23" t="str">
        <f>VLOOKUP(C110,'[1]1.CUADRO RESUMEN DE SITIOS '!$C$5:$L$1052,2,FALSE())</f>
        <v>CUN_08048</v>
      </c>
      <c r="E110" s="24">
        <f>VLOOKUP(C110,'[1]1.CUADRO RESUMEN DE SITIOS '!$C$5:$L$1052,3,FALSE())</f>
        <v>45989</v>
      </c>
      <c r="F110" s="23">
        <f>VLOOKUP(C110,'[1]1.CUADRO RESUMEN DE SITIOS '!$C$5:$L$1052,4,FALSE())</f>
        <v>4.4609024000000002</v>
      </c>
      <c r="G110" s="23">
        <f>VLOOKUP(C110,'[1]1.CUADRO RESUMEN DE SITIOS '!$C$5:$L$1052,5,FALSE())</f>
        <v>-74.357479999999995</v>
      </c>
      <c r="H110" s="23" t="str">
        <f>VLOOKUP(C110,'[1]1.CUADRO RESUMEN DE SITIOS '!$C$5:$L$1052,6,FALSE())</f>
        <v>Cundinamarca</v>
      </c>
      <c r="I110" s="23" t="str">
        <f>VLOOKUP(C110,'[1]1.CUADRO RESUMEN DE SITIOS '!$C$5:$L$1052,7,FALSE())</f>
        <v>WOM</v>
      </c>
      <c r="J110" s="25" t="str">
        <f>VLOOKUP(C110,'[1]1.CUADRO RESUMEN DE SITIOS '!$C$5:$L$1052,8,FALSE())</f>
        <v>CENTRO SUR/ NORTE</v>
      </c>
      <c r="K110" s="23" t="str">
        <f>VLOOKUP(C110,'[1]1.CUADRO RESUMEN DE SITIOS '!$C$5:$L$1052,9,FALSE())</f>
        <v>Maria Camila Torres</v>
      </c>
      <c r="L110" s="26" t="str">
        <f>VLOOKUP(C110,'[1]1.CUADRO RESUMEN DE SITIOS '!$C$5:$L$1052,10,FALSE())</f>
        <v>Terminado</v>
      </c>
      <c r="M110" s="26">
        <v>8828119045</v>
      </c>
      <c r="N110" s="26">
        <f>VLOOKUP(M110,[1]LPU!$A$2:$G$1512,2,FALSE())</f>
        <v>5.29</v>
      </c>
      <c r="O110" s="26" t="str">
        <f>VLOOKUP(M110,[1]LPU!$A$2:$G$1512,3,FALSE)</f>
        <v>Suministro e instalación de estructura metálica en acero galvanizado para refuerzo, soportes, bases y adecuaciones en general.</v>
      </c>
      <c r="P110" s="26" t="str">
        <f>VLOOKUP(M110,[1]LPU!$A$2:$G$1512,4,FALSE())</f>
        <v>Mantenimiento CW</v>
      </c>
      <c r="Q110" s="26" t="str">
        <f>VLOOKUP(M110,[1]LPU!$A$2:$G$1512,5,FALSE())</f>
        <v>Kg</v>
      </c>
      <c r="R110" s="27">
        <f>VLOOKUP(M110,[1]LPU!$A$2:$G$1512,6,FALSE())</f>
        <v>12911.5</v>
      </c>
      <c r="S110" s="27" t="str">
        <f>VLOOKUP(M110,[1]LPU!$A$2:$G$1512,7,FALSE())</f>
        <v>Mantenimiento CW</v>
      </c>
      <c r="T110" s="28">
        <v>65</v>
      </c>
      <c r="U110" s="29">
        <f t="shared" si="3"/>
        <v>839247.5</v>
      </c>
      <c r="V110" s="29" t="s">
        <v>110</v>
      </c>
      <c r="W110" s="30"/>
      <c r="X110" s="29" t="s">
        <v>38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ht="21" customHeight="1" x14ac:dyDescent="0.3">
      <c r="A111" s="22">
        <v>107</v>
      </c>
      <c r="B111" s="23">
        <v>1</v>
      </c>
      <c r="C111" s="23" t="s">
        <v>109</v>
      </c>
      <c r="D111" s="23" t="str">
        <f>VLOOKUP(C111,'[1]1.CUADRO RESUMEN DE SITIOS '!$C$5:$L$1052,2,FALSE())</f>
        <v>CUN_08048</v>
      </c>
      <c r="E111" s="24">
        <f>VLOOKUP(C111,'[1]1.CUADRO RESUMEN DE SITIOS '!$C$5:$L$1052,3,FALSE())</f>
        <v>45989</v>
      </c>
      <c r="F111" s="23">
        <f>VLOOKUP(C111,'[1]1.CUADRO RESUMEN DE SITIOS '!$C$5:$L$1052,4,FALSE())</f>
        <v>4.4609024000000002</v>
      </c>
      <c r="G111" s="23">
        <f>VLOOKUP(C111,'[1]1.CUADRO RESUMEN DE SITIOS '!$C$5:$L$1052,5,FALSE())</f>
        <v>-74.357479999999995</v>
      </c>
      <c r="H111" s="23" t="str">
        <f>VLOOKUP(C111,'[1]1.CUADRO RESUMEN DE SITIOS '!$C$5:$L$1052,6,FALSE())</f>
        <v>Cundinamarca</v>
      </c>
      <c r="I111" s="23" t="str">
        <f>VLOOKUP(C111,'[1]1.CUADRO RESUMEN DE SITIOS '!$C$5:$L$1052,7,FALSE())</f>
        <v>WOM</v>
      </c>
      <c r="J111" s="25" t="str">
        <f>VLOOKUP(C111,'[1]1.CUADRO RESUMEN DE SITIOS '!$C$5:$L$1052,8,FALSE())</f>
        <v>CENTRO SUR/ NORTE</v>
      </c>
      <c r="K111" s="23" t="str">
        <f>VLOOKUP(C111,'[1]1.CUADRO RESUMEN DE SITIOS '!$C$5:$L$1052,9,FALSE())</f>
        <v>Maria Camila Torres</v>
      </c>
      <c r="L111" s="26" t="str">
        <f>VLOOKUP(C111,'[1]1.CUADRO RESUMEN DE SITIOS '!$C$5:$L$1052,10,FALSE())</f>
        <v>Terminado</v>
      </c>
      <c r="M111" s="26">
        <v>8828119211</v>
      </c>
      <c r="N111" s="26">
        <f>VLOOKUP(M111,[1]LPU!$A$2:$G$1512,2,FALSE())</f>
        <v>2.0699999999999998</v>
      </c>
      <c r="O111" s="26" t="str">
        <f>VLOOKUP(M111,[1]LPU!$A$2:$G$1512,3,FALSE)</f>
        <v>Suministro e instalación de cable 2/0 ACSR para red eléctrica de MT. Incluye transporte, mano de obra, herramientas necesarias para instalación y limpieza del área de trabajo</v>
      </c>
      <c r="P111" s="26" t="str">
        <f>VLOOKUP(M111,[1]LPU!$A$2:$G$1512,4,FALSE())</f>
        <v>Mantenimiento Electrico</v>
      </c>
      <c r="Q111" s="26" t="str">
        <f>VLOOKUP(M111,[1]LPU!$A$2:$G$1512,5,FALSE())</f>
        <v>ML</v>
      </c>
      <c r="R111" s="27">
        <f>VLOOKUP(M111,[1]LPU!$A$2:$G$1512,6,FALSE())</f>
        <v>5472.3</v>
      </c>
      <c r="S111" s="27" t="str">
        <f>VLOOKUP(M111,[1]LPU!$A$2:$G$1512,7,FALSE())</f>
        <v>Mantenimiento Electrico</v>
      </c>
      <c r="T111" s="28">
        <v>30</v>
      </c>
      <c r="U111" s="29">
        <f t="shared" si="3"/>
        <v>164169</v>
      </c>
      <c r="V111" s="29" t="s">
        <v>110</v>
      </c>
      <c r="W111" s="30"/>
      <c r="X111" s="29" t="s">
        <v>38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ht="21" customHeight="1" x14ac:dyDescent="0.3">
      <c r="A112" s="22">
        <v>108</v>
      </c>
      <c r="B112" s="23">
        <v>1</v>
      </c>
      <c r="C112" s="23" t="s">
        <v>109</v>
      </c>
      <c r="D112" s="23" t="str">
        <f>VLOOKUP(C112,'[1]1.CUADRO RESUMEN DE SITIOS '!$C$5:$L$1052,2,FALSE())</f>
        <v>CUN_08048</v>
      </c>
      <c r="E112" s="24">
        <f>VLOOKUP(C112,'[1]1.CUADRO RESUMEN DE SITIOS '!$C$5:$L$1052,3,FALSE())</f>
        <v>45989</v>
      </c>
      <c r="F112" s="23">
        <f>VLOOKUP(C112,'[1]1.CUADRO RESUMEN DE SITIOS '!$C$5:$L$1052,4,FALSE())</f>
        <v>4.4609024000000002</v>
      </c>
      <c r="G112" s="23">
        <f>VLOOKUP(C112,'[1]1.CUADRO RESUMEN DE SITIOS '!$C$5:$L$1052,5,FALSE())</f>
        <v>-74.357479999999995</v>
      </c>
      <c r="H112" s="23" t="str">
        <f>VLOOKUP(C112,'[1]1.CUADRO RESUMEN DE SITIOS '!$C$5:$L$1052,6,FALSE())</f>
        <v>Cundinamarca</v>
      </c>
      <c r="I112" s="23" t="str">
        <f>VLOOKUP(C112,'[1]1.CUADRO RESUMEN DE SITIOS '!$C$5:$L$1052,7,FALSE())</f>
        <v>WOM</v>
      </c>
      <c r="J112" s="25" t="str">
        <f>VLOOKUP(C112,'[1]1.CUADRO RESUMEN DE SITIOS '!$C$5:$L$1052,8,FALSE())</f>
        <v>CENTRO SUR/ NORTE</v>
      </c>
      <c r="K112" s="23" t="str">
        <f>VLOOKUP(C112,'[1]1.CUADRO RESUMEN DE SITIOS '!$C$5:$L$1052,9,FALSE())</f>
        <v>Maria Camila Torres</v>
      </c>
      <c r="L112" s="26" t="str">
        <f>VLOOKUP(C112,'[1]1.CUADRO RESUMEN DE SITIOS '!$C$5:$L$1052,10,FALSE())</f>
        <v>Terminado</v>
      </c>
      <c r="M112" s="26">
        <v>8828118931</v>
      </c>
      <c r="N112" s="26">
        <f>VLOOKUP(M112,[1]LPU!$A$2:$G$1512,2,FALSE())</f>
        <v>300</v>
      </c>
      <c r="O112" s="26" t="str">
        <f>VLOOKUP(M112,[1]LPU!$A$2:$G$1512,3,FALSE)</f>
        <v>SOLDADURA EXOTERMICA 115 GRAMOS N2 23</v>
      </c>
      <c r="P112" s="26" t="str">
        <f>VLOOKUP(M112,[1]LPU!$A$2:$G$1512,4,FALSE())</f>
        <v>Nivel 2</v>
      </c>
      <c r="Q112" s="26" t="str">
        <f>VLOOKUP(M112,[1]LPU!$A$2:$G$1512,5,FALSE())</f>
        <v>Uni</v>
      </c>
      <c r="R112" s="27">
        <f>VLOOKUP(M112,[1]LPU!$A$2:$G$1512,6,FALSE())</f>
        <v>38859</v>
      </c>
      <c r="S112" s="27" t="str">
        <f>VLOOKUP(M112,[1]LPU!$A$2:$G$1512,7,FALSE())</f>
        <v>N2</v>
      </c>
      <c r="T112" s="28">
        <v>2</v>
      </c>
      <c r="U112" s="29">
        <f t="shared" si="3"/>
        <v>77718</v>
      </c>
      <c r="V112" s="29" t="s">
        <v>110</v>
      </c>
      <c r="W112" s="30"/>
      <c r="X112" s="29" t="s">
        <v>38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ht="21" customHeight="1" x14ac:dyDescent="0.3">
      <c r="A113" s="22">
        <v>109</v>
      </c>
      <c r="B113" s="23">
        <v>1</v>
      </c>
      <c r="C113" s="23" t="s">
        <v>109</v>
      </c>
      <c r="D113" s="23" t="str">
        <f>VLOOKUP(C113,'[1]1.CUADRO RESUMEN DE SITIOS '!$C$5:$L$1052,2,FALSE())</f>
        <v>CUN_08048</v>
      </c>
      <c r="E113" s="24">
        <f>VLOOKUP(C113,'[1]1.CUADRO RESUMEN DE SITIOS '!$C$5:$L$1052,3,FALSE())</f>
        <v>45989</v>
      </c>
      <c r="F113" s="23">
        <f>VLOOKUP(C113,'[1]1.CUADRO RESUMEN DE SITIOS '!$C$5:$L$1052,4,FALSE())</f>
        <v>4.4609024000000002</v>
      </c>
      <c r="G113" s="23">
        <f>VLOOKUP(C113,'[1]1.CUADRO RESUMEN DE SITIOS '!$C$5:$L$1052,5,FALSE())</f>
        <v>-74.357479999999995</v>
      </c>
      <c r="H113" s="23" t="str">
        <f>VLOOKUP(C113,'[1]1.CUADRO RESUMEN DE SITIOS '!$C$5:$L$1052,6,FALSE())</f>
        <v>Cundinamarca</v>
      </c>
      <c r="I113" s="23" t="str">
        <f>VLOOKUP(C113,'[1]1.CUADRO RESUMEN DE SITIOS '!$C$5:$L$1052,7,FALSE())</f>
        <v>WOM</v>
      </c>
      <c r="J113" s="25" t="str">
        <f>VLOOKUP(C113,'[1]1.CUADRO RESUMEN DE SITIOS '!$C$5:$L$1052,8,FALSE())</f>
        <v>CENTRO SUR/ NORTE</v>
      </c>
      <c r="K113" s="23" t="str">
        <f>VLOOKUP(C113,'[1]1.CUADRO RESUMEN DE SITIOS '!$C$5:$L$1052,9,FALSE())</f>
        <v>Maria Camila Torres</v>
      </c>
      <c r="L113" s="26" t="str">
        <f>VLOOKUP(C113,'[1]1.CUADRO RESUMEN DE SITIOS '!$C$5:$L$1052,10,FALSE())</f>
        <v>Terminado</v>
      </c>
      <c r="M113" s="26">
        <v>8828119609</v>
      </c>
      <c r="N113" s="26">
        <f>VLOOKUP(M113,[1]LPU!$A$2:$G$1512,2,FALSE())</f>
        <v>198</v>
      </c>
      <c r="O113" s="26" t="str">
        <f>VLOOKUP(M113,[1]LPU!$A$2:$G$1512,3,FALSE)</f>
        <v>Transporte de Equipos y Materiales, Carga y Descarga, desde y hacía Bodega Regional. Mas de 1 Tonelada. ZONA Satelital (Resolución 5078 de 2016)</v>
      </c>
      <c r="P113" s="26" t="str">
        <f>VLOOKUP(M113,[1]LPU!$A$2:$G$1512,4,FALSE())</f>
        <v>LOCATIVO</v>
      </c>
      <c r="Q113" s="26" t="str">
        <f>VLOOKUP(M113,[1]LPU!$A$2:$G$1512,5,FALSE())</f>
        <v>U</v>
      </c>
      <c r="R113" s="27">
        <f>VLOOKUP(M113,[1]LPU!$A$2:$G$1512,6,FALSE())</f>
        <v>1105000</v>
      </c>
      <c r="S113" s="27" t="str">
        <f>VLOOKUP(M113,[1]LPU!$A$2:$G$1512,7,FALSE())</f>
        <v>LPU FLM</v>
      </c>
      <c r="T113" s="28">
        <v>1</v>
      </c>
      <c r="U113" s="29">
        <f t="shared" si="3"/>
        <v>1105000</v>
      </c>
      <c r="V113" s="29" t="s">
        <v>110</v>
      </c>
      <c r="W113" s="30"/>
      <c r="X113" s="29" t="s">
        <v>38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ht="21" customHeight="1" x14ac:dyDescent="0.3">
      <c r="A114" s="22">
        <v>110</v>
      </c>
      <c r="B114" s="23">
        <v>1</v>
      </c>
      <c r="C114" s="23" t="s">
        <v>109</v>
      </c>
      <c r="D114" s="23" t="str">
        <f>VLOOKUP(C114,'[1]1.CUADRO RESUMEN DE SITIOS '!$C$5:$L$1052,2,FALSE())</f>
        <v>CUN_08048</v>
      </c>
      <c r="E114" s="24">
        <f>VLOOKUP(C114,'[1]1.CUADRO RESUMEN DE SITIOS '!$C$5:$L$1052,3,FALSE())</f>
        <v>45989</v>
      </c>
      <c r="F114" s="23">
        <f>VLOOKUP(C114,'[1]1.CUADRO RESUMEN DE SITIOS '!$C$5:$L$1052,4,FALSE())</f>
        <v>4.4609024000000002</v>
      </c>
      <c r="G114" s="23">
        <f>VLOOKUP(C114,'[1]1.CUADRO RESUMEN DE SITIOS '!$C$5:$L$1052,5,FALSE())</f>
        <v>-74.357479999999995</v>
      </c>
      <c r="H114" s="23" t="str">
        <f>VLOOKUP(C114,'[1]1.CUADRO RESUMEN DE SITIOS '!$C$5:$L$1052,6,FALSE())</f>
        <v>Cundinamarca</v>
      </c>
      <c r="I114" s="23" t="str">
        <f>VLOOKUP(C114,'[1]1.CUADRO RESUMEN DE SITIOS '!$C$5:$L$1052,7,FALSE())</f>
        <v>WOM</v>
      </c>
      <c r="J114" s="25" t="str">
        <f>VLOOKUP(C114,'[1]1.CUADRO RESUMEN DE SITIOS '!$C$5:$L$1052,8,FALSE())</f>
        <v>CENTRO SUR/ NORTE</v>
      </c>
      <c r="K114" s="23" t="str">
        <f>VLOOKUP(C114,'[1]1.CUADRO RESUMEN DE SITIOS '!$C$5:$L$1052,9,FALSE())</f>
        <v>Maria Camila Torres</v>
      </c>
      <c r="L114" s="26" t="str">
        <f>VLOOKUP(C114,'[1]1.CUADRO RESUMEN DE SITIOS '!$C$5:$L$1052,10,FALSE())</f>
        <v>Terminado</v>
      </c>
      <c r="M114" s="26">
        <v>8828119025</v>
      </c>
      <c r="N114" s="26">
        <f>VLOOKUP(M114,[1]LPU!$A$2:$G$1512,2,FALSE())</f>
        <v>2.21</v>
      </c>
      <c r="O114" s="26" t="str">
        <f>VLOOKUP(M114,[1]LPU!$A$2:$G$1512,3,FALSE)</f>
        <v>Suministro e instalación de Cable encauchetado en cobre 4X8 AWG THHN, Incluye suministro e instalación de cable encauchetado 4 hilos calibre 8 cada uno, conforme regulación de la acometida, incluye elementos de fijación, terminales, marquillas y demás requeridos para su instalación.</v>
      </c>
      <c r="P114" s="26" t="str">
        <f>VLOOKUP(M114,[1]LPU!$A$2:$G$1512,4,FALSE())</f>
        <v>Mantenimiento Electrico</v>
      </c>
      <c r="Q114" s="26" t="str">
        <f>VLOOKUP(M114,[1]LPU!$A$2:$G$1512,5,FALSE())</f>
        <v>ML</v>
      </c>
      <c r="R114" s="27">
        <f>VLOOKUP(M114,[1]LPU!$A$2:$G$1512,6,FALSE())</f>
        <v>54914.25</v>
      </c>
      <c r="S114" s="27" t="str">
        <f>VLOOKUP(M114,[1]LPU!$A$2:$G$1512,7,FALSE())</f>
        <v>Mantenimiento Electrico</v>
      </c>
      <c r="T114" s="28">
        <v>20</v>
      </c>
      <c r="U114" s="29">
        <f t="shared" si="3"/>
        <v>1098285</v>
      </c>
      <c r="V114" s="29" t="s">
        <v>110</v>
      </c>
      <c r="W114" s="30"/>
      <c r="X114" s="29" t="s">
        <v>38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ht="21" customHeight="1" x14ac:dyDescent="0.3">
      <c r="A115" s="22">
        <v>111</v>
      </c>
      <c r="B115" s="23">
        <v>1</v>
      </c>
      <c r="C115" s="23" t="s">
        <v>109</v>
      </c>
      <c r="D115" s="23" t="str">
        <f>VLOOKUP(C115,'[1]1.CUADRO RESUMEN DE SITIOS '!$C$5:$L$1052,2,FALSE())</f>
        <v>CUN_08048</v>
      </c>
      <c r="E115" s="24">
        <f>VLOOKUP(C115,'[1]1.CUADRO RESUMEN DE SITIOS '!$C$5:$L$1052,3,FALSE())</f>
        <v>45989</v>
      </c>
      <c r="F115" s="23">
        <f>VLOOKUP(C115,'[1]1.CUADRO RESUMEN DE SITIOS '!$C$5:$L$1052,4,FALSE())</f>
        <v>4.4609024000000002</v>
      </c>
      <c r="G115" s="23">
        <f>VLOOKUP(C115,'[1]1.CUADRO RESUMEN DE SITIOS '!$C$5:$L$1052,5,FALSE())</f>
        <v>-74.357479999999995</v>
      </c>
      <c r="H115" s="23" t="str">
        <f>VLOOKUP(C115,'[1]1.CUADRO RESUMEN DE SITIOS '!$C$5:$L$1052,6,FALSE())</f>
        <v>Cundinamarca</v>
      </c>
      <c r="I115" s="23" t="str">
        <f>VLOOKUP(C115,'[1]1.CUADRO RESUMEN DE SITIOS '!$C$5:$L$1052,7,FALSE())</f>
        <v>WOM</v>
      </c>
      <c r="J115" s="25" t="str">
        <f>VLOOKUP(C115,'[1]1.CUADRO RESUMEN DE SITIOS '!$C$5:$L$1052,8,FALSE())</f>
        <v>CENTRO SUR/ NORTE</v>
      </c>
      <c r="K115" s="23" t="str">
        <f>VLOOKUP(C115,'[1]1.CUADRO RESUMEN DE SITIOS '!$C$5:$L$1052,9,FALSE())</f>
        <v>Maria Camila Torres</v>
      </c>
      <c r="L115" s="26" t="str">
        <f>VLOOKUP(C115,'[1]1.CUADRO RESUMEN DE SITIOS '!$C$5:$L$1052,10,FALSE())</f>
        <v>Terminado</v>
      </c>
      <c r="M115" s="26">
        <v>8828119206</v>
      </c>
      <c r="N115" s="26">
        <f>VLOOKUP(M115,[1]LPU!$A$2:$G$1512,2,FALSE())</f>
        <v>2.4</v>
      </c>
      <c r="O115" s="26" t="str">
        <f>VLOOKUP(M115,[1]LPU!$A$2:$G$1512,3,FALSE)</f>
        <v>Coraza Tipo Americano 1 1/2", Incluye canalización, uniones, terminales, curvas y accesorios de fijación. (1 curva equivale a 1 ml). Incluye retiro de escombros.</v>
      </c>
      <c r="P115" s="26" t="str">
        <f>VLOOKUP(M115,[1]LPU!$A$2:$G$1512,4,FALSE())</f>
        <v>Mantenimiento Electrico</v>
      </c>
      <c r="Q115" s="26" t="str">
        <f>VLOOKUP(M115,[1]LPU!$A$2:$G$1512,5,FALSE())</f>
        <v>ML</v>
      </c>
      <c r="R115" s="27">
        <f>VLOOKUP(M115,[1]LPU!$A$2:$G$1512,6,FALSE())</f>
        <v>29782.3</v>
      </c>
      <c r="S115" s="27" t="str">
        <f>VLOOKUP(M115,[1]LPU!$A$2:$G$1512,7,FALSE())</f>
        <v>Mantenimiento Electrico</v>
      </c>
      <c r="T115" s="28">
        <v>20</v>
      </c>
      <c r="U115" s="29">
        <f t="shared" si="3"/>
        <v>595646</v>
      </c>
      <c r="V115" s="29" t="s">
        <v>110</v>
      </c>
      <c r="W115" s="30"/>
      <c r="X115" s="29" t="s">
        <v>38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ht="21" customHeight="1" x14ac:dyDescent="0.3">
      <c r="A116" s="22">
        <v>112</v>
      </c>
      <c r="B116" s="23">
        <v>1</v>
      </c>
      <c r="C116" s="23" t="s">
        <v>109</v>
      </c>
      <c r="D116" s="23" t="str">
        <f>VLOOKUP(C116,'[1]1.CUADRO RESUMEN DE SITIOS '!$C$5:$L$1052,2,FALSE())</f>
        <v>CUN_08048</v>
      </c>
      <c r="E116" s="24">
        <f>VLOOKUP(C116,'[1]1.CUADRO RESUMEN DE SITIOS '!$C$5:$L$1052,3,FALSE())</f>
        <v>45989</v>
      </c>
      <c r="F116" s="23">
        <f>VLOOKUP(C116,'[1]1.CUADRO RESUMEN DE SITIOS '!$C$5:$L$1052,4,FALSE())</f>
        <v>4.4609024000000002</v>
      </c>
      <c r="G116" s="23">
        <f>VLOOKUP(C116,'[1]1.CUADRO RESUMEN DE SITIOS '!$C$5:$L$1052,5,FALSE())</f>
        <v>-74.357479999999995</v>
      </c>
      <c r="H116" s="23" t="str">
        <f>VLOOKUP(C116,'[1]1.CUADRO RESUMEN DE SITIOS '!$C$5:$L$1052,6,FALSE())</f>
        <v>Cundinamarca</v>
      </c>
      <c r="I116" s="23" t="str">
        <f>VLOOKUP(C116,'[1]1.CUADRO RESUMEN DE SITIOS '!$C$5:$L$1052,7,FALSE())</f>
        <v>WOM</v>
      </c>
      <c r="J116" s="25" t="str">
        <f>VLOOKUP(C116,'[1]1.CUADRO RESUMEN DE SITIOS '!$C$5:$L$1052,8,FALSE())</f>
        <v>CENTRO SUR/ NORTE</v>
      </c>
      <c r="K116" s="23" t="str">
        <f>VLOOKUP(C116,'[1]1.CUADRO RESUMEN DE SITIOS '!$C$5:$L$1052,9,FALSE())</f>
        <v>Maria Camila Torres</v>
      </c>
      <c r="L116" s="26" t="str">
        <f>VLOOKUP(C116,'[1]1.CUADRO RESUMEN DE SITIOS '!$C$5:$L$1052,10,FALSE())</f>
        <v>Terminado</v>
      </c>
      <c r="M116" s="26">
        <v>8828119862</v>
      </c>
      <c r="N116" s="26">
        <f>VLOOKUP(M116,[1]LPU!$A$2:$G$1512,2,FALSE())</f>
        <v>15</v>
      </c>
      <c r="O116" s="26" t="str">
        <f>VLOOKUP(M116,[1]LPU!$A$2:$G$1512,3,FALSE)</f>
        <v>Reemplazo de gabinete de fuerza o rectificador. Incluye transporte de elementos a Sito y retorno a Bodega de elemento desmontado.</v>
      </c>
      <c r="P116" s="26" t="str">
        <f>VLOOKUP(M116,[1]LPU!$A$2:$G$1512,4,FALSE())</f>
        <v>ACCESO</v>
      </c>
      <c r="Q116" s="26" t="str">
        <f>VLOOKUP(M116,[1]LPU!$A$2:$G$1512,5,FALSE())</f>
        <v>Gl</v>
      </c>
      <c r="R116" s="27">
        <f>VLOOKUP(M116,[1]LPU!$A$2:$G$1512,6,FALSE())</f>
        <v>247657</v>
      </c>
      <c r="S116" s="27" t="str">
        <f>VLOOKUP(M116,[1]LPU!$A$2:$G$1512,7,FALSE())</f>
        <v>LPU FLM</v>
      </c>
      <c r="T116" s="28">
        <v>1</v>
      </c>
      <c r="U116" s="29">
        <f t="shared" si="3"/>
        <v>247657</v>
      </c>
      <c r="V116" s="29" t="s">
        <v>110</v>
      </c>
      <c r="W116" s="30"/>
      <c r="X116" s="29" t="s">
        <v>38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ht="21" customHeight="1" x14ac:dyDescent="0.3">
      <c r="A117" s="22">
        <v>113</v>
      </c>
      <c r="B117" s="23">
        <v>1</v>
      </c>
      <c r="C117" s="23" t="s">
        <v>109</v>
      </c>
      <c r="D117" s="23" t="str">
        <f>VLOOKUP(C117,'[1]1.CUADRO RESUMEN DE SITIOS '!$C$5:$L$1052,2,FALSE())</f>
        <v>CUN_08048</v>
      </c>
      <c r="E117" s="24">
        <f>VLOOKUP(C117,'[1]1.CUADRO RESUMEN DE SITIOS '!$C$5:$L$1052,3,FALSE())</f>
        <v>45989</v>
      </c>
      <c r="F117" s="23">
        <f>VLOOKUP(C117,'[1]1.CUADRO RESUMEN DE SITIOS '!$C$5:$L$1052,4,FALSE())</f>
        <v>4.4609024000000002</v>
      </c>
      <c r="G117" s="23">
        <f>VLOOKUP(C117,'[1]1.CUADRO RESUMEN DE SITIOS '!$C$5:$L$1052,5,FALSE())</f>
        <v>-74.357479999999995</v>
      </c>
      <c r="H117" s="23" t="str">
        <f>VLOOKUP(C117,'[1]1.CUADRO RESUMEN DE SITIOS '!$C$5:$L$1052,6,FALSE())</f>
        <v>Cundinamarca</v>
      </c>
      <c r="I117" s="23" t="str">
        <f>VLOOKUP(C117,'[1]1.CUADRO RESUMEN DE SITIOS '!$C$5:$L$1052,7,FALSE())</f>
        <v>WOM</v>
      </c>
      <c r="J117" s="25" t="str">
        <f>VLOOKUP(C117,'[1]1.CUADRO RESUMEN DE SITIOS '!$C$5:$L$1052,8,FALSE())</f>
        <v>CENTRO SUR/ NORTE</v>
      </c>
      <c r="K117" s="23" t="str">
        <f>VLOOKUP(C117,'[1]1.CUADRO RESUMEN DE SITIOS '!$C$5:$L$1052,9,FALSE())</f>
        <v>Maria Camila Torres</v>
      </c>
      <c r="L117" s="26" t="str">
        <f>VLOOKUP(C117,'[1]1.CUADRO RESUMEN DE SITIOS '!$C$5:$L$1052,10,FALSE())</f>
        <v>Terminado</v>
      </c>
      <c r="M117" s="26">
        <v>8828119870</v>
      </c>
      <c r="N117" s="26">
        <f>VLOOKUP(M117,[1]LPU!$A$2:$G$1512,2,FALSE())</f>
        <v>16</v>
      </c>
      <c r="O117" s="26" t="str">
        <f>VLOOKUP(M117,[1]LPU!$A$2:$G$1512,3,FALSE)</f>
        <v>Intercambio entre Estaciones Base de Equipos RAN tipo Cabinet a Blade. Incluye Transporte</v>
      </c>
      <c r="P117" s="26" t="str">
        <f>VLOOKUP(M117,[1]LPU!$A$2:$G$1512,4,FALSE())</f>
        <v>ACCESO</v>
      </c>
      <c r="Q117" s="26" t="str">
        <f>VLOOKUP(M117,[1]LPU!$A$2:$G$1512,5,FALSE())</f>
        <v>Gl</v>
      </c>
      <c r="R117" s="27">
        <f>VLOOKUP(M117,[1]LPU!$A$2:$G$1512,6,FALSE())</f>
        <v>395250</v>
      </c>
      <c r="S117" s="27" t="str">
        <f>VLOOKUP(M117,[1]LPU!$A$2:$G$1512,7,FALSE())</f>
        <v>LPU FLM</v>
      </c>
      <c r="T117" s="28">
        <v>1</v>
      </c>
      <c r="U117" s="29">
        <f t="shared" si="3"/>
        <v>395250</v>
      </c>
      <c r="V117" s="29" t="s">
        <v>110</v>
      </c>
      <c r="W117" s="30"/>
      <c r="X117" s="29" t="s">
        <v>38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ht="21" customHeight="1" x14ac:dyDescent="0.3">
      <c r="A118" s="22">
        <v>114</v>
      </c>
      <c r="B118" s="23">
        <v>1</v>
      </c>
      <c r="C118" s="23" t="s">
        <v>109</v>
      </c>
      <c r="D118" s="23" t="str">
        <f>VLOOKUP(C118,'[1]1.CUADRO RESUMEN DE SITIOS '!$C$5:$L$1052,2,FALSE())</f>
        <v>CUN_08048</v>
      </c>
      <c r="E118" s="24">
        <f>VLOOKUP(C118,'[1]1.CUADRO RESUMEN DE SITIOS '!$C$5:$L$1052,3,FALSE())</f>
        <v>45989</v>
      </c>
      <c r="F118" s="23">
        <f>VLOOKUP(C118,'[1]1.CUADRO RESUMEN DE SITIOS '!$C$5:$L$1052,4,FALSE())</f>
        <v>4.4609024000000002</v>
      </c>
      <c r="G118" s="23">
        <f>VLOOKUP(C118,'[1]1.CUADRO RESUMEN DE SITIOS '!$C$5:$L$1052,5,FALSE())</f>
        <v>-74.357479999999995</v>
      </c>
      <c r="H118" s="23" t="str">
        <f>VLOOKUP(C118,'[1]1.CUADRO RESUMEN DE SITIOS '!$C$5:$L$1052,6,FALSE())</f>
        <v>Cundinamarca</v>
      </c>
      <c r="I118" s="23" t="str">
        <f>VLOOKUP(C118,'[1]1.CUADRO RESUMEN DE SITIOS '!$C$5:$L$1052,7,FALSE())</f>
        <v>WOM</v>
      </c>
      <c r="J118" s="25" t="str">
        <f>VLOOKUP(C118,'[1]1.CUADRO RESUMEN DE SITIOS '!$C$5:$L$1052,8,FALSE())</f>
        <v>CENTRO SUR/ NORTE</v>
      </c>
      <c r="K118" s="23" t="str">
        <f>VLOOKUP(C118,'[1]1.CUADRO RESUMEN DE SITIOS '!$C$5:$L$1052,9,FALSE())</f>
        <v>Maria Camila Torres</v>
      </c>
      <c r="L118" s="26" t="str">
        <f>VLOOKUP(C118,'[1]1.CUADRO RESUMEN DE SITIOS '!$C$5:$L$1052,10,FALSE())</f>
        <v>Terminado</v>
      </c>
      <c r="M118" s="26">
        <v>8828119938</v>
      </c>
      <c r="N118" s="26">
        <f>VLOOKUP(M118,[1]LPU!$A$2:$G$1512,2,FALSE())</f>
        <v>23</v>
      </c>
      <c r="O118" s="26" t="str">
        <f>VLOOKUP(M118,[1]LPU!$A$2:$G$1512,3,FALSE)</f>
        <v>Reubicación de 01 BBU desde gabinete existente hacia nuevo gabinete, incluye conexión de alimentación en ambos planos y etiquetado</v>
      </c>
      <c r="P118" s="26" t="str">
        <f>VLOOKUP(M118,[1]LPU!$A$2:$G$1512,4,FALSE())</f>
        <v>ACCESO</v>
      </c>
      <c r="Q118" s="26" t="str">
        <f>VLOOKUP(M118,[1]LPU!$A$2:$G$1512,5,FALSE())</f>
        <v>Por sector</v>
      </c>
      <c r="R118" s="27">
        <f>VLOOKUP(M118,[1]LPU!$A$2:$G$1512,6,FALSE())</f>
        <v>217413</v>
      </c>
      <c r="S118" s="27" t="str">
        <f>VLOOKUP(M118,[1]LPU!$A$2:$G$1512,7,FALSE())</f>
        <v>LPU FLM</v>
      </c>
      <c r="T118" s="28">
        <v>1</v>
      </c>
      <c r="U118" s="29">
        <f t="shared" si="3"/>
        <v>217413</v>
      </c>
      <c r="V118" s="29" t="s">
        <v>110</v>
      </c>
      <c r="W118" s="30"/>
      <c r="X118" s="29" t="s">
        <v>38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ht="21" customHeight="1" x14ac:dyDescent="0.3">
      <c r="A119" s="22">
        <v>115</v>
      </c>
      <c r="B119" s="23">
        <v>1</v>
      </c>
      <c r="C119" s="23" t="s">
        <v>109</v>
      </c>
      <c r="D119" s="23" t="str">
        <f>VLOOKUP(C119,'[1]1.CUADRO RESUMEN DE SITIOS '!$C$5:$L$1052,2,FALSE())</f>
        <v>CUN_08048</v>
      </c>
      <c r="E119" s="24">
        <f>VLOOKUP(C119,'[1]1.CUADRO RESUMEN DE SITIOS '!$C$5:$L$1052,3,FALSE())</f>
        <v>45989</v>
      </c>
      <c r="F119" s="23">
        <f>VLOOKUP(C119,'[1]1.CUADRO RESUMEN DE SITIOS '!$C$5:$L$1052,4,FALSE())</f>
        <v>4.4609024000000002</v>
      </c>
      <c r="G119" s="23">
        <f>VLOOKUP(C119,'[1]1.CUADRO RESUMEN DE SITIOS '!$C$5:$L$1052,5,FALSE())</f>
        <v>-74.357479999999995</v>
      </c>
      <c r="H119" s="23" t="str">
        <f>VLOOKUP(C119,'[1]1.CUADRO RESUMEN DE SITIOS '!$C$5:$L$1052,6,FALSE())</f>
        <v>Cundinamarca</v>
      </c>
      <c r="I119" s="23" t="str">
        <f>VLOOKUP(C119,'[1]1.CUADRO RESUMEN DE SITIOS '!$C$5:$L$1052,7,FALSE())</f>
        <v>WOM</v>
      </c>
      <c r="J119" s="25" t="str">
        <f>VLOOKUP(C119,'[1]1.CUADRO RESUMEN DE SITIOS '!$C$5:$L$1052,8,FALSE())</f>
        <v>CENTRO SUR/ NORTE</v>
      </c>
      <c r="K119" s="23" t="str">
        <f>VLOOKUP(C119,'[1]1.CUADRO RESUMEN DE SITIOS '!$C$5:$L$1052,9,FALSE())</f>
        <v>Maria Camila Torres</v>
      </c>
      <c r="L119" s="26" t="str">
        <f>VLOOKUP(C119,'[1]1.CUADRO RESUMEN DE SITIOS '!$C$5:$L$1052,10,FALSE())</f>
        <v>Terminado</v>
      </c>
      <c r="M119" s="26">
        <v>8828120030</v>
      </c>
      <c r="N119" s="26">
        <f>VLOOKUP(M119,[1]LPU!$A$2:$G$1512,2,FALSE())</f>
        <v>33</v>
      </c>
      <c r="O119" s="26" t="str">
        <f>VLOOKUP(M119,[1]LPU!$A$2:$G$1512,3,FALSE)</f>
        <v>Desmonte de Sitio, Equipos en Piso (incluye: Sistema Rectificador, Equipos Banda Base, Equipos RF y Equipos TX).</v>
      </c>
      <c r="P119" s="26" t="str">
        <f>VLOOKUP(M119,[1]LPU!$A$2:$G$1512,4,FALSE())</f>
        <v>ACCESO</v>
      </c>
      <c r="Q119" s="26" t="str">
        <f>VLOOKUP(M119,[1]LPU!$A$2:$G$1512,5,FALSE())</f>
        <v>Sitio</v>
      </c>
      <c r="R119" s="27">
        <f>VLOOKUP(M119,[1]LPU!$A$2:$G$1512,6,FALSE())</f>
        <v>707200</v>
      </c>
      <c r="S119" s="27" t="str">
        <f>VLOOKUP(M119,[1]LPU!$A$2:$G$1512,7,FALSE())</f>
        <v>LPU FLM</v>
      </c>
      <c r="T119" s="28">
        <v>1</v>
      </c>
      <c r="U119" s="29">
        <f t="shared" si="3"/>
        <v>707200</v>
      </c>
      <c r="V119" s="29" t="s">
        <v>110</v>
      </c>
      <c r="W119" s="30"/>
      <c r="X119" s="29" t="s">
        <v>38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ht="21" customHeight="1" x14ac:dyDescent="0.3">
      <c r="A120" s="22">
        <v>116</v>
      </c>
      <c r="B120" s="23">
        <v>1</v>
      </c>
      <c r="C120" s="23" t="s">
        <v>109</v>
      </c>
      <c r="D120" s="23" t="str">
        <f>VLOOKUP(C120,'[1]1.CUADRO RESUMEN DE SITIOS '!$C$5:$L$1052,2,FALSE())</f>
        <v>CUN_08048</v>
      </c>
      <c r="E120" s="24">
        <f>VLOOKUP(C120,'[1]1.CUADRO RESUMEN DE SITIOS '!$C$5:$L$1052,3,FALSE())</f>
        <v>45989</v>
      </c>
      <c r="F120" s="23">
        <f>VLOOKUP(C120,'[1]1.CUADRO RESUMEN DE SITIOS '!$C$5:$L$1052,4,FALSE())</f>
        <v>4.4609024000000002</v>
      </c>
      <c r="G120" s="23">
        <f>VLOOKUP(C120,'[1]1.CUADRO RESUMEN DE SITIOS '!$C$5:$L$1052,5,FALSE())</f>
        <v>-74.357479999999995</v>
      </c>
      <c r="H120" s="23" t="str">
        <f>VLOOKUP(C120,'[1]1.CUADRO RESUMEN DE SITIOS '!$C$5:$L$1052,6,FALSE())</f>
        <v>Cundinamarca</v>
      </c>
      <c r="I120" s="23" t="str">
        <f>VLOOKUP(C120,'[1]1.CUADRO RESUMEN DE SITIOS '!$C$5:$L$1052,7,FALSE())</f>
        <v>WOM</v>
      </c>
      <c r="J120" s="25" t="str">
        <f>VLOOKUP(C120,'[1]1.CUADRO RESUMEN DE SITIOS '!$C$5:$L$1052,8,FALSE())</f>
        <v>CENTRO SUR/ NORTE</v>
      </c>
      <c r="K120" s="23" t="str">
        <f>VLOOKUP(C120,'[1]1.CUADRO RESUMEN DE SITIOS '!$C$5:$L$1052,9,FALSE())</f>
        <v>Maria Camila Torres</v>
      </c>
      <c r="L120" s="26" t="str">
        <f>VLOOKUP(C120,'[1]1.CUADRO RESUMEN DE SITIOS '!$C$5:$L$1052,10,FALSE())</f>
        <v>Terminado</v>
      </c>
      <c r="M120" s="26">
        <v>8828119045</v>
      </c>
      <c r="N120" s="26">
        <f>VLOOKUP(M120,[1]LPU!$A$2:$G$1512,2,FALSE())</f>
        <v>5.29</v>
      </c>
      <c r="O120" s="26" t="str">
        <f>VLOOKUP(M120,[1]LPU!$A$2:$G$1512,3,FALSE)</f>
        <v>Suministro e instalación de estructura metálica en acero galvanizado para refuerzo, soportes, bases y adecuaciones en general.</v>
      </c>
      <c r="P120" s="26" t="str">
        <f>VLOOKUP(M120,[1]LPU!$A$2:$G$1512,4,FALSE())</f>
        <v>Mantenimiento CW</v>
      </c>
      <c r="Q120" s="26" t="str">
        <f>VLOOKUP(M120,[1]LPU!$A$2:$G$1512,5,FALSE())</f>
        <v>Kg</v>
      </c>
      <c r="R120" s="27">
        <f>VLOOKUP(M120,[1]LPU!$A$2:$G$1512,6,FALSE())</f>
        <v>12911.5</v>
      </c>
      <c r="S120" s="27" t="str">
        <f>VLOOKUP(M120,[1]LPU!$A$2:$G$1512,7,FALSE())</f>
        <v>Mantenimiento CW</v>
      </c>
      <c r="T120" s="28">
        <v>20</v>
      </c>
      <c r="U120" s="29">
        <f t="shared" si="3"/>
        <v>258230</v>
      </c>
      <c r="V120" s="29" t="s">
        <v>110</v>
      </c>
      <c r="W120" s="30"/>
      <c r="X120" s="29" t="s">
        <v>38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ht="21" customHeight="1" x14ac:dyDescent="0.3">
      <c r="A121" s="22">
        <v>117</v>
      </c>
      <c r="B121" s="23">
        <v>1</v>
      </c>
      <c r="C121" s="23" t="s">
        <v>109</v>
      </c>
      <c r="D121" s="23" t="str">
        <f>VLOOKUP(C121,'[1]1.CUADRO RESUMEN DE SITIOS '!$C$5:$L$1052,2,FALSE())</f>
        <v>CUN_08048</v>
      </c>
      <c r="E121" s="24">
        <f>VLOOKUP(C121,'[1]1.CUADRO RESUMEN DE SITIOS '!$C$5:$L$1052,3,FALSE())</f>
        <v>45989</v>
      </c>
      <c r="F121" s="23">
        <f>VLOOKUP(C121,'[1]1.CUADRO RESUMEN DE SITIOS '!$C$5:$L$1052,4,FALSE())</f>
        <v>4.4609024000000002</v>
      </c>
      <c r="G121" s="23">
        <f>VLOOKUP(C121,'[1]1.CUADRO RESUMEN DE SITIOS '!$C$5:$L$1052,5,FALSE())</f>
        <v>-74.357479999999995</v>
      </c>
      <c r="H121" s="23" t="str">
        <f>VLOOKUP(C121,'[1]1.CUADRO RESUMEN DE SITIOS '!$C$5:$L$1052,6,FALSE())</f>
        <v>Cundinamarca</v>
      </c>
      <c r="I121" s="23" t="str">
        <f>VLOOKUP(C121,'[1]1.CUADRO RESUMEN DE SITIOS '!$C$5:$L$1052,7,FALSE())</f>
        <v>WOM</v>
      </c>
      <c r="J121" s="25" t="str">
        <f>VLOOKUP(C121,'[1]1.CUADRO RESUMEN DE SITIOS '!$C$5:$L$1052,8,FALSE())</f>
        <v>CENTRO SUR/ NORTE</v>
      </c>
      <c r="K121" s="23" t="str">
        <f>VLOOKUP(C121,'[1]1.CUADRO RESUMEN DE SITIOS '!$C$5:$L$1052,9,FALSE())</f>
        <v>Maria Camila Torres</v>
      </c>
      <c r="L121" s="26" t="str">
        <f>VLOOKUP(C121,'[1]1.CUADRO RESUMEN DE SITIOS '!$C$5:$L$1052,10,FALSE())</f>
        <v>Terminado</v>
      </c>
      <c r="M121" s="26">
        <v>8828119492</v>
      </c>
      <c r="N121" s="26">
        <f>VLOOKUP(M121,[1]LPU!$A$2:$G$1512,2,FALSE())</f>
        <v>53</v>
      </c>
      <c r="O121" s="26" t="str">
        <f>VLOOKUP(M121,[1]LPU!$A$2:$G$1512,3,FALSE)</f>
        <v>Instalación Banco de Baterias para Rectificadores - Aplica para ampliaciones.</v>
      </c>
      <c r="P121" s="26" t="str">
        <f>VLOOKUP(M121,[1]LPU!$A$2:$G$1512,4,FALSE())</f>
        <v>ENERGÍA</v>
      </c>
      <c r="Q121" s="26" t="str">
        <f>VLOOKUP(M121,[1]LPU!$A$2:$G$1512,5,FALSE())</f>
        <v>U</v>
      </c>
      <c r="R121" s="27">
        <f>VLOOKUP(M121,[1]LPU!$A$2:$G$1512,6,FALSE())</f>
        <v>102340</v>
      </c>
      <c r="S121" s="27" t="str">
        <f>VLOOKUP(M121,[1]LPU!$A$2:$G$1512,7,FALSE())</f>
        <v>LPU FLM</v>
      </c>
      <c r="T121" s="28">
        <v>1</v>
      </c>
      <c r="U121" s="29">
        <f t="shared" si="3"/>
        <v>102340</v>
      </c>
      <c r="V121" s="29" t="s">
        <v>110</v>
      </c>
      <c r="W121" s="30"/>
      <c r="X121" s="29" t="s">
        <v>38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ht="21" customHeight="1" x14ac:dyDescent="0.3">
      <c r="A122" s="22">
        <v>118</v>
      </c>
      <c r="B122" s="23">
        <v>1</v>
      </c>
      <c r="C122" s="23" t="s">
        <v>109</v>
      </c>
      <c r="D122" s="23" t="str">
        <f>VLOOKUP(C122,'[1]1.CUADRO RESUMEN DE SITIOS '!$C$5:$L$1052,2,FALSE())</f>
        <v>CUN_08048</v>
      </c>
      <c r="E122" s="24">
        <f>VLOOKUP(C122,'[1]1.CUADRO RESUMEN DE SITIOS '!$C$5:$L$1052,3,FALSE())</f>
        <v>45989</v>
      </c>
      <c r="F122" s="23">
        <f>VLOOKUP(C122,'[1]1.CUADRO RESUMEN DE SITIOS '!$C$5:$L$1052,4,FALSE())</f>
        <v>4.4609024000000002</v>
      </c>
      <c r="G122" s="23">
        <f>VLOOKUP(C122,'[1]1.CUADRO RESUMEN DE SITIOS '!$C$5:$L$1052,5,FALSE())</f>
        <v>-74.357479999999995</v>
      </c>
      <c r="H122" s="23" t="str">
        <f>VLOOKUP(C122,'[1]1.CUADRO RESUMEN DE SITIOS '!$C$5:$L$1052,6,FALSE())</f>
        <v>Cundinamarca</v>
      </c>
      <c r="I122" s="23" t="str">
        <f>VLOOKUP(C122,'[1]1.CUADRO RESUMEN DE SITIOS '!$C$5:$L$1052,7,FALSE())</f>
        <v>WOM</v>
      </c>
      <c r="J122" s="25" t="str">
        <f>VLOOKUP(C122,'[1]1.CUADRO RESUMEN DE SITIOS '!$C$5:$L$1052,8,FALSE())</f>
        <v>CENTRO SUR/ NORTE</v>
      </c>
      <c r="K122" s="23" t="str">
        <f>VLOOKUP(C122,'[1]1.CUADRO RESUMEN DE SITIOS '!$C$5:$L$1052,9,FALSE())</f>
        <v>Maria Camila Torres</v>
      </c>
      <c r="L122" s="26" t="str">
        <f>VLOOKUP(C122,'[1]1.CUADRO RESUMEN DE SITIOS '!$C$5:$L$1052,10,FALSE())</f>
        <v>Terminado</v>
      </c>
      <c r="M122" s="26">
        <v>8828118868</v>
      </c>
      <c r="N122" s="26">
        <f>VLOOKUP(M122,[1]LPU!$A$2:$G$1512,2,FALSE())</f>
        <v>81</v>
      </c>
      <c r="O122" s="26" t="str">
        <f>VLOOKUP(M122,[1]LPU!$A$2:$G$1512,3,FALSE)</f>
        <v>Suministro e Instalacion de terminal para cable awg # 2 en cobre estañado un ojo</v>
      </c>
      <c r="P122" s="26" t="str">
        <f>VLOOKUP(M122,[1]LPU!$A$2:$G$1512,4,FALSE())</f>
        <v>ENERGÍA</v>
      </c>
      <c r="Q122" s="26" t="str">
        <f>VLOOKUP(M122,[1]LPU!$A$2:$G$1512,5,FALSE())</f>
        <v>U</v>
      </c>
      <c r="R122" s="27">
        <f>VLOOKUP(M122,[1]LPU!$A$2:$G$1512,6,FALSE())</f>
        <v>2347</v>
      </c>
      <c r="S122" s="27" t="str">
        <f>VLOOKUP(M122,[1]LPU!$A$2:$G$1512,7,FALSE())</f>
        <v>LPU FLM</v>
      </c>
      <c r="T122" s="28">
        <v>4</v>
      </c>
      <c r="U122" s="29">
        <f t="shared" si="3"/>
        <v>9388</v>
      </c>
      <c r="V122" s="29" t="s">
        <v>110</v>
      </c>
      <c r="W122" s="30"/>
      <c r="X122" s="29" t="s">
        <v>38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ht="21" customHeight="1" x14ac:dyDescent="0.3">
      <c r="A123" s="22">
        <v>119</v>
      </c>
      <c r="B123" s="23">
        <v>1</v>
      </c>
      <c r="C123" s="23" t="s">
        <v>109</v>
      </c>
      <c r="D123" s="23" t="str">
        <f>VLOOKUP(C123,'[1]1.CUADRO RESUMEN DE SITIOS '!$C$5:$L$1052,2,FALSE())</f>
        <v>CUN_08048</v>
      </c>
      <c r="E123" s="24">
        <f>VLOOKUP(C123,'[1]1.CUADRO RESUMEN DE SITIOS '!$C$5:$L$1052,3,FALSE())</f>
        <v>45989</v>
      </c>
      <c r="F123" s="23">
        <f>VLOOKUP(C123,'[1]1.CUADRO RESUMEN DE SITIOS '!$C$5:$L$1052,4,FALSE())</f>
        <v>4.4609024000000002</v>
      </c>
      <c r="G123" s="23">
        <f>VLOOKUP(C123,'[1]1.CUADRO RESUMEN DE SITIOS '!$C$5:$L$1052,5,FALSE())</f>
        <v>-74.357479999999995</v>
      </c>
      <c r="H123" s="23" t="str">
        <f>VLOOKUP(C123,'[1]1.CUADRO RESUMEN DE SITIOS '!$C$5:$L$1052,6,FALSE())</f>
        <v>Cundinamarca</v>
      </c>
      <c r="I123" s="23" t="str">
        <f>VLOOKUP(C123,'[1]1.CUADRO RESUMEN DE SITIOS '!$C$5:$L$1052,7,FALSE())</f>
        <v>WOM</v>
      </c>
      <c r="J123" s="25" t="str">
        <f>VLOOKUP(C123,'[1]1.CUADRO RESUMEN DE SITIOS '!$C$5:$L$1052,8,FALSE())</f>
        <v>CENTRO SUR/ NORTE</v>
      </c>
      <c r="K123" s="23" t="str">
        <f>VLOOKUP(C123,'[1]1.CUADRO RESUMEN DE SITIOS '!$C$5:$L$1052,9,FALSE())</f>
        <v>Maria Camila Torres</v>
      </c>
      <c r="L123" s="26" t="str">
        <f>VLOOKUP(C123,'[1]1.CUADRO RESUMEN DE SITIOS '!$C$5:$L$1052,10,FALSE())</f>
        <v>Terminado</v>
      </c>
      <c r="M123" s="26">
        <v>8828118925</v>
      </c>
      <c r="N123" s="26">
        <f>VLOOKUP(M123,[1]LPU!$A$2:$G$1512,2,FALSE())</f>
        <v>87</v>
      </c>
      <c r="O123" s="26" t="str">
        <f>VLOOKUP(M123,[1]LPU!$A$2:$G$1512,3,FALSE)</f>
        <v>Suministro e Instalacion de cable multifilar #4 awg tipo soldador.</v>
      </c>
      <c r="P123" s="26" t="str">
        <f>VLOOKUP(M123,[1]LPU!$A$2:$G$1512,4,FALSE())</f>
        <v>ENERGÍA</v>
      </c>
      <c r="Q123" s="26" t="str">
        <f>VLOOKUP(M123,[1]LPU!$A$2:$G$1512,5,FALSE())</f>
        <v>ML</v>
      </c>
      <c r="R123" s="27">
        <f>VLOOKUP(M123,[1]LPU!$A$2:$G$1512,6,FALSE())</f>
        <v>60815.8</v>
      </c>
      <c r="S123" s="27" t="str">
        <f>VLOOKUP(M123,[1]LPU!$A$2:$G$1512,7,FALSE())</f>
        <v>LPU FLM</v>
      </c>
      <c r="T123" s="28">
        <v>4</v>
      </c>
      <c r="U123" s="29">
        <f t="shared" si="3"/>
        <v>243263.2</v>
      </c>
      <c r="V123" s="29" t="s">
        <v>110</v>
      </c>
      <c r="W123" s="30"/>
      <c r="X123" s="29" t="s">
        <v>38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ht="21" customHeight="1" x14ac:dyDescent="0.3">
      <c r="A124" s="22">
        <v>120</v>
      </c>
      <c r="B124" s="23">
        <v>1</v>
      </c>
      <c r="C124" s="23" t="s">
        <v>109</v>
      </c>
      <c r="D124" s="23" t="str">
        <f>VLOOKUP(C124,'[1]1.CUADRO RESUMEN DE SITIOS '!$C$5:$L$1052,2,FALSE())</f>
        <v>CUN_08048</v>
      </c>
      <c r="E124" s="24">
        <f>VLOOKUP(C124,'[1]1.CUADRO RESUMEN DE SITIOS '!$C$5:$L$1052,3,FALSE())</f>
        <v>45989</v>
      </c>
      <c r="F124" s="23">
        <f>VLOOKUP(C124,'[1]1.CUADRO RESUMEN DE SITIOS '!$C$5:$L$1052,4,FALSE())</f>
        <v>4.4609024000000002</v>
      </c>
      <c r="G124" s="23">
        <f>VLOOKUP(C124,'[1]1.CUADRO RESUMEN DE SITIOS '!$C$5:$L$1052,5,FALSE())</f>
        <v>-74.357479999999995</v>
      </c>
      <c r="H124" s="23" t="str">
        <f>VLOOKUP(C124,'[1]1.CUADRO RESUMEN DE SITIOS '!$C$5:$L$1052,6,FALSE())</f>
        <v>Cundinamarca</v>
      </c>
      <c r="I124" s="23" t="str">
        <f>VLOOKUP(C124,'[1]1.CUADRO RESUMEN DE SITIOS '!$C$5:$L$1052,7,FALSE())</f>
        <v>WOM</v>
      </c>
      <c r="J124" s="25" t="str">
        <f>VLOOKUP(C124,'[1]1.CUADRO RESUMEN DE SITIOS '!$C$5:$L$1052,8,FALSE())</f>
        <v>CENTRO SUR/ NORTE</v>
      </c>
      <c r="K124" s="23" t="str">
        <f>VLOOKUP(C124,'[1]1.CUADRO RESUMEN DE SITIOS '!$C$5:$L$1052,9,FALSE())</f>
        <v>Maria Camila Torres</v>
      </c>
      <c r="L124" s="26" t="str">
        <f>VLOOKUP(C124,'[1]1.CUADRO RESUMEN DE SITIOS '!$C$5:$L$1052,10,FALSE())</f>
        <v>Terminado</v>
      </c>
      <c r="M124" s="26">
        <v>8828119110</v>
      </c>
      <c r="N124" s="26">
        <f>VLOOKUP(M124,[1]LPU!$A$2:$G$1512,2,FALSE())</f>
        <v>107</v>
      </c>
      <c r="O124" s="26" t="str">
        <f>VLOOKUP(M124,[1]LPU!$A$2:$G$1512,3,FALSE)</f>
        <v>Mano de Obra Tecnico Electricista Certficado CONTE</v>
      </c>
      <c r="P124" s="26" t="str">
        <f>VLOOKUP(M124,[1]LPU!$A$2:$G$1512,4,FALSE())</f>
        <v>ENERGÍA</v>
      </c>
      <c r="Q124" s="26" t="str">
        <f>VLOOKUP(M124,[1]LPU!$A$2:$G$1512,5,FALSE())</f>
        <v>DIA</v>
      </c>
      <c r="R124" s="27">
        <f>VLOOKUP(M124,[1]LPU!$A$2:$G$1512,6,FALSE())</f>
        <v>136000</v>
      </c>
      <c r="S124" s="27" t="str">
        <f>VLOOKUP(M124,[1]LPU!$A$2:$G$1512,7,FALSE())</f>
        <v>LPU FLM</v>
      </c>
      <c r="T124" s="28">
        <v>2</v>
      </c>
      <c r="U124" s="29">
        <f t="shared" si="3"/>
        <v>272000</v>
      </c>
      <c r="V124" s="29" t="s">
        <v>110</v>
      </c>
      <c r="W124" s="30"/>
      <c r="X124" s="29" t="s">
        <v>38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ht="21" customHeight="1" x14ac:dyDescent="0.3">
      <c r="A125" s="22">
        <v>121</v>
      </c>
      <c r="B125" s="23">
        <v>1</v>
      </c>
      <c r="C125" s="23" t="s">
        <v>109</v>
      </c>
      <c r="D125" s="23" t="str">
        <f>VLOOKUP(C125,'[1]1.CUADRO RESUMEN DE SITIOS '!$C$5:$L$1052,2,FALSE())</f>
        <v>CUN_08048</v>
      </c>
      <c r="E125" s="24">
        <f>VLOOKUP(C125,'[1]1.CUADRO RESUMEN DE SITIOS '!$C$5:$L$1052,3,FALSE())</f>
        <v>45989</v>
      </c>
      <c r="F125" s="23">
        <f>VLOOKUP(C125,'[1]1.CUADRO RESUMEN DE SITIOS '!$C$5:$L$1052,4,FALSE())</f>
        <v>4.4609024000000002</v>
      </c>
      <c r="G125" s="23">
        <f>VLOOKUP(C125,'[1]1.CUADRO RESUMEN DE SITIOS '!$C$5:$L$1052,5,FALSE())</f>
        <v>-74.357479999999995</v>
      </c>
      <c r="H125" s="23" t="str">
        <f>VLOOKUP(C125,'[1]1.CUADRO RESUMEN DE SITIOS '!$C$5:$L$1052,6,FALSE())</f>
        <v>Cundinamarca</v>
      </c>
      <c r="I125" s="23" t="str">
        <f>VLOOKUP(C125,'[1]1.CUADRO RESUMEN DE SITIOS '!$C$5:$L$1052,7,FALSE())</f>
        <v>WOM</v>
      </c>
      <c r="J125" s="25" t="str">
        <f>VLOOKUP(C125,'[1]1.CUADRO RESUMEN DE SITIOS '!$C$5:$L$1052,8,FALSE())</f>
        <v>CENTRO SUR/ NORTE</v>
      </c>
      <c r="K125" s="23" t="str">
        <f>VLOOKUP(C125,'[1]1.CUADRO RESUMEN DE SITIOS '!$C$5:$L$1052,9,FALSE())</f>
        <v>Maria Camila Torres</v>
      </c>
      <c r="L125" s="26" t="str">
        <f>VLOOKUP(C125,'[1]1.CUADRO RESUMEN DE SITIOS '!$C$5:$L$1052,10,FALSE())</f>
        <v>Terminado</v>
      </c>
      <c r="M125" s="26">
        <v>8828119848</v>
      </c>
      <c r="N125" s="26">
        <f>VLOOKUP(M125,[1]LPU!$A$2:$G$1512,2,FALSE())</f>
        <v>157</v>
      </c>
      <c r="O125" s="26" t="str">
        <f>VLOOKUP(M125,[1]LPU!$A$2:$G$1512,3,FALSE)</f>
        <v>Reja para equipo cabinet x 2 baterías</v>
      </c>
      <c r="P125" s="26" t="str">
        <f>VLOOKUP(M125,[1]LPU!$A$2:$G$1512,4,FALSE())</f>
        <v>LOCATIVO</v>
      </c>
      <c r="Q125" s="26" t="str">
        <f>VLOOKUP(M125,[1]LPU!$A$2:$G$1512,5,FALSE())</f>
        <v>U</v>
      </c>
      <c r="R125" s="27">
        <f>VLOOKUP(M125,[1]LPU!$A$2:$G$1512,6,FALSE())</f>
        <v>415303</v>
      </c>
      <c r="S125" s="27" t="str">
        <f>VLOOKUP(M125,[1]LPU!$A$2:$G$1512,7,FALSE())</f>
        <v>LPU FLM</v>
      </c>
      <c r="T125" s="28">
        <v>1</v>
      </c>
      <c r="U125" s="29">
        <f t="shared" si="3"/>
        <v>415303</v>
      </c>
      <c r="V125" s="29" t="s">
        <v>110</v>
      </c>
      <c r="W125" s="30"/>
      <c r="X125" s="29" t="s">
        <v>38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ht="21" customHeight="1" x14ac:dyDescent="0.3">
      <c r="A126" s="22">
        <v>122</v>
      </c>
      <c r="B126" s="23">
        <v>1</v>
      </c>
      <c r="C126" s="23" t="s">
        <v>109</v>
      </c>
      <c r="D126" s="23" t="str">
        <f>VLOOKUP(C126,'[1]1.CUADRO RESUMEN DE SITIOS '!$C$5:$L$1052,2,FALSE())</f>
        <v>CUN_08048</v>
      </c>
      <c r="E126" s="24">
        <f>VLOOKUP(C126,'[1]1.CUADRO RESUMEN DE SITIOS '!$C$5:$L$1052,3,FALSE())</f>
        <v>45989</v>
      </c>
      <c r="F126" s="23">
        <f>VLOOKUP(C126,'[1]1.CUADRO RESUMEN DE SITIOS '!$C$5:$L$1052,4,FALSE())</f>
        <v>4.4609024000000002</v>
      </c>
      <c r="G126" s="23">
        <f>VLOOKUP(C126,'[1]1.CUADRO RESUMEN DE SITIOS '!$C$5:$L$1052,5,FALSE())</f>
        <v>-74.357479999999995</v>
      </c>
      <c r="H126" s="23" t="str">
        <f>VLOOKUP(C126,'[1]1.CUADRO RESUMEN DE SITIOS '!$C$5:$L$1052,6,FALSE())</f>
        <v>Cundinamarca</v>
      </c>
      <c r="I126" s="23" t="str">
        <f>VLOOKUP(C126,'[1]1.CUADRO RESUMEN DE SITIOS '!$C$5:$L$1052,7,FALSE())</f>
        <v>WOM</v>
      </c>
      <c r="J126" s="25" t="str">
        <f>VLOOKUP(C126,'[1]1.CUADRO RESUMEN DE SITIOS '!$C$5:$L$1052,8,FALSE())</f>
        <v>CENTRO SUR/ NORTE</v>
      </c>
      <c r="K126" s="23" t="str">
        <f>VLOOKUP(C126,'[1]1.CUADRO RESUMEN DE SITIOS '!$C$5:$L$1052,9,FALSE())</f>
        <v>Maria Camila Torres</v>
      </c>
      <c r="L126" s="26" t="str">
        <f>VLOOKUP(C126,'[1]1.CUADRO RESUMEN DE SITIOS '!$C$5:$L$1052,10,FALSE())</f>
        <v>Terminado</v>
      </c>
      <c r="M126" s="26">
        <v>8828119980</v>
      </c>
      <c r="N126" s="26">
        <f>VLOOKUP(M126,[1]LPU!$A$2:$G$1512,2,FALSE())</f>
        <v>169</v>
      </c>
      <c r="O126" s="26" t="str">
        <f>VLOOKUP(M126,[1]LPU!$A$2:$G$1512,3,FALSE)</f>
        <v>Reforzamiento Protección Concreto para Rack de Baterías Incluye Materiales</v>
      </c>
      <c r="P126" s="26" t="str">
        <f>VLOOKUP(M126,[1]LPU!$A$2:$G$1512,4,FALSE())</f>
        <v>LOCATIVO</v>
      </c>
      <c r="Q126" s="26" t="str">
        <f>VLOOKUP(M126,[1]LPU!$A$2:$G$1512,5,FALSE())</f>
        <v>U</v>
      </c>
      <c r="R126" s="27">
        <f>VLOOKUP(M126,[1]LPU!$A$2:$G$1512,6,FALSE())</f>
        <v>114750</v>
      </c>
      <c r="S126" s="27" t="str">
        <f>VLOOKUP(M126,[1]LPU!$A$2:$G$1512,7,FALSE())</f>
        <v>LPU FLM</v>
      </c>
      <c r="T126" s="28">
        <v>1</v>
      </c>
      <c r="U126" s="29">
        <f t="shared" si="3"/>
        <v>114750</v>
      </c>
      <c r="V126" s="29" t="s">
        <v>110</v>
      </c>
      <c r="W126" s="30"/>
      <c r="X126" s="29" t="s">
        <v>38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ht="21" customHeight="1" x14ac:dyDescent="0.3">
      <c r="A127" s="22">
        <v>123</v>
      </c>
      <c r="B127" s="23">
        <v>1</v>
      </c>
      <c r="C127" s="23" t="s">
        <v>109</v>
      </c>
      <c r="D127" s="23" t="str">
        <f>VLOOKUP(C127,'[1]1.CUADRO RESUMEN DE SITIOS '!$C$5:$L$1052,2,FALSE())</f>
        <v>CUN_08048</v>
      </c>
      <c r="E127" s="24">
        <f>VLOOKUP(C127,'[1]1.CUADRO RESUMEN DE SITIOS '!$C$5:$L$1052,3,FALSE())</f>
        <v>45989</v>
      </c>
      <c r="F127" s="23">
        <f>VLOOKUP(C127,'[1]1.CUADRO RESUMEN DE SITIOS '!$C$5:$L$1052,4,FALSE())</f>
        <v>4.4609024000000002</v>
      </c>
      <c r="G127" s="23">
        <f>VLOOKUP(C127,'[1]1.CUADRO RESUMEN DE SITIOS '!$C$5:$L$1052,5,FALSE())</f>
        <v>-74.357479999999995</v>
      </c>
      <c r="H127" s="23" t="str">
        <f>VLOOKUP(C127,'[1]1.CUADRO RESUMEN DE SITIOS '!$C$5:$L$1052,6,FALSE())</f>
        <v>Cundinamarca</v>
      </c>
      <c r="I127" s="23" t="str">
        <f>VLOOKUP(C127,'[1]1.CUADRO RESUMEN DE SITIOS '!$C$5:$L$1052,7,FALSE())</f>
        <v>WOM</v>
      </c>
      <c r="J127" s="25" t="str">
        <f>VLOOKUP(C127,'[1]1.CUADRO RESUMEN DE SITIOS '!$C$5:$L$1052,8,FALSE())</f>
        <v>CENTRO SUR/ NORTE</v>
      </c>
      <c r="K127" s="23" t="str">
        <f>VLOOKUP(C127,'[1]1.CUADRO RESUMEN DE SITIOS '!$C$5:$L$1052,9,FALSE())</f>
        <v>Maria Camila Torres</v>
      </c>
      <c r="L127" s="26" t="str">
        <f>VLOOKUP(C127,'[1]1.CUADRO RESUMEN DE SITIOS '!$C$5:$L$1052,10,FALSE())</f>
        <v>Terminado</v>
      </c>
      <c r="M127" s="26">
        <v>8828118956</v>
      </c>
      <c r="N127" s="26">
        <f>VLOOKUP(M127,[1]LPU!$A$2:$G$1512,2,FALSE())</f>
        <v>0</v>
      </c>
      <c r="O127" s="26" t="str">
        <f>VLOOKUP(M127,[1]LPU!$A$2:$G$1512,3,FALSE)</f>
        <v>Cable UTP Categoría 6, con conectores en sus extremos, certificado</v>
      </c>
      <c r="P127" s="26" t="str">
        <f>VLOOKUP(M127,[1]LPU!$A$2:$G$1512,4,FALSE())</f>
        <v>Item Critico</v>
      </c>
      <c r="Q127" s="26" t="str">
        <f>VLOOKUP(M127,[1]LPU!$A$2:$G$1512,5,FALSE())</f>
        <v>m</v>
      </c>
      <c r="R127" s="27">
        <v>5913</v>
      </c>
      <c r="S127" s="27" t="str">
        <f>VLOOKUP(M127,[1]LPU!$A$2:$G$1512,7,FALSE())</f>
        <v>LPU FO Propia</v>
      </c>
      <c r="T127" s="28">
        <v>3</v>
      </c>
      <c r="U127" s="29">
        <f t="shared" si="3"/>
        <v>17739</v>
      </c>
      <c r="V127" s="29" t="s">
        <v>110</v>
      </c>
      <c r="W127" s="30"/>
      <c r="X127" s="29" t="s">
        <v>38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ht="21" customHeight="1" x14ac:dyDescent="0.3">
      <c r="A128" s="22">
        <v>124</v>
      </c>
      <c r="B128" s="23">
        <v>1</v>
      </c>
      <c r="C128" s="23" t="s">
        <v>109</v>
      </c>
      <c r="D128" s="23" t="str">
        <f>VLOOKUP(C128,'[1]1.CUADRO RESUMEN DE SITIOS '!$C$5:$L$1052,2,FALSE())</f>
        <v>CUN_08048</v>
      </c>
      <c r="E128" s="24">
        <f>VLOOKUP(C128,'[1]1.CUADRO RESUMEN DE SITIOS '!$C$5:$L$1052,3,FALSE())</f>
        <v>45989</v>
      </c>
      <c r="F128" s="23">
        <f>VLOOKUP(C128,'[1]1.CUADRO RESUMEN DE SITIOS '!$C$5:$L$1052,4,FALSE())</f>
        <v>4.4609024000000002</v>
      </c>
      <c r="G128" s="23">
        <f>VLOOKUP(C128,'[1]1.CUADRO RESUMEN DE SITIOS '!$C$5:$L$1052,5,FALSE())</f>
        <v>-74.357479999999995</v>
      </c>
      <c r="H128" s="23" t="str">
        <f>VLOOKUP(C128,'[1]1.CUADRO RESUMEN DE SITIOS '!$C$5:$L$1052,6,FALSE())</f>
        <v>Cundinamarca</v>
      </c>
      <c r="I128" s="23" t="str">
        <f>VLOOKUP(C128,'[1]1.CUADRO RESUMEN DE SITIOS '!$C$5:$L$1052,7,FALSE())</f>
        <v>WOM</v>
      </c>
      <c r="J128" s="25" t="str">
        <f>VLOOKUP(C128,'[1]1.CUADRO RESUMEN DE SITIOS '!$C$5:$L$1052,8,FALSE())</f>
        <v>CENTRO SUR/ NORTE</v>
      </c>
      <c r="K128" s="23" t="str">
        <f>VLOOKUP(C128,'[1]1.CUADRO RESUMEN DE SITIOS '!$C$5:$L$1052,9,FALSE())</f>
        <v>Maria Camila Torres</v>
      </c>
      <c r="L128" s="26" t="str">
        <f>VLOOKUP(C128,'[1]1.CUADRO RESUMEN DE SITIOS '!$C$5:$L$1052,10,FALSE())</f>
        <v>Terminado</v>
      </c>
      <c r="M128" s="26">
        <v>8828120037</v>
      </c>
      <c r="N128" s="26">
        <f>VLOOKUP(M128,[1]LPU!$A$2:$G$1512,2,FALSE())</f>
        <v>174</v>
      </c>
      <c r="O128" s="26" t="str">
        <f>VLOOKUP(M128,[1]LPU!$A$2:$G$1512,3,FALSE)</f>
        <v>Suministro candados intemperie marca YALE o MEDECO</v>
      </c>
      <c r="P128" s="26" t="str">
        <f>VLOOKUP(M128,[1]LPU!$A$2:$G$1512,4,FALSE())</f>
        <v>LOCATIVO</v>
      </c>
      <c r="Q128" s="26" t="str">
        <f>VLOOKUP(M128,[1]LPU!$A$2:$G$1512,5,FALSE())</f>
        <v>U</v>
      </c>
      <c r="R128" s="27">
        <f>VLOOKUP(M128,[1]LPU!$A$2:$G$1512,6,FALSE())</f>
        <v>47703</v>
      </c>
      <c r="S128" s="27" t="str">
        <f>VLOOKUP(M128,[1]LPU!$A$2:$G$1512,7,FALSE())</f>
        <v>LPU FLM</v>
      </c>
      <c r="T128" s="28">
        <v>1</v>
      </c>
      <c r="U128" s="29">
        <f t="shared" si="3"/>
        <v>47703</v>
      </c>
      <c r="V128" s="29" t="s">
        <v>110</v>
      </c>
      <c r="W128" s="30"/>
      <c r="X128" s="29" t="s">
        <v>38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ht="21" customHeight="1" x14ac:dyDescent="0.3">
      <c r="A129" s="22">
        <v>125</v>
      </c>
      <c r="B129" s="23">
        <v>1</v>
      </c>
      <c r="C129" s="23" t="s">
        <v>109</v>
      </c>
      <c r="D129" s="23" t="str">
        <f>VLOOKUP(C129,'[1]1.CUADRO RESUMEN DE SITIOS '!$C$5:$L$1052,2,FALSE())</f>
        <v>CUN_08048</v>
      </c>
      <c r="E129" s="24">
        <f>VLOOKUP(C129,'[1]1.CUADRO RESUMEN DE SITIOS '!$C$5:$L$1052,3,FALSE())</f>
        <v>45989</v>
      </c>
      <c r="F129" s="23">
        <f>VLOOKUP(C129,'[1]1.CUADRO RESUMEN DE SITIOS '!$C$5:$L$1052,4,FALSE())</f>
        <v>4.4609024000000002</v>
      </c>
      <c r="G129" s="23">
        <f>VLOOKUP(C129,'[1]1.CUADRO RESUMEN DE SITIOS '!$C$5:$L$1052,5,FALSE())</f>
        <v>-74.357479999999995</v>
      </c>
      <c r="H129" s="23" t="str">
        <f>VLOOKUP(C129,'[1]1.CUADRO RESUMEN DE SITIOS '!$C$5:$L$1052,6,FALSE())</f>
        <v>Cundinamarca</v>
      </c>
      <c r="I129" s="23" t="str">
        <f>VLOOKUP(C129,'[1]1.CUADRO RESUMEN DE SITIOS '!$C$5:$L$1052,7,FALSE())</f>
        <v>WOM</v>
      </c>
      <c r="J129" s="25" t="str">
        <f>VLOOKUP(C129,'[1]1.CUADRO RESUMEN DE SITIOS '!$C$5:$L$1052,8,FALSE())</f>
        <v>CENTRO SUR/ NORTE</v>
      </c>
      <c r="K129" s="23" t="str">
        <f>VLOOKUP(C129,'[1]1.CUADRO RESUMEN DE SITIOS '!$C$5:$L$1052,9,FALSE())</f>
        <v>Maria Camila Torres</v>
      </c>
      <c r="L129" s="26" t="str">
        <f>VLOOKUP(C129,'[1]1.CUADRO RESUMEN DE SITIOS '!$C$5:$L$1052,10,FALSE())</f>
        <v>Terminado</v>
      </c>
      <c r="M129" s="26">
        <v>8828119805</v>
      </c>
      <c r="N129" s="26">
        <f>VLOOKUP(M129,[1]LPU!$A$2:$G$1512,2,FALSE())</f>
        <v>152</v>
      </c>
      <c r="O129" s="26" t="str">
        <f>VLOOKUP(M129,[1]LPU!$A$2:$G$1512,3,FALSE)</f>
        <v>Reparación Cerramiento en Malla Eslabonada x mts2</v>
      </c>
      <c r="P129" s="26" t="str">
        <f>VLOOKUP(M129,[1]LPU!$A$2:$G$1512,4,FALSE())</f>
        <v>INFRAESTRUCTURA</v>
      </c>
      <c r="Q129" s="26" t="str">
        <f>VLOOKUP(M129,[1]LPU!$A$2:$G$1512,5,FALSE())</f>
        <v>MTS2</v>
      </c>
      <c r="R129" s="27">
        <f>VLOOKUP(M129,[1]LPU!$A$2:$G$1512,6,FALSE())</f>
        <v>30600</v>
      </c>
      <c r="S129" s="27" t="str">
        <f>VLOOKUP(M129,[1]LPU!$A$2:$G$1512,7,FALSE())</f>
        <v>LPU FLM</v>
      </c>
      <c r="T129" s="28">
        <v>4</v>
      </c>
      <c r="U129" s="29">
        <f t="shared" si="3"/>
        <v>122400</v>
      </c>
      <c r="V129" s="29" t="s">
        <v>110</v>
      </c>
      <c r="W129" s="30"/>
      <c r="X129" s="29" t="s">
        <v>38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ht="21" customHeight="1" x14ac:dyDescent="0.3">
      <c r="A130" s="22">
        <v>126</v>
      </c>
      <c r="B130" s="23">
        <v>1</v>
      </c>
      <c r="C130" s="23" t="s">
        <v>111</v>
      </c>
      <c r="D130" s="23" t="str">
        <f>VLOOKUP(C130,'[1]1.CUADRO RESUMEN DE SITIOS '!$C$5:$L$1052,2,FALSE())</f>
        <v>JANT_00175</v>
      </c>
      <c r="E130" s="24">
        <f>VLOOKUP(C130,'[1]1.CUADRO RESUMEN DE SITIOS '!$C$5:$L$1052,3,FALSE())</f>
        <v>45998</v>
      </c>
      <c r="F130" s="23">
        <f>VLOOKUP(C130,'[1]1.CUADRO RESUMEN DE SITIOS '!$C$5:$L$1052,4,FALSE())</f>
        <v>6.5103999999999997</v>
      </c>
      <c r="G130" s="23">
        <f>VLOOKUP(C130,'[1]1.CUADRO RESUMEN DE SITIOS '!$C$5:$L$1052,5,FALSE())</f>
        <v>-75.977410000000006</v>
      </c>
      <c r="H130" s="23" t="str">
        <f>VLOOKUP(C130,'[1]1.CUADRO RESUMEN DE SITIOS '!$C$5:$L$1052,6,FALSE())</f>
        <v>Antioquia</v>
      </c>
      <c r="I130" s="23" t="str">
        <f>VLOOKUP(C130,'[1]1.CUADRO RESUMEN DE SITIOS '!$C$5:$L$1052,7,FALSE())</f>
        <v>WOM-HUAWEI</v>
      </c>
      <c r="J130" s="25" t="str">
        <f>VLOOKUP(C130,'[1]1.CUADRO RESUMEN DE SITIOS '!$C$5:$L$1052,8,FALSE())</f>
        <v>NOROCCIDENTE</v>
      </c>
      <c r="K130" s="23" t="str">
        <f>VLOOKUP(C130,'[1]1.CUADRO RESUMEN DE SITIOS '!$C$5:$L$1052,9,FALSE())</f>
        <v>Alejandro Sanchez</v>
      </c>
      <c r="L130" s="26" t="str">
        <f>VLOOKUP(C130,'[1]1.CUADRO RESUMEN DE SITIOS '!$C$5:$L$1052,10,FALSE())</f>
        <v>Terminado</v>
      </c>
      <c r="M130" s="26">
        <v>8828119788</v>
      </c>
      <c r="N130" s="26">
        <f>VLOOKUP(M130,[1]LPU!$A$2:$G$1512,2,FALSE())</f>
        <v>2.02</v>
      </c>
      <c r="O130" s="26" t="str">
        <f>VLOOKUP(M130,[1]LPU!$A$2:$G$1512,3,FALSE)</f>
        <v>Protocolo de verticalidad torre hasta 100 m de altura, Incluye protocolo previo y posterior a la actividad a realizar. Incluye documentación e informe de protocolo.</v>
      </c>
      <c r="P130" s="26" t="str">
        <f>VLOOKUP(M130,[1]LPU!$A$2:$G$1512,4,FALSE())</f>
        <v>Mantenimiento CW</v>
      </c>
      <c r="Q130" s="26" t="str">
        <f>VLOOKUP(M130,[1]LPU!$A$2:$G$1512,5,FALSE())</f>
        <v>GL</v>
      </c>
      <c r="R130" s="27">
        <f>VLOOKUP(M130,[1]LPU!$A$2:$G$1512,6,FALSE())</f>
        <v>974025.2</v>
      </c>
      <c r="S130" s="27" t="str">
        <f>VLOOKUP(M130,[1]LPU!$A$2:$G$1512,7,FALSE())</f>
        <v>Mantenimiento CW</v>
      </c>
      <c r="T130" s="28">
        <v>1</v>
      </c>
      <c r="U130" s="29">
        <f t="shared" si="3"/>
        <v>974025.2</v>
      </c>
      <c r="V130" s="29" t="s">
        <v>47</v>
      </c>
      <c r="W130" s="30"/>
      <c r="X130" s="29" t="s">
        <v>38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ht="21" customHeight="1" x14ac:dyDescent="0.3">
      <c r="A131" s="22">
        <v>127</v>
      </c>
      <c r="B131" s="23">
        <v>1</v>
      </c>
      <c r="C131" s="23" t="s">
        <v>111</v>
      </c>
      <c r="D131" s="23" t="str">
        <f>VLOOKUP(C131,'[1]1.CUADRO RESUMEN DE SITIOS '!$C$5:$L$1052,2,FALSE())</f>
        <v>JANT_00175</v>
      </c>
      <c r="E131" s="24">
        <f>VLOOKUP(C131,'[1]1.CUADRO RESUMEN DE SITIOS '!$C$5:$L$1052,3,FALSE())</f>
        <v>45998</v>
      </c>
      <c r="F131" s="23">
        <f>VLOOKUP(C131,'[1]1.CUADRO RESUMEN DE SITIOS '!$C$5:$L$1052,4,FALSE())</f>
        <v>6.5103999999999997</v>
      </c>
      <c r="G131" s="23">
        <f>VLOOKUP(C131,'[1]1.CUADRO RESUMEN DE SITIOS '!$C$5:$L$1052,5,FALSE())</f>
        <v>-75.977410000000006</v>
      </c>
      <c r="H131" s="23" t="str">
        <f>VLOOKUP(C131,'[1]1.CUADRO RESUMEN DE SITIOS '!$C$5:$L$1052,6,FALSE())</f>
        <v>Antioquia</v>
      </c>
      <c r="I131" s="23" t="str">
        <f>VLOOKUP(C131,'[1]1.CUADRO RESUMEN DE SITIOS '!$C$5:$L$1052,7,FALSE())</f>
        <v>WOM-HUAWEI</v>
      </c>
      <c r="J131" s="25" t="str">
        <f>VLOOKUP(C131,'[1]1.CUADRO RESUMEN DE SITIOS '!$C$5:$L$1052,8,FALSE())</f>
        <v>NOROCCIDENTE</v>
      </c>
      <c r="K131" s="23" t="str">
        <f>VLOOKUP(C131,'[1]1.CUADRO RESUMEN DE SITIOS '!$C$5:$L$1052,9,FALSE())</f>
        <v>Alejandro Sanchez</v>
      </c>
      <c r="L131" s="26" t="str">
        <f>VLOOKUP(C131,'[1]1.CUADRO RESUMEN DE SITIOS '!$C$5:$L$1052,10,FALSE())</f>
        <v>Terminado</v>
      </c>
      <c r="M131" s="26">
        <v>8828119807</v>
      </c>
      <c r="N131" s="26">
        <f>VLOOKUP(M131,[1]LPU!$A$2:$G$1512,2,FALSE())</f>
        <v>2.0299999999999998</v>
      </c>
      <c r="O131" s="26" t="str">
        <f>VLOOKUP(M131,[1]LPU!$A$2:$G$1512,3,FALSE)</f>
        <v>Ajuste de tensión de riendas acorde con la norma EIA/TIA222F - EIA/TIA222G. Incluye todos los elementos y equipos necesarios para la realización. De acuerdo a la altura de la torre.</v>
      </c>
      <c r="P131" s="26" t="str">
        <f>VLOOKUP(M131,[1]LPU!$A$2:$G$1512,4,FALSE())</f>
        <v>Mantenimiento CW</v>
      </c>
      <c r="Q131" s="26" t="str">
        <f>VLOOKUP(M131,[1]LPU!$A$2:$G$1512,5,FALSE())</f>
        <v>UN</v>
      </c>
      <c r="R131" s="27">
        <f>VLOOKUP(M131,[1]LPU!$A$2:$G$1512,6,FALSE())</f>
        <v>318112.5</v>
      </c>
      <c r="S131" s="27" t="str">
        <f>VLOOKUP(M131,[1]LPU!$A$2:$G$1512,7,FALSE())</f>
        <v>Mantenimiento CW</v>
      </c>
      <c r="T131" s="28">
        <v>4</v>
      </c>
      <c r="U131" s="29">
        <f t="shared" si="3"/>
        <v>1272450</v>
      </c>
      <c r="V131" s="29" t="s">
        <v>47</v>
      </c>
      <c r="W131" s="30"/>
      <c r="X131" s="29" t="s">
        <v>38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ht="21" customHeight="1" x14ac:dyDescent="0.3">
      <c r="A132" s="22">
        <v>128</v>
      </c>
      <c r="B132" s="23">
        <v>1</v>
      </c>
      <c r="C132" s="23" t="s">
        <v>111</v>
      </c>
      <c r="D132" s="23" t="str">
        <f>VLOOKUP(C132,'[1]1.CUADRO RESUMEN DE SITIOS '!$C$5:$L$1052,2,FALSE())</f>
        <v>JANT_00175</v>
      </c>
      <c r="E132" s="24">
        <f>VLOOKUP(C132,'[1]1.CUADRO RESUMEN DE SITIOS '!$C$5:$L$1052,3,FALSE())</f>
        <v>45998</v>
      </c>
      <c r="F132" s="23">
        <f>VLOOKUP(C132,'[1]1.CUADRO RESUMEN DE SITIOS '!$C$5:$L$1052,4,FALSE())</f>
        <v>6.5103999999999997</v>
      </c>
      <c r="G132" s="23">
        <f>VLOOKUP(C132,'[1]1.CUADRO RESUMEN DE SITIOS '!$C$5:$L$1052,5,FALSE())</f>
        <v>-75.977410000000006</v>
      </c>
      <c r="H132" s="23" t="str">
        <f>VLOOKUP(C132,'[1]1.CUADRO RESUMEN DE SITIOS '!$C$5:$L$1052,6,FALSE())</f>
        <v>Antioquia</v>
      </c>
      <c r="I132" s="23" t="str">
        <f>VLOOKUP(C132,'[1]1.CUADRO RESUMEN DE SITIOS '!$C$5:$L$1052,7,FALSE())</f>
        <v>WOM-HUAWEI</v>
      </c>
      <c r="J132" s="25" t="str">
        <f>VLOOKUP(C132,'[1]1.CUADRO RESUMEN DE SITIOS '!$C$5:$L$1052,8,FALSE())</f>
        <v>NOROCCIDENTE</v>
      </c>
      <c r="K132" s="23" t="str">
        <f>VLOOKUP(C132,'[1]1.CUADRO RESUMEN DE SITIOS '!$C$5:$L$1052,9,FALSE())</f>
        <v>Alejandro Sanchez</v>
      </c>
      <c r="L132" s="26" t="str">
        <f>VLOOKUP(C132,'[1]1.CUADRO RESUMEN DE SITIOS '!$C$5:$L$1052,10,FALSE())</f>
        <v>Terminado</v>
      </c>
      <c r="M132" s="26">
        <v>8828119815</v>
      </c>
      <c r="N132" s="26">
        <f>VLOOKUP(M132,[1]LPU!$A$2:$G$1512,2,FALSE())</f>
        <v>2.04</v>
      </c>
      <c r="O132" s="26" t="str">
        <f>VLOOKUP(M132,[1]LPU!$A$2:$G$1512,3,FALSE)</f>
        <v>Torqueo tornillería torre acorde con la norma EIA/TIA222F - EIA/TIA222G. Incluye protocolo de torque, todos los elementos y equipos necesarios para la realización. De acuerdo a la altura de la torre</v>
      </c>
      <c r="P132" s="26" t="str">
        <f>VLOOKUP(M132,[1]LPU!$A$2:$G$1512,4,FALSE())</f>
        <v>Mantenimiento CW</v>
      </c>
      <c r="Q132" s="26" t="str">
        <f>VLOOKUP(M132,[1]LPU!$A$2:$G$1512,5,FALSE())</f>
        <v>UN</v>
      </c>
      <c r="R132" s="27">
        <f>VLOOKUP(M132,[1]LPU!$A$2:$G$1512,6,FALSE())</f>
        <v>1277092.7</v>
      </c>
      <c r="S132" s="27" t="str">
        <f>VLOOKUP(M132,[1]LPU!$A$2:$G$1512,7,FALSE())</f>
        <v>Mantenimiento CW</v>
      </c>
      <c r="T132" s="28">
        <v>1</v>
      </c>
      <c r="U132" s="29">
        <f t="shared" si="3"/>
        <v>1277092.7</v>
      </c>
      <c r="V132" s="29" t="s">
        <v>47</v>
      </c>
      <c r="W132" s="30"/>
      <c r="X132" s="29" t="s">
        <v>38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ht="21" customHeight="1" x14ac:dyDescent="0.3">
      <c r="A133" s="22">
        <v>129</v>
      </c>
      <c r="B133" s="23">
        <v>1</v>
      </c>
      <c r="C133" s="23" t="s">
        <v>111</v>
      </c>
      <c r="D133" s="23" t="str">
        <f>VLOOKUP(C133,'[1]1.CUADRO RESUMEN DE SITIOS '!$C$5:$L$1052,2,FALSE())</f>
        <v>JANT_00175</v>
      </c>
      <c r="E133" s="24">
        <f>VLOOKUP(C133,'[1]1.CUADRO RESUMEN DE SITIOS '!$C$5:$L$1052,3,FALSE())</f>
        <v>45998</v>
      </c>
      <c r="F133" s="23">
        <f>VLOOKUP(C133,'[1]1.CUADRO RESUMEN DE SITIOS '!$C$5:$L$1052,4,FALSE())</f>
        <v>6.5103999999999997</v>
      </c>
      <c r="G133" s="23">
        <f>VLOOKUP(C133,'[1]1.CUADRO RESUMEN DE SITIOS '!$C$5:$L$1052,5,FALSE())</f>
        <v>-75.977410000000006</v>
      </c>
      <c r="H133" s="23" t="str">
        <f>VLOOKUP(C133,'[1]1.CUADRO RESUMEN DE SITIOS '!$C$5:$L$1052,6,FALSE())</f>
        <v>Antioquia</v>
      </c>
      <c r="I133" s="23" t="str">
        <f>VLOOKUP(C133,'[1]1.CUADRO RESUMEN DE SITIOS '!$C$5:$L$1052,7,FALSE())</f>
        <v>WOM-HUAWEI</v>
      </c>
      <c r="J133" s="25" t="str">
        <f>VLOOKUP(C133,'[1]1.CUADRO RESUMEN DE SITIOS '!$C$5:$L$1052,8,FALSE())</f>
        <v>NOROCCIDENTE</v>
      </c>
      <c r="K133" s="23" t="str">
        <f>VLOOKUP(C133,'[1]1.CUADRO RESUMEN DE SITIOS '!$C$5:$L$1052,9,FALSE())</f>
        <v>Alejandro Sanchez</v>
      </c>
      <c r="L133" s="26" t="str">
        <f>VLOOKUP(C133,'[1]1.CUADRO RESUMEN DE SITIOS '!$C$5:$L$1052,10,FALSE())</f>
        <v>Terminado</v>
      </c>
      <c r="M133" s="26">
        <v>8828120281</v>
      </c>
      <c r="N133" s="26">
        <f>VLOOKUP(M133,[1]LPU!$A$2:$G$1512,2,FALSE())</f>
        <v>5.24</v>
      </c>
      <c r="O133" s="26" t="str">
        <f>VLOOKUP(M133,[1]LPU!$A$2:$G$1512,3,FALSE)</f>
        <v>Cambio de perros de sujeción para riendas de guaya 1/2" galvanizado. Incluye suministro e instalación.</v>
      </c>
      <c r="P133" s="26" t="str">
        <f>VLOOKUP(M133,[1]LPU!$A$2:$G$1512,4,FALSE())</f>
        <v>Mantenimiento CW</v>
      </c>
      <c r="Q133" s="26" t="str">
        <f>VLOOKUP(M133,[1]LPU!$A$2:$G$1512,5,FALSE())</f>
        <v>UND</v>
      </c>
      <c r="R133" s="27">
        <f>VLOOKUP(M133,[1]LPU!$A$2:$G$1512,6,FALSE())</f>
        <v>20898.099999999999</v>
      </c>
      <c r="S133" s="27" t="str">
        <f>VLOOKUP(M133,[1]LPU!$A$2:$G$1512,7,FALSE())</f>
        <v>Mantenimiento CW</v>
      </c>
      <c r="T133" s="28">
        <v>65</v>
      </c>
      <c r="U133" s="29">
        <f t="shared" si="3"/>
        <v>1358376.5</v>
      </c>
      <c r="V133" s="29" t="s">
        <v>47</v>
      </c>
      <c r="W133" s="30"/>
      <c r="X133" s="29" t="s">
        <v>38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ht="21" customHeight="1" x14ac:dyDescent="0.3">
      <c r="A134" s="22">
        <v>130</v>
      </c>
      <c r="B134" s="23">
        <v>1</v>
      </c>
      <c r="C134" s="23" t="s">
        <v>111</v>
      </c>
      <c r="D134" s="23" t="str">
        <f>VLOOKUP(C134,'[1]1.CUADRO RESUMEN DE SITIOS '!$C$5:$L$1052,2,FALSE())</f>
        <v>JANT_00175</v>
      </c>
      <c r="E134" s="24">
        <f>VLOOKUP(C134,'[1]1.CUADRO RESUMEN DE SITIOS '!$C$5:$L$1052,3,FALSE())</f>
        <v>45998</v>
      </c>
      <c r="F134" s="23">
        <f>VLOOKUP(C134,'[1]1.CUADRO RESUMEN DE SITIOS '!$C$5:$L$1052,4,FALSE())</f>
        <v>6.5103999999999997</v>
      </c>
      <c r="G134" s="23">
        <f>VLOOKUP(C134,'[1]1.CUADRO RESUMEN DE SITIOS '!$C$5:$L$1052,5,FALSE())</f>
        <v>-75.977410000000006</v>
      </c>
      <c r="H134" s="23" t="str">
        <f>VLOOKUP(C134,'[1]1.CUADRO RESUMEN DE SITIOS '!$C$5:$L$1052,6,FALSE())</f>
        <v>Antioquia</v>
      </c>
      <c r="I134" s="23" t="str">
        <f>VLOOKUP(C134,'[1]1.CUADRO RESUMEN DE SITIOS '!$C$5:$L$1052,7,FALSE())</f>
        <v>WOM-HUAWEI</v>
      </c>
      <c r="J134" s="25" t="str">
        <f>VLOOKUP(C134,'[1]1.CUADRO RESUMEN DE SITIOS '!$C$5:$L$1052,8,FALSE())</f>
        <v>NOROCCIDENTE</v>
      </c>
      <c r="K134" s="23" t="str">
        <f>VLOOKUP(C134,'[1]1.CUADRO RESUMEN DE SITIOS '!$C$5:$L$1052,9,FALSE())</f>
        <v>Alejandro Sanchez</v>
      </c>
      <c r="L134" s="26" t="str">
        <f>VLOOKUP(C134,'[1]1.CUADRO RESUMEN DE SITIOS '!$C$5:$L$1052,10,FALSE())</f>
        <v>Terminado</v>
      </c>
      <c r="M134" s="26">
        <v>8828119941</v>
      </c>
      <c r="N134" s="26">
        <f>VLOOKUP(M134,[1]LPU!$A$2:$G$1512,2,FALSE())</f>
        <v>165</v>
      </c>
      <c r="O134" s="26" t="str">
        <f>VLOOKUP(M134,[1]LPU!$A$2:$G$1512,3,FALSE)</f>
        <v>Transporte tipo C, zona de dificil acceso</v>
      </c>
      <c r="P134" s="26" t="str">
        <f>VLOOKUP(M134,[1]LPU!$A$2:$G$1512,4,FALSE())</f>
        <v>LOCATIVO</v>
      </c>
      <c r="Q134" s="26" t="str">
        <f>VLOOKUP(M134,[1]LPU!$A$2:$G$1512,5,FALSE())</f>
        <v>Global</v>
      </c>
      <c r="R134" s="27">
        <f>VLOOKUP(M134,[1]LPU!$A$2:$G$1512,6,FALSE())</f>
        <v>388801.05</v>
      </c>
      <c r="S134" s="27" t="str">
        <f>VLOOKUP(M134,[1]LPU!$A$2:$G$1512,7,FALSE())</f>
        <v>LPU FLM</v>
      </c>
      <c r="T134" s="28">
        <v>1</v>
      </c>
      <c r="U134" s="29">
        <f t="shared" si="3"/>
        <v>388801.05</v>
      </c>
      <c r="V134" s="29" t="s">
        <v>47</v>
      </c>
      <c r="W134" s="30"/>
      <c r="X134" s="29" t="s">
        <v>38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ht="21" customHeight="1" x14ac:dyDescent="0.3">
      <c r="A135" s="22">
        <v>131</v>
      </c>
      <c r="B135" s="23">
        <v>1</v>
      </c>
      <c r="C135" s="23" t="s">
        <v>112</v>
      </c>
      <c r="D135" s="23" t="str">
        <f>VLOOKUP(C135,'[1]1.CUADRO RESUMEN DE SITIOS '!$C$5:$L$1052,2,FALSE())</f>
        <v>JANT_00227</v>
      </c>
      <c r="E135" s="24">
        <f>VLOOKUP(C135,'[1]1.CUADRO RESUMEN DE SITIOS '!$C$5:$L$1052,3,FALSE())</f>
        <v>45999</v>
      </c>
      <c r="F135" s="23">
        <f>VLOOKUP(C135,'[1]1.CUADRO RESUMEN DE SITIOS '!$C$5:$L$1052,4,FALSE())</f>
        <v>8.7185000000000006</v>
      </c>
      <c r="G135" s="23">
        <f>VLOOKUP(C135,'[1]1.CUADRO RESUMEN DE SITIOS '!$C$5:$L$1052,5,FALSE())</f>
        <v>-76.595399999999998</v>
      </c>
      <c r="H135" s="23" t="str">
        <f>VLOOKUP(C135,'[1]1.CUADRO RESUMEN DE SITIOS '!$C$5:$L$1052,6,FALSE())</f>
        <v>Antioquia</v>
      </c>
      <c r="I135" s="23" t="str">
        <f>VLOOKUP(C135,'[1]1.CUADRO RESUMEN DE SITIOS '!$C$5:$L$1052,7,FALSE())</f>
        <v>WOM-HUAWEI</v>
      </c>
      <c r="J135" s="25" t="str">
        <f>VLOOKUP(C135,'[1]1.CUADRO RESUMEN DE SITIOS '!$C$5:$L$1052,8,FALSE())</f>
        <v>NOROCCIDENTE</v>
      </c>
      <c r="K135" s="23" t="str">
        <f>VLOOKUP(C135,'[1]1.CUADRO RESUMEN DE SITIOS '!$C$5:$L$1052,9,FALSE())</f>
        <v>Alejandro Sanchez</v>
      </c>
      <c r="L135" s="26" t="str">
        <f>VLOOKUP(C135,'[1]1.CUADRO RESUMEN DE SITIOS '!$C$5:$L$1052,10,FALSE())</f>
        <v>Terminado</v>
      </c>
      <c r="M135" s="26">
        <v>8828119788</v>
      </c>
      <c r="N135" s="26">
        <f>VLOOKUP(M135,[1]LPU!$A$2:$G$1512,2,FALSE())</f>
        <v>2.02</v>
      </c>
      <c r="O135" s="26" t="str">
        <f>VLOOKUP(M135,[1]LPU!$A$2:$G$1512,3,FALSE)</f>
        <v>Protocolo de verticalidad torre hasta 100 m de altura, Incluye protocolo previo y posterior a la actividad a realizar. Incluye documentación e informe de protocolo.</v>
      </c>
      <c r="P135" s="26" t="str">
        <f>VLOOKUP(M135,[1]LPU!$A$2:$G$1512,4,FALSE())</f>
        <v>Mantenimiento CW</v>
      </c>
      <c r="Q135" s="26" t="str">
        <f>VLOOKUP(M135,[1]LPU!$A$2:$G$1512,5,FALSE())</f>
        <v>GL</v>
      </c>
      <c r="R135" s="27">
        <f>VLOOKUP(M135,[1]LPU!$A$2:$G$1512,6,FALSE())</f>
        <v>974025.2</v>
      </c>
      <c r="S135" s="27" t="str">
        <f>VLOOKUP(M135,[1]LPU!$A$2:$G$1512,7,FALSE())</f>
        <v>Mantenimiento CW</v>
      </c>
      <c r="T135" s="28">
        <v>1</v>
      </c>
      <c r="U135" s="29">
        <f t="shared" si="3"/>
        <v>974025.2</v>
      </c>
      <c r="V135" s="29" t="s">
        <v>47</v>
      </c>
      <c r="W135" s="30"/>
      <c r="X135" s="29" t="s">
        <v>38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ht="21" customHeight="1" x14ac:dyDescent="0.3">
      <c r="A136" s="22">
        <v>132</v>
      </c>
      <c r="B136" s="23">
        <v>1</v>
      </c>
      <c r="C136" s="23" t="s">
        <v>112</v>
      </c>
      <c r="D136" s="23" t="str">
        <f>VLOOKUP(C136,'[1]1.CUADRO RESUMEN DE SITIOS '!$C$5:$L$1052,2,FALSE())</f>
        <v>JANT_00227</v>
      </c>
      <c r="E136" s="24">
        <f>VLOOKUP(C136,'[1]1.CUADRO RESUMEN DE SITIOS '!$C$5:$L$1052,3,FALSE())</f>
        <v>45999</v>
      </c>
      <c r="F136" s="23">
        <f>VLOOKUP(C136,'[1]1.CUADRO RESUMEN DE SITIOS '!$C$5:$L$1052,4,FALSE())</f>
        <v>8.7185000000000006</v>
      </c>
      <c r="G136" s="23">
        <f>VLOOKUP(C136,'[1]1.CUADRO RESUMEN DE SITIOS '!$C$5:$L$1052,5,FALSE())</f>
        <v>-76.595399999999998</v>
      </c>
      <c r="H136" s="23" t="str">
        <f>VLOOKUP(C136,'[1]1.CUADRO RESUMEN DE SITIOS '!$C$5:$L$1052,6,FALSE())</f>
        <v>Antioquia</v>
      </c>
      <c r="I136" s="23" t="str">
        <f>VLOOKUP(C136,'[1]1.CUADRO RESUMEN DE SITIOS '!$C$5:$L$1052,7,FALSE())</f>
        <v>WOM-HUAWEI</v>
      </c>
      <c r="J136" s="25" t="str">
        <f>VLOOKUP(C136,'[1]1.CUADRO RESUMEN DE SITIOS '!$C$5:$L$1052,8,FALSE())</f>
        <v>NOROCCIDENTE</v>
      </c>
      <c r="K136" s="23" t="str">
        <f>VLOOKUP(C136,'[1]1.CUADRO RESUMEN DE SITIOS '!$C$5:$L$1052,9,FALSE())</f>
        <v>Alejandro Sanchez</v>
      </c>
      <c r="L136" s="26" t="str">
        <f>VLOOKUP(C136,'[1]1.CUADRO RESUMEN DE SITIOS '!$C$5:$L$1052,10,FALSE())</f>
        <v>Terminado</v>
      </c>
      <c r="M136" s="26">
        <v>8828119807</v>
      </c>
      <c r="N136" s="26">
        <f>VLOOKUP(M136,[1]LPU!$A$2:$G$1512,2,FALSE())</f>
        <v>2.0299999999999998</v>
      </c>
      <c r="O136" s="26" t="str">
        <f>VLOOKUP(M136,[1]LPU!$A$2:$G$1512,3,FALSE)</f>
        <v>Ajuste de tensión de riendas acorde con la norma EIA/TIA222F - EIA/TIA222G. Incluye todos los elementos y equipos necesarios para la realización. De acuerdo a la altura de la torre.</v>
      </c>
      <c r="P136" s="26" t="str">
        <f>VLOOKUP(M136,[1]LPU!$A$2:$G$1512,4,FALSE())</f>
        <v>Mantenimiento CW</v>
      </c>
      <c r="Q136" s="26" t="str">
        <f>VLOOKUP(M136,[1]LPU!$A$2:$G$1512,5,FALSE())</f>
        <v>UN</v>
      </c>
      <c r="R136" s="27">
        <f>VLOOKUP(M136,[1]LPU!$A$2:$G$1512,6,FALSE())</f>
        <v>318112.5</v>
      </c>
      <c r="S136" s="27" t="str">
        <f>VLOOKUP(M136,[1]LPU!$A$2:$G$1512,7,FALSE())</f>
        <v>Mantenimiento CW</v>
      </c>
      <c r="T136" s="28">
        <v>4</v>
      </c>
      <c r="U136" s="29">
        <f t="shared" si="3"/>
        <v>1272450</v>
      </c>
      <c r="V136" s="29" t="s">
        <v>47</v>
      </c>
      <c r="W136" s="30"/>
      <c r="X136" s="29" t="s">
        <v>38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ht="21" customHeight="1" x14ac:dyDescent="0.3">
      <c r="A137" s="22">
        <v>133</v>
      </c>
      <c r="B137" s="23">
        <v>1</v>
      </c>
      <c r="C137" s="23" t="s">
        <v>112</v>
      </c>
      <c r="D137" s="23" t="str">
        <f>VLOOKUP(C137,'[1]1.CUADRO RESUMEN DE SITIOS '!$C$5:$L$1052,2,FALSE())</f>
        <v>JANT_00227</v>
      </c>
      <c r="E137" s="24">
        <f>VLOOKUP(C137,'[1]1.CUADRO RESUMEN DE SITIOS '!$C$5:$L$1052,3,FALSE())</f>
        <v>45999</v>
      </c>
      <c r="F137" s="23">
        <f>VLOOKUP(C137,'[1]1.CUADRO RESUMEN DE SITIOS '!$C$5:$L$1052,4,FALSE())</f>
        <v>8.7185000000000006</v>
      </c>
      <c r="G137" s="23">
        <f>VLOOKUP(C137,'[1]1.CUADRO RESUMEN DE SITIOS '!$C$5:$L$1052,5,FALSE())</f>
        <v>-76.595399999999998</v>
      </c>
      <c r="H137" s="23" t="str">
        <f>VLOOKUP(C137,'[1]1.CUADRO RESUMEN DE SITIOS '!$C$5:$L$1052,6,FALSE())</f>
        <v>Antioquia</v>
      </c>
      <c r="I137" s="23" t="str">
        <f>VLOOKUP(C137,'[1]1.CUADRO RESUMEN DE SITIOS '!$C$5:$L$1052,7,FALSE())</f>
        <v>WOM-HUAWEI</v>
      </c>
      <c r="J137" s="25" t="str">
        <f>VLOOKUP(C137,'[1]1.CUADRO RESUMEN DE SITIOS '!$C$5:$L$1052,8,FALSE())</f>
        <v>NOROCCIDENTE</v>
      </c>
      <c r="K137" s="23" t="str">
        <f>VLOOKUP(C137,'[1]1.CUADRO RESUMEN DE SITIOS '!$C$5:$L$1052,9,FALSE())</f>
        <v>Alejandro Sanchez</v>
      </c>
      <c r="L137" s="26" t="str">
        <f>VLOOKUP(C137,'[1]1.CUADRO RESUMEN DE SITIOS '!$C$5:$L$1052,10,FALSE())</f>
        <v>Terminado</v>
      </c>
      <c r="M137" s="26">
        <v>8828119815</v>
      </c>
      <c r="N137" s="26">
        <f>VLOOKUP(M137,[1]LPU!$A$2:$G$1512,2,FALSE())</f>
        <v>2.04</v>
      </c>
      <c r="O137" s="26" t="str">
        <f>VLOOKUP(M137,[1]LPU!$A$2:$G$1512,3,FALSE)</f>
        <v>Torqueo tornillería torre acorde con la norma EIA/TIA222F - EIA/TIA222G. Incluye protocolo de torque, todos los elementos y equipos necesarios para la realización. De acuerdo a la altura de la torre</v>
      </c>
      <c r="P137" s="26" t="str">
        <f>VLOOKUP(M137,[1]LPU!$A$2:$G$1512,4,FALSE())</f>
        <v>Mantenimiento CW</v>
      </c>
      <c r="Q137" s="26" t="str">
        <f>VLOOKUP(M137,[1]LPU!$A$2:$G$1512,5,FALSE())</f>
        <v>UN</v>
      </c>
      <c r="R137" s="27">
        <f>VLOOKUP(M137,[1]LPU!$A$2:$G$1512,6,FALSE())</f>
        <v>1277092.7</v>
      </c>
      <c r="S137" s="27" t="str">
        <f>VLOOKUP(M137,[1]LPU!$A$2:$G$1512,7,FALSE())</f>
        <v>Mantenimiento CW</v>
      </c>
      <c r="T137" s="28">
        <v>1</v>
      </c>
      <c r="U137" s="29">
        <f t="shared" si="3"/>
        <v>1277092.7</v>
      </c>
      <c r="V137" s="29" t="s">
        <v>47</v>
      </c>
      <c r="W137" s="30"/>
      <c r="X137" s="29" t="s">
        <v>38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ht="21" customHeight="1" x14ac:dyDescent="0.3">
      <c r="A138" s="22">
        <v>134</v>
      </c>
      <c r="B138" s="23">
        <v>1</v>
      </c>
      <c r="C138" s="23" t="s">
        <v>112</v>
      </c>
      <c r="D138" s="23" t="str">
        <f>VLOOKUP(C138,'[1]1.CUADRO RESUMEN DE SITIOS '!$C$5:$L$1052,2,FALSE())</f>
        <v>JANT_00227</v>
      </c>
      <c r="E138" s="24">
        <f>VLOOKUP(C138,'[1]1.CUADRO RESUMEN DE SITIOS '!$C$5:$L$1052,3,FALSE())</f>
        <v>45999</v>
      </c>
      <c r="F138" s="23">
        <f>VLOOKUP(C138,'[1]1.CUADRO RESUMEN DE SITIOS '!$C$5:$L$1052,4,FALSE())</f>
        <v>8.7185000000000006</v>
      </c>
      <c r="G138" s="23">
        <f>VLOOKUP(C138,'[1]1.CUADRO RESUMEN DE SITIOS '!$C$5:$L$1052,5,FALSE())</f>
        <v>-76.595399999999998</v>
      </c>
      <c r="H138" s="23" t="str">
        <f>VLOOKUP(C138,'[1]1.CUADRO RESUMEN DE SITIOS '!$C$5:$L$1052,6,FALSE())</f>
        <v>Antioquia</v>
      </c>
      <c r="I138" s="23" t="str">
        <f>VLOOKUP(C138,'[1]1.CUADRO RESUMEN DE SITIOS '!$C$5:$L$1052,7,FALSE())</f>
        <v>WOM-HUAWEI</v>
      </c>
      <c r="J138" s="25" t="str">
        <f>VLOOKUP(C138,'[1]1.CUADRO RESUMEN DE SITIOS '!$C$5:$L$1052,8,FALSE())</f>
        <v>NOROCCIDENTE</v>
      </c>
      <c r="K138" s="23" t="str">
        <f>VLOOKUP(C138,'[1]1.CUADRO RESUMEN DE SITIOS '!$C$5:$L$1052,9,FALSE())</f>
        <v>Alejandro Sanchez</v>
      </c>
      <c r="L138" s="26" t="str">
        <f>VLOOKUP(C138,'[1]1.CUADRO RESUMEN DE SITIOS '!$C$5:$L$1052,10,FALSE())</f>
        <v>Terminado</v>
      </c>
      <c r="M138" s="26">
        <v>8828120281</v>
      </c>
      <c r="N138" s="26">
        <f>VLOOKUP(M138,[1]LPU!$A$2:$G$1512,2,FALSE())</f>
        <v>5.24</v>
      </c>
      <c r="O138" s="26" t="str">
        <f>VLOOKUP(M138,[1]LPU!$A$2:$G$1512,3,FALSE)</f>
        <v>Cambio de perros de sujeción para riendas de guaya 1/2" galvanizado. Incluye suministro e instalación.</v>
      </c>
      <c r="P138" s="26" t="str">
        <f>VLOOKUP(M138,[1]LPU!$A$2:$G$1512,4,FALSE())</f>
        <v>Mantenimiento CW</v>
      </c>
      <c r="Q138" s="26" t="str">
        <f>VLOOKUP(M138,[1]LPU!$A$2:$G$1512,5,FALSE())</f>
        <v>UND</v>
      </c>
      <c r="R138" s="27">
        <f>VLOOKUP(M138,[1]LPU!$A$2:$G$1512,6,FALSE())</f>
        <v>20898.099999999999</v>
      </c>
      <c r="S138" s="27" t="str">
        <f>VLOOKUP(M138,[1]LPU!$A$2:$G$1512,7,FALSE())</f>
        <v>Mantenimiento CW</v>
      </c>
      <c r="T138" s="28">
        <v>54</v>
      </c>
      <c r="U138" s="29">
        <f t="shared" si="3"/>
        <v>1128497.3999999999</v>
      </c>
      <c r="V138" s="29" t="s">
        <v>47</v>
      </c>
      <c r="W138" s="30"/>
      <c r="X138" s="29" t="s">
        <v>38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ht="21" customHeight="1" x14ac:dyDescent="0.3">
      <c r="A139" s="22">
        <v>135</v>
      </c>
      <c r="B139" s="23">
        <v>1</v>
      </c>
      <c r="C139" s="23" t="s">
        <v>112</v>
      </c>
      <c r="D139" s="23" t="str">
        <f>VLOOKUP(C139,'[1]1.CUADRO RESUMEN DE SITIOS '!$C$5:$L$1052,2,FALSE())</f>
        <v>JANT_00227</v>
      </c>
      <c r="E139" s="24">
        <f>VLOOKUP(C139,'[1]1.CUADRO RESUMEN DE SITIOS '!$C$5:$L$1052,3,FALSE())</f>
        <v>45999</v>
      </c>
      <c r="F139" s="23">
        <f>VLOOKUP(C139,'[1]1.CUADRO RESUMEN DE SITIOS '!$C$5:$L$1052,4,FALSE())</f>
        <v>8.7185000000000006</v>
      </c>
      <c r="G139" s="23">
        <f>VLOOKUP(C139,'[1]1.CUADRO RESUMEN DE SITIOS '!$C$5:$L$1052,5,FALSE())</f>
        <v>-76.595399999999998</v>
      </c>
      <c r="H139" s="23" t="str">
        <f>VLOOKUP(C139,'[1]1.CUADRO RESUMEN DE SITIOS '!$C$5:$L$1052,6,FALSE())</f>
        <v>Antioquia</v>
      </c>
      <c r="I139" s="23" t="str">
        <f>VLOOKUP(C139,'[1]1.CUADRO RESUMEN DE SITIOS '!$C$5:$L$1052,7,FALSE())</f>
        <v>WOM-HUAWEI</v>
      </c>
      <c r="J139" s="25" t="str">
        <f>VLOOKUP(C139,'[1]1.CUADRO RESUMEN DE SITIOS '!$C$5:$L$1052,8,FALSE())</f>
        <v>NOROCCIDENTE</v>
      </c>
      <c r="K139" s="23" t="str">
        <f>VLOOKUP(C139,'[1]1.CUADRO RESUMEN DE SITIOS '!$C$5:$L$1052,9,FALSE())</f>
        <v>Alejandro Sanchez</v>
      </c>
      <c r="L139" s="26" t="str">
        <f>VLOOKUP(C139,'[1]1.CUADRO RESUMEN DE SITIOS '!$C$5:$L$1052,10,FALSE())</f>
        <v>Terminado</v>
      </c>
      <c r="M139" s="26">
        <v>8828119941</v>
      </c>
      <c r="N139" s="26">
        <f>VLOOKUP(M139,[1]LPU!$A$2:$G$1512,2,FALSE())</f>
        <v>165</v>
      </c>
      <c r="O139" s="26" t="str">
        <f>VLOOKUP(M139,[1]LPU!$A$2:$G$1512,3,FALSE)</f>
        <v>Transporte tipo C, zona de dificil acceso</v>
      </c>
      <c r="P139" s="26" t="str">
        <f>VLOOKUP(M139,[1]LPU!$A$2:$G$1512,4,FALSE())</f>
        <v>LOCATIVO</v>
      </c>
      <c r="Q139" s="26" t="str">
        <f>VLOOKUP(M139,[1]LPU!$A$2:$G$1512,5,FALSE())</f>
        <v>Global</v>
      </c>
      <c r="R139" s="27">
        <f>VLOOKUP(M139,[1]LPU!$A$2:$G$1512,6,FALSE())</f>
        <v>388801.05</v>
      </c>
      <c r="S139" s="27" t="str">
        <f>VLOOKUP(M139,[1]LPU!$A$2:$G$1512,7,FALSE())</f>
        <v>LPU FLM</v>
      </c>
      <c r="T139" s="28">
        <v>1</v>
      </c>
      <c r="U139" s="29">
        <f t="shared" si="3"/>
        <v>388801.05</v>
      </c>
      <c r="V139" s="29" t="s">
        <v>47</v>
      </c>
      <c r="W139" s="30"/>
      <c r="X139" s="29" t="s">
        <v>38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ht="21" customHeight="1" x14ac:dyDescent="0.3">
      <c r="A140" s="22">
        <v>136</v>
      </c>
      <c r="B140" s="23">
        <v>1</v>
      </c>
      <c r="C140" s="23" t="s">
        <v>113</v>
      </c>
      <c r="D140" s="23" t="str">
        <f>VLOOKUP(C140,'[1]1.CUADRO RESUMEN DE SITIOS '!$C$5:$L$1052,2,FALSE())</f>
        <v>JANT_00278</v>
      </c>
      <c r="E140" s="24">
        <f>VLOOKUP(C140,'[1]1.CUADRO RESUMEN DE SITIOS '!$C$5:$L$1052,3,FALSE())</f>
        <v>46000</v>
      </c>
      <c r="F140" s="23">
        <f>VLOOKUP(C140,'[1]1.CUADRO RESUMEN DE SITIOS '!$C$5:$L$1052,4,FALSE())</f>
        <v>8.7429699999999997</v>
      </c>
      <c r="G140" s="23">
        <f>VLOOKUP(C140,'[1]1.CUADRO RESUMEN DE SITIOS '!$C$5:$L$1052,5,FALSE())</f>
        <v>-76.581199999999995</v>
      </c>
      <c r="H140" s="23" t="str">
        <f>VLOOKUP(C140,'[1]1.CUADRO RESUMEN DE SITIOS '!$C$5:$L$1052,6,FALSE())</f>
        <v>Antioquia</v>
      </c>
      <c r="I140" s="23" t="str">
        <f>VLOOKUP(C140,'[1]1.CUADRO RESUMEN DE SITIOS '!$C$5:$L$1052,7,FALSE())</f>
        <v>WOM-HUAWEI</v>
      </c>
      <c r="J140" s="25" t="str">
        <f>VLOOKUP(C140,'[1]1.CUADRO RESUMEN DE SITIOS '!$C$5:$L$1052,8,FALSE())</f>
        <v>NOROCCIDENTE</v>
      </c>
      <c r="K140" s="23" t="str">
        <f>VLOOKUP(C140,'[1]1.CUADRO RESUMEN DE SITIOS '!$C$5:$L$1052,9,FALSE())</f>
        <v>Alejandro Sanchez</v>
      </c>
      <c r="L140" s="26" t="str">
        <f>VLOOKUP(C140,'[1]1.CUADRO RESUMEN DE SITIOS '!$C$5:$L$1052,10,FALSE())</f>
        <v>Terminado</v>
      </c>
      <c r="M140" s="26">
        <v>8828119788</v>
      </c>
      <c r="N140" s="26">
        <f>VLOOKUP(M140,[1]LPU!$A$2:$G$1512,2,FALSE())</f>
        <v>2.02</v>
      </c>
      <c r="O140" s="26" t="str">
        <f>VLOOKUP(M140,[1]LPU!$A$2:$G$1512,3,FALSE)</f>
        <v>Protocolo de verticalidad torre hasta 100 m de altura, Incluye protocolo previo y posterior a la actividad a realizar. Incluye documentación e informe de protocolo.</v>
      </c>
      <c r="P140" s="26" t="str">
        <f>VLOOKUP(M140,[1]LPU!$A$2:$G$1512,4,FALSE())</f>
        <v>Mantenimiento CW</v>
      </c>
      <c r="Q140" s="26" t="str">
        <f>VLOOKUP(M140,[1]LPU!$A$2:$G$1512,5,FALSE())</f>
        <v>GL</v>
      </c>
      <c r="R140" s="27">
        <f>VLOOKUP(M140,[1]LPU!$A$2:$G$1512,6,FALSE())</f>
        <v>974025.2</v>
      </c>
      <c r="S140" s="27" t="str">
        <f>VLOOKUP(M140,[1]LPU!$A$2:$G$1512,7,FALSE())</f>
        <v>Mantenimiento CW</v>
      </c>
      <c r="T140" s="28">
        <v>1</v>
      </c>
      <c r="U140" s="29">
        <f t="shared" si="3"/>
        <v>974025.2</v>
      </c>
      <c r="V140" s="29" t="s">
        <v>47</v>
      </c>
      <c r="W140" s="30"/>
      <c r="X140" s="29" t="s">
        <v>38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ht="21" customHeight="1" x14ac:dyDescent="0.3">
      <c r="A141" s="22">
        <v>137</v>
      </c>
      <c r="B141" s="23">
        <v>1</v>
      </c>
      <c r="C141" s="23" t="s">
        <v>113</v>
      </c>
      <c r="D141" s="23" t="str">
        <f>VLOOKUP(C141,'[1]1.CUADRO RESUMEN DE SITIOS '!$C$5:$L$1052,2,FALSE())</f>
        <v>JANT_00278</v>
      </c>
      <c r="E141" s="24">
        <f>VLOOKUP(C141,'[1]1.CUADRO RESUMEN DE SITIOS '!$C$5:$L$1052,3,FALSE())</f>
        <v>46000</v>
      </c>
      <c r="F141" s="23">
        <f>VLOOKUP(C141,'[1]1.CUADRO RESUMEN DE SITIOS '!$C$5:$L$1052,4,FALSE())</f>
        <v>8.7429699999999997</v>
      </c>
      <c r="G141" s="23">
        <f>VLOOKUP(C141,'[1]1.CUADRO RESUMEN DE SITIOS '!$C$5:$L$1052,5,FALSE())</f>
        <v>-76.581199999999995</v>
      </c>
      <c r="H141" s="23" t="str">
        <f>VLOOKUP(C141,'[1]1.CUADRO RESUMEN DE SITIOS '!$C$5:$L$1052,6,FALSE())</f>
        <v>Antioquia</v>
      </c>
      <c r="I141" s="23" t="str">
        <f>VLOOKUP(C141,'[1]1.CUADRO RESUMEN DE SITIOS '!$C$5:$L$1052,7,FALSE())</f>
        <v>WOM-HUAWEI</v>
      </c>
      <c r="J141" s="25" t="str">
        <f>VLOOKUP(C141,'[1]1.CUADRO RESUMEN DE SITIOS '!$C$5:$L$1052,8,FALSE())</f>
        <v>NOROCCIDENTE</v>
      </c>
      <c r="K141" s="23" t="str">
        <f>VLOOKUP(C141,'[1]1.CUADRO RESUMEN DE SITIOS '!$C$5:$L$1052,9,FALSE())</f>
        <v>Alejandro Sanchez</v>
      </c>
      <c r="L141" s="26" t="str">
        <f>VLOOKUP(C141,'[1]1.CUADRO RESUMEN DE SITIOS '!$C$5:$L$1052,10,FALSE())</f>
        <v>Terminado</v>
      </c>
      <c r="M141" s="26">
        <v>8828119807</v>
      </c>
      <c r="N141" s="26">
        <f>VLOOKUP(M141,[1]LPU!$A$2:$G$1512,2,FALSE())</f>
        <v>2.0299999999999998</v>
      </c>
      <c r="O141" s="26" t="str">
        <f>VLOOKUP(M141,[1]LPU!$A$2:$G$1512,3,FALSE)</f>
        <v>Ajuste de tensión de riendas acorde con la norma EIA/TIA222F - EIA/TIA222G. Incluye todos los elementos y equipos necesarios para la realización. De acuerdo a la altura de la torre.</v>
      </c>
      <c r="P141" s="26" t="str">
        <f>VLOOKUP(M141,[1]LPU!$A$2:$G$1512,4,FALSE())</f>
        <v>Mantenimiento CW</v>
      </c>
      <c r="Q141" s="26" t="str">
        <f>VLOOKUP(M141,[1]LPU!$A$2:$G$1512,5,FALSE())</f>
        <v>UN</v>
      </c>
      <c r="R141" s="27">
        <f>VLOOKUP(M141,[1]LPU!$A$2:$G$1512,6,FALSE())</f>
        <v>318112.5</v>
      </c>
      <c r="S141" s="27" t="str">
        <f>VLOOKUP(M141,[1]LPU!$A$2:$G$1512,7,FALSE())</f>
        <v>Mantenimiento CW</v>
      </c>
      <c r="T141" s="28">
        <v>4</v>
      </c>
      <c r="U141" s="29">
        <f t="shared" si="3"/>
        <v>1272450</v>
      </c>
      <c r="V141" s="29" t="s">
        <v>47</v>
      </c>
      <c r="W141" s="30"/>
      <c r="X141" s="29" t="s">
        <v>38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ht="21" customHeight="1" x14ac:dyDescent="0.3">
      <c r="A142" s="22">
        <v>138</v>
      </c>
      <c r="B142" s="23">
        <v>1</v>
      </c>
      <c r="C142" s="23" t="s">
        <v>113</v>
      </c>
      <c r="D142" s="23" t="str">
        <f>VLOOKUP(C142,'[1]1.CUADRO RESUMEN DE SITIOS '!$C$5:$L$1052,2,FALSE())</f>
        <v>JANT_00278</v>
      </c>
      <c r="E142" s="24">
        <f>VLOOKUP(C142,'[1]1.CUADRO RESUMEN DE SITIOS '!$C$5:$L$1052,3,FALSE())</f>
        <v>46000</v>
      </c>
      <c r="F142" s="23">
        <f>VLOOKUP(C142,'[1]1.CUADRO RESUMEN DE SITIOS '!$C$5:$L$1052,4,FALSE())</f>
        <v>8.7429699999999997</v>
      </c>
      <c r="G142" s="23">
        <f>VLOOKUP(C142,'[1]1.CUADRO RESUMEN DE SITIOS '!$C$5:$L$1052,5,FALSE())</f>
        <v>-76.581199999999995</v>
      </c>
      <c r="H142" s="23" t="str">
        <f>VLOOKUP(C142,'[1]1.CUADRO RESUMEN DE SITIOS '!$C$5:$L$1052,6,FALSE())</f>
        <v>Antioquia</v>
      </c>
      <c r="I142" s="23" t="str">
        <f>VLOOKUP(C142,'[1]1.CUADRO RESUMEN DE SITIOS '!$C$5:$L$1052,7,FALSE())</f>
        <v>WOM-HUAWEI</v>
      </c>
      <c r="J142" s="25" t="str">
        <f>VLOOKUP(C142,'[1]1.CUADRO RESUMEN DE SITIOS '!$C$5:$L$1052,8,FALSE())</f>
        <v>NOROCCIDENTE</v>
      </c>
      <c r="K142" s="23" t="str">
        <f>VLOOKUP(C142,'[1]1.CUADRO RESUMEN DE SITIOS '!$C$5:$L$1052,9,FALSE())</f>
        <v>Alejandro Sanchez</v>
      </c>
      <c r="L142" s="26" t="str">
        <f>VLOOKUP(C142,'[1]1.CUADRO RESUMEN DE SITIOS '!$C$5:$L$1052,10,FALSE())</f>
        <v>Terminado</v>
      </c>
      <c r="M142" s="26">
        <v>8828119815</v>
      </c>
      <c r="N142" s="26">
        <f>VLOOKUP(M142,[1]LPU!$A$2:$G$1512,2,FALSE())</f>
        <v>2.04</v>
      </c>
      <c r="O142" s="26" t="str">
        <f>VLOOKUP(M142,[1]LPU!$A$2:$G$1512,3,FALSE)</f>
        <v>Torqueo tornillería torre acorde con la norma EIA/TIA222F - EIA/TIA222G. Incluye protocolo de torque, todos los elementos y equipos necesarios para la realización. De acuerdo a la altura de la torre</v>
      </c>
      <c r="P142" s="26" t="str">
        <f>VLOOKUP(M142,[1]LPU!$A$2:$G$1512,4,FALSE())</f>
        <v>Mantenimiento CW</v>
      </c>
      <c r="Q142" s="26" t="str">
        <f>VLOOKUP(M142,[1]LPU!$A$2:$G$1512,5,FALSE())</f>
        <v>UN</v>
      </c>
      <c r="R142" s="27">
        <f>VLOOKUP(M142,[1]LPU!$A$2:$G$1512,6,FALSE())</f>
        <v>1277092.7</v>
      </c>
      <c r="S142" s="27" t="str">
        <f>VLOOKUP(M142,[1]LPU!$A$2:$G$1512,7,FALSE())</f>
        <v>Mantenimiento CW</v>
      </c>
      <c r="T142" s="28">
        <v>1</v>
      </c>
      <c r="U142" s="29">
        <f t="shared" si="3"/>
        <v>1277092.7</v>
      </c>
      <c r="V142" s="29" t="s">
        <v>47</v>
      </c>
      <c r="W142" s="30"/>
      <c r="X142" s="29" t="s">
        <v>38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ht="21" customHeight="1" x14ac:dyDescent="0.3">
      <c r="A143" s="22">
        <v>139</v>
      </c>
      <c r="B143" s="23">
        <v>1</v>
      </c>
      <c r="C143" s="23" t="s">
        <v>113</v>
      </c>
      <c r="D143" s="23" t="str">
        <f>VLOOKUP(C143,'[1]1.CUADRO RESUMEN DE SITIOS '!$C$5:$L$1052,2,FALSE())</f>
        <v>JANT_00278</v>
      </c>
      <c r="E143" s="24">
        <f>VLOOKUP(C143,'[1]1.CUADRO RESUMEN DE SITIOS '!$C$5:$L$1052,3,FALSE())</f>
        <v>46000</v>
      </c>
      <c r="F143" s="23">
        <f>VLOOKUP(C143,'[1]1.CUADRO RESUMEN DE SITIOS '!$C$5:$L$1052,4,FALSE())</f>
        <v>8.7429699999999997</v>
      </c>
      <c r="G143" s="23">
        <f>VLOOKUP(C143,'[1]1.CUADRO RESUMEN DE SITIOS '!$C$5:$L$1052,5,FALSE())</f>
        <v>-76.581199999999995</v>
      </c>
      <c r="H143" s="23" t="str">
        <f>VLOOKUP(C143,'[1]1.CUADRO RESUMEN DE SITIOS '!$C$5:$L$1052,6,FALSE())</f>
        <v>Antioquia</v>
      </c>
      <c r="I143" s="23" t="str">
        <f>VLOOKUP(C143,'[1]1.CUADRO RESUMEN DE SITIOS '!$C$5:$L$1052,7,FALSE())</f>
        <v>WOM-HUAWEI</v>
      </c>
      <c r="J143" s="25" t="str">
        <f>VLOOKUP(C143,'[1]1.CUADRO RESUMEN DE SITIOS '!$C$5:$L$1052,8,FALSE())</f>
        <v>NOROCCIDENTE</v>
      </c>
      <c r="K143" s="23" t="str">
        <f>VLOOKUP(C143,'[1]1.CUADRO RESUMEN DE SITIOS '!$C$5:$L$1052,9,FALSE())</f>
        <v>Alejandro Sanchez</v>
      </c>
      <c r="L143" s="26" t="str">
        <f>VLOOKUP(C143,'[1]1.CUADRO RESUMEN DE SITIOS '!$C$5:$L$1052,10,FALSE())</f>
        <v>Terminado</v>
      </c>
      <c r="M143" s="26">
        <v>8828120281</v>
      </c>
      <c r="N143" s="26">
        <f>VLOOKUP(M143,[1]LPU!$A$2:$G$1512,2,FALSE())</f>
        <v>5.24</v>
      </c>
      <c r="O143" s="26" t="str">
        <f>VLOOKUP(M143,[1]LPU!$A$2:$G$1512,3,FALSE)</f>
        <v>Cambio de perros de sujeción para riendas de guaya 1/2" galvanizado. Incluye suministro e instalación.</v>
      </c>
      <c r="P143" s="26" t="str">
        <f>VLOOKUP(M143,[1]LPU!$A$2:$G$1512,4,FALSE())</f>
        <v>Mantenimiento CW</v>
      </c>
      <c r="Q143" s="26" t="str">
        <f>VLOOKUP(M143,[1]LPU!$A$2:$G$1512,5,FALSE())</f>
        <v>UND</v>
      </c>
      <c r="R143" s="27">
        <f>VLOOKUP(M143,[1]LPU!$A$2:$G$1512,6,FALSE())</f>
        <v>20898.099999999999</v>
      </c>
      <c r="S143" s="27" t="str">
        <f>VLOOKUP(M143,[1]LPU!$A$2:$G$1512,7,FALSE())</f>
        <v>Mantenimiento CW</v>
      </c>
      <c r="T143" s="28">
        <v>144</v>
      </c>
      <c r="U143" s="29">
        <f t="shared" si="3"/>
        <v>3009326.4</v>
      </c>
      <c r="V143" s="29" t="s">
        <v>47</v>
      </c>
      <c r="W143" s="30"/>
      <c r="X143" s="29" t="s">
        <v>38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ht="21" customHeight="1" x14ac:dyDescent="0.3">
      <c r="A144" s="22">
        <v>140</v>
      </c>
      <c r="B144" s="23">
        <v>1</v>
      </c>
      <c r="C144" s="23" t="s">
        <v>113</v>
      </c>
      <c r="D144" s="23" t="str">
        <f>VLOOKUP(C144,'[1]1.CUADRO RESUMEN DE SITIOS '!$C$5:$L$1052,2,FALSE())</f>
        <v>JANT_00278</v>
      </c>
      <c r="E144" s="24">
        <f>VLOOKUP(C144,'[1]1.CUADRO RESUMEN DE SITIOS '!$C$5:$L$1052,3,FALSE())</f>
        <v>46000</v>
      </c>
      <c r="F144" s="23">
        <f>VLOOKUP(C144,'[1]1.CUADRO RESUMEN DE SITIOS '!$C$5:$L$1052,4,FALSE())</f>
        <v>8.7429699999999997</v>
      </c>
      <c r="G144" s="23">
        <f>VLOOKUP(C144,'[1]1.CUADRO RESUMEN DE SITIOS '!$C$5:$L$1052,5,FALSE())</f>
        <v>-76.581199999999995</v>
      </c>
      <c r="H144" s="23" t="str">
        <f>VLOOKUP(C144,'[1]1.CUADRO RESUMEN DE SITIOS '!$C$5:$L$1052,6,FALSE())</f>
        <v>Antioquia</v>
      </c>
      <c r="I144" s="23" t="str">
        <f>VLOOKUP(C144,'[1]1.CUADRO RESUMEN DE SITIOS '!$C$5:$L$1052,7,FALSE())</f>
        <v>WOM-HUAWEI</v>
      </c>
      <c r="J144" s="25" t="str">
        <f>VLOOKUP(C144,'[1]1.CUADRO RESUMEN DE SITIOS '!$C$5:$L$1052,8,FALSE())</f>
        <v>NOROCCIDENTE</v>
      </c>
      <c r="K144" s="23" t="str">
        <f>VLOOKUP(C144,'[1]1.CUADRO RESUMEN DE SITIOS '!$C$5:$L$1052,9,FALSE())</f>
        <v>Alejandro Sanchez</v>
      </c>
      <c r="L144" s="26" t="str">
        <f>VLOOKUP(C144,'[1]1.CUADRO RESUMEN DE SITIOS '!$C$5:$L$1052,10,FALSE())</f>
        <v>Terminado</v>
      </c>
      <c r="M144" s="26">
        <v>8828119941</v>
      </c>
      <c r="N144" s="26">
        <f>VLOOKUP(M144,[1]LPU!$A$2:$G$1512,2,FALSE())</f>
        <v>165</v>
      </c>
      <c r="O144" s="26" t="str">
        <f>VLOOKUP(M144,[1]LPU!$A$2:$G$1512,3,FALSE)</f>
        <v>Transporte tipo C, zona de dificil acceso</v>
      </c>
      <c r="P144" s="26" t="str">
        <f>VLOOKUP(M144,[1]LPU!$A$2:$G$1512,4,FALSE())</f>
        <v>LOCATIVO</v>
      </c>
      <c r="Q144" s="26" t="str">
        <f>VLOOKUP(M144,[1]LPU!$A$2:$G$1512,5,FALSE())</f>
        <v>Global</v>
      </c>
      <c r="R144" s="27">
        <f>VLOOKUP(M144,[1]LPU!$A$2:$G$1512,6,FALSE())</f>
        <v>388801.05</v>
      </c>
      <c r="S144" s="27" t="str">
        <f>VLOOKUP(M144,[1]LPU!$A$2:$G$1512,7,FALSE())</f>
        <v>LPU FLM</v>
      </c>
      <c r="T144" s="28">
        <v>1</v>
      </c>
      <c r="U144" s="29">
        <f t="shared" si="3"/>
        <v>388801.05</v>
      </c>
      <c r="V144" s="29" t="s">
        <v>47</v>
      </c>
      <c r="W144" s="30"/>
      <c r="X144" s="29" t="s">
        <v>38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ht="21" customHeight="1" x14ac:dyDescent="0.3">
      <c r="A145" s="22">
        <v>141</v>
      </c>
      <c r="B145" s="23">
        <v>1</v>
      </c>
      <c r="C145" s="23" t="s">
        <v>114</v>
      </c>
      <c r="D145" s="23" t="str">
        <f>VLOOKUP(C145,'[1]1.CUADRO RESUMEN DE SITIOS '!$C$5:$L$1052,2,FALSE())</f>
        <v>JCOR_00247</v>
      </c>
      <c r="E145" s="24">
        <f>VLOOKUP(C145,'[1]1.CUADRO RESUMEN DE SITIOS '!$C$5:$L$1052,3,FALSE())</f>
        <v>46003</v>
      </c>
      <c r="F145" s="23">
        <f>VLOOKUP(C145,'[1]1.CUADRO RESUMEN DE SITIOS '!$C$5:$L$1052,4,FALSE())</f>
        <v>9.0534199999999991</v>
      </c>
      <c r="G145" s="23">
        <f>VLOOKUP(C145,'[1]1.CUADRO RESUMEN DE SITIOS '!$C$5:$L$1052,5,FALSE())</f>
        <v>-75.245099999999994</v>
      </c>
      <c r="H145" s="23" t="str">
        <f>VLOOKUP(C145,'[1]1.CUADRO RESUMEN DE SITIOS '!$C$5:$L$1052,6,FALSE())</f>
        <v>Córdoba</v>
      </c>
      <c r="I145" s="23" t="str">
        <f>VLOOKUP(C145,'[1]1.CUADRO RESUMEN DE SITIOS '!$C$5:$L$1052,7,FALSE())</f>
        <v>WOM-HUAWEI</v>
      </c>
      <c r="J145" s="25" t="str">
        <f>VLOOKUP(C145,'[1]1.CUADRO RESUMEN DE SITIOS '!$C$5:$L$1052,8,FALSE())</f>
        <v>COSTA</v>
      </c>
      <c r="K145" s="23" t="str">
        <f>VLOOKUP(C145,'[1]1.CUADRO RESUMEN DE SITIOS '!$C$5:$L$1052,9,FALSE())</f>
        <v>Cesar Osorio</v>
      </c>
      <c r="L145" s="26" t="str">
        <f>VLOOKUP(C145,'[1]1.CUADRO RESUMEN DE SITIOS '!$C$5:$L$1052,10,FALSE())</f>
        <v>Terminado</v>
      </c>
      <c r="M145" s="26">
        <v>8828119788</v>
      </c>
      <c r="N145" s="26">
        <f>VLOOKUP(M145,[1]LPU!$A$2:$G$1512,2,FALSE())</f>
        <v>2.02</v>
      </c>
      <c r="O145" s="26" t="str">
        <f>VLOOKUP(M145,[1]LPU!$A$2:$G$1512,3,FALSE)</f>
        <v>Protocolo de verticalidad torre hasta 100 m de altura, Incluye protocolo previo y posterior a la actividad a realizar. Incluye documentación e informe de protocolo.</v>
      </c>
      <c r="P145" s="26" t="str">
        <f>VLOOKUP(M145,[1]LPU!$A$2:$G$1512,4,FALSE())</f>
        <v>Mantenimiento CW</v>
      </c>
      <c r="Q145" s="26" t="str">
        <f>VLOOKUP(M145,[1]LPU!$A$2:$G$1512,5,FALSE())</f>
        <v>GL</v>
      </c>
      <c r="R145" s="27">
        <f>VLOOKUP(M145,[1]LPU!$A$2:$G$1512,6,FALSE())</f>
        <v>974025.2</v>
      </c>
      <c r="S145" s="27" t="str">
        <f>VLOOKUP(M145,[1]LPU!$A$2:$G$1512,7,FALSE())</f>
        <v>Mantenimiento CW</v>
      </c>
      <c r="T145" s="28">
        <v>1</v>
      </c>
      <c r="U145" s="29">
        <f t="shared" si="3"/>
        <v>974025.2</v>
      </c>
      <c r="V145" s="29" t="s">
        <v>47</v>
      </c>
      <c r="W145" s="30"/>
      <c r="X145" s="29" t="s">
        <v>38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ht="21" customHeight="1" x14ac:dyDescent="0.3">
      <c r="A146" s="22">
        <v>142</v>
      </c>
      <c r="B146" s="23">
        <v>1</v>
      </c>
      <c r="C146" s="23" t="s">
        <v>114</v>
      </c>
      <c r="D146" s="23" t="str">
        <f>VLOOKUP(C146,'[1]1.CUADRO RESUMEN DE SITIOS '!$C$5:$L$1052,2,FALSE())</f>
        <v>JCOR_00247</v>
      </c>
      <c r="E146" s="24">
        <f>VLOOKUP(C146,'[1]1.CUADRO RESUMEN DE SITIOS '!$C$5:$L$1052,3,FALSE())</f>
        <v>46003</v>
      </c>
      <c r="F146" s="23">
        <f>VLOOKUP(C146,'[1]1.CUADRO RESUMEN DE SITIOS '!$C$5:$L$1052,4,FALSE())</f>
        <v>9.0534199999999991</v>
      </c>
      <c r="G146" s="23">
        <f>VLOOKUP(C146,'[1]1.CUADRO RESUMEN DE SITIOS '!$C$5:$L$1052,5,FALSE())</f>
        <v>-75.245099999999994</v>
      </c>
      <c r="H146" s="23" t="str">
        <f>VLOOKUP(C146,'[1]1.CUADRO RESUMEN DE SITIOS '!$C$5:$L$1052,6,FALSE())</f>
        <v>Córdoba</v>
      </c>
      <c r="I146" s="23" t="str">
        <f>VLOOKUP(C146,'[1]1.CUADRO RESUMEN DE SITIOS '!$C$5:$L$1052,7,FALSE())</f>
        <v>WOM-HUAWEI</v>
      </c>
      <c r="J146" s="25" t="str">
        <f>VLOOKUP(C146,'[1]1.CUADRO RESUMEN DE SITIOS '!$C$5:$L$1052,8,FALSE())</f>
        <v>COSTA</v>
      </c>
      <c r="K146" s="23" t="str">
        <f>VLOOKUP(C146,'[1]1.CUADRO RESUMEN DE SITIOS '!$C$5:$L$1052,9,FALSE())</f>
        <v>Cesar Osorio</v>
      </c>
      <c r="L146" s="26" t="str">
        <f>VLOOKUP(C146,'[1]1.CUADRO RESUMEN DE SITIOS '!$C$5:$L$1052,10,FALSE())</f>
        <v>Terminado</v>
      </c>
      <c r="M146" s="26">
        <v>8828119807</v>
      </c>
      <c r="N146" s="26">
        <f>VLOOKUP(M146,[1]LPU!$A$2:$G$1512,2,FALSE())</f>
        <v>2.0299999999999998</v>
      </c>
      <c r="O146" s="26" t="str">
        <f>VLOOKUP(M146,[1]LPU!$A$2:$G$1512,3,FALSE)</f>
        <v>Ajuste de tensión de riendas acorde con la norma EIA/TIA222F - EIA/TIA222G. Incluye todos los elementos y equipos necesarios para la realización. De acuerdo a la altura de la torre.</v>
      </c>
      <c r="P146" s="26" t="str">
        <f>VLOOKUP(M146,[1]LPU!$A$2:$G$1512,4,FALSE())</f>
        <v>Mantenimiento CW</v>
      </c>
      <c r="Q146" s="26" t="str">
        <f>VLOOKUP(M146,[1]LPU!$A$2:$G$1512,5,FALSE())</f>
        <v>UN</v>
      </c>
      <c r="R146" s="27">
        <f>VLOOKUP(M146,[1]LPU!$A$2:$G$1512,6,FALSE())</f>
        <v>318112.5</v>
      </c>
      <c r="S146" s="27" t="str">
        <f>VLOOKUP(M146,[1]LPU!$A$2:$G$1512,7,FALSE())</f>
        <v>Mantenimiento CW</v>
      </c>
      <c r="T146" s="28">
        <v>4</v>
      </c>
      <c r="U146" s="29">
        <f t="shared" si="3"/>
        <v>1272450</v>
      </c>
      <c r="V146" s="29" t="s">
        <v>47</v>
      </c>
      <c r="W146" s="30"/>
      <c r="X146" s="29" t="s">
        <v>38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ht="21" customHeight="1" x14ac:dyDescent="0.3">
      <c r="A147" s="22">
        <v>143</v>
      </c>
      <c r="B147" s="23">
        <v>1</v>
      </c>
      <c r="C147" s="23" t="s">
        <v>114</v>
      </c>
      <c r="D147" s="23" t="str">
        <f>VLOOKUP(C147,'[1]1.CUADRO RESUMEN DE SITIOS '!$C$5:$L$1052,2,FALSE())</f>
        <v>JCOR_00247</v>
      </c>
      <c r="E147" s="24">
        <f>VLOOKUP(C147,'[1]1.CUADRO RESUMEN DE SITIOS '!$C$5:$L$1052,3,FALSE())</f>
        <v>46003</v>
      </c>
      <c r="F147" s="23">
        <f>VLOOKUP(C147,'[1]1.CUADRO RESUMEN DE SITIOS '!$C$5:$L$1052,4,FALSE())</f>
        <v>9.0534199999999991</v>
      </c>
      <c r="G147" s="23">
        <f>VLOOKUP(C147,'[1]1.CUADRO RESUMEN DE SITIOS '!$C$5:$L$1052,5,FALSE())</f>
        <v>-75.245099999999994</v>
      </c>
      <c r="H147" s="23" t="str">
        <f>VLOOKUP(C147,'[1]1.CUADRO RESUMEN DE SITIOS '!$C$5:$L$1052,6,FALSE())</f>
        <v>Córdoba</v>
      </c>
      <c r="I147" s="23" t="str">
        <f>VLOOKUP(C147,'[1]1.CUADRO RESUMEN DE SITIOS '!$C$5:$L$1052,7,FALSE())</f>
        <v>WOM-HUAWEI</v>
      </c>
      <c r="J147" s="25" t="str">
        <f>VLOOKUP(C147,'[1]1.CUADRO RESUMEN DE SITIOS '!$C$5:$L$1052,8,FALSE())</f>
        <v>COSTA</v>
      </c>
      <c r="K147" s="23" t="str">
        <f>VLOOKUP(C147,'[1]1.CUADRO RESUMEN DE SITIOS '!$C$5:$L$1052,9,FALSE())</f>
        <v>Cesar Osorio</v>
      </c>
      <c r="L147" s="26" t="str">
        <f>VLOOKUP(C147,'[1]1.CUADRO RESUMEN DE SITIOS '!$C$5:$L$1052,10,FALSE())</f>
        <v>Terminado</v>
      </c>
      <c r="M147" s="26">
        <v>8828119815</v>
      </c>
      <c r="N147" s="26">
        <f>VLOOKUP(M147,[1]LPU!$A$2:$G$1512,2,FALSE())</f>
        <v>2.04</v>
      </c>
      <c r="O147" s="26" t="str">
        <f>VLOOKUP(M147,[1]LPU!$A$2:$G$1512,3,FALSE)</f>
        <v>Torqueo tornillería torre acorde con la norma EIA/TIA222F - EIA/TIA222G. Incluye protocolo de torque, todos los elementos y equipos necesarios para la realización. De acuerdo a la altura de la torre</v>
      </c>
      <c r="P147" s="26" t="str">
        <f>VLOOKUP(M147,[1]LPU!$A$2:$G$1512,4,FALSE())</f>
        <v>Mantenimiento CW</v>
      </c>
      <c r="Q147" s="26" t="str">
        <f>VLOOKUP(M147,[1]LPU!$A$2:$G$1512,5,FALSE())</f>
        <v>UN</v>
      </c>
      <c r="R147" s="27">
        <f>VLOOKUP(M147,[1]LPU!$A$2:$G$1512,6,FALSE())</f>
        <v>1277092.7</v>
      </c>
      <c r="S147" s="27" t="str">
        <f>VLOOKUP(M147,[1]LPU!$A$2:$G$1512,7,FALSE())</f>
        <v>Mantenimiento CW</v>
      </c>
      <c r="T147" s="28">
        <v>1</v>
      </c>
      <c r="U147" s="29">
        <f t="shared" si="3"/>
        <v>1277092.7</v>
      </c>
      <c r="V147" s="29" t="s">
        <v>47</v>
      </c>
      <c r="W147" s="30"/>
      <c r="X147" s="29" t="s">
        <v>38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ht="21" customHeight="1" x14ac:dyDescent="0.3">
      <c r="A148" s="22">
        <v>144</v>
      </c>
      <c r="B148" s="23">
        <v>1</v>
      </c>
      <c r="C148" s="23" t="s">
        <v>114</v>
      </c>
      <c r="D148" s="23" t="str">
        <f>VLOOKUP(C148,'[1]1.CUADRO RESUMEN DE SITIOS '!$C$5:$L$1052,2,FALSE())</f>
        <v>JCOR_00247</v>
      </c>
      <c r="E148" s="24">
        <f>VLOOKUP(C148,'[1]1.CUADRO RESUMEN DE SITIOS '!$C$5:$L$1052,3,FALSE())</f>
        <v>46003</v>
      </c>
      <c r="F148" s="23">
        <f>VLOOKUP(C148,'[1]1.CUADRO RESUMEN DE SITIOS '!$C$5:$L$1052,4,FALSE())</f>
        <v>9.0534199999999991</v>
      </c>
      <c r="G148" s="23">
        <f>VLOOKUP(C148,'[1]1.CUADRO RESUMEN DE SITIOS '!$C$5:$L$1052,5,FALSE())</f>
        <v>-75.245099999999994</v>
      </c>
      <c r="H148" s="23" t="str">
        <f>VLOOKUP(C148,'[1]1.CUADRO RESUMEN DE SITIOS '!$C$5:$L$1052,6,FALSE())</f>
        <v>Córdoba</v>
      </c>
      <c r="I148" s="23" t="str">
        <f>VLOOKUP(C148,'[1]1.CUADRO RESUMEN DE SITIOS '!$C$5:$L$1052,7,FALSE())</f>
        <v>WOM-HUAWEI</v>
      </c>
      <c r="J148" s="25" t="str">
        <f>VLOOKUP(C148,'[1]1.CUADRO RESUMEN DE SITIOS '!$C$5:$L$1052,8,FALSE())</f>
        <v>COSTA</v>
      </c>
      <c r="K148" s="23" t="str">
        <f>VLOOKUP(C148,'[1]1.CUADRO RESUMEN DE SITIOS '!$C$5:$L$1052,9,FALSE())</f>
        <v>Cesar Osorio</v>
      </c>
      <c r="L148" s="26" t="str">
        <f>VLOOKUP(C148,'[1]1.CUADRO RESUMEN DE SITIOS '!$C$5:$L$1052,10,FALSE())</f>
        <v>Terminado</v>
      </c>
      <c r="M148" s="26">
        <v>8828120281</v>
      </c>
      <c r="N148" s="26">
        <f>VLOOKUP(M148,[1]LPU!$A$2:$G$1512,2,FALSE())</f>
        <v>5.24</v>
      </c>
      <c r="O148" s="26" t="str">
        <f>VLOOKUP(M148,[1]LPU!$A$2:$G$1512,3,FALSE)</f>
        <v>Cambio de perros de sujeción para riendas de guaya 1/2" galvanizado. Incluye suministro e instalación.</v>
      </c>
      <c r="P148" s="26" t="str">
        <f>VLOOKUP(M148,[1]LPU!$A$2:$G$1512,4,FALSE())</f>
        <v>Mantenimiento CW</v>
      </c>
      <c r="Q148" s="26" t="str">
        <f>VLOOKUP(M148,[1]LPU!$A$2:$G$1512,5,FALSE())</f>
        <v>UND</v>
      </c>
      <c r="R148" s="27">
        <f>VLOOKUP(M148,[1]LPU!$A$2:$G$1512,6,FALSE())</f>
        <v>20898.099999999999</v>
      </c>
      <c r="S148" s="27" t="str">
        <f>VLOOKUP(M148,[1]LPU!$A$2:$G$1512,7,FALSE())</f>
        <v>Mantenimiento CW</v>
      </c>
      <c r="T148" s="28">
        <v>108</v>
      </c>
      <c r="U148" s="29">
        <f t="shared" si="3"/>
        <v>2256994.7999999998</v>
      </c>
      <c r="V148" s="29" t="s">
        <v>47</v>
      </c>
      <c r="W148" s="30"/>
      <c r="X148" s="29" t="s">
        <v>38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ht="21" customHeight="1" x14ac:dyDescent="0.3">
      <c r="A149" s="22">
        <v>145</v>
      </c>
      <c r="B149" s="23">
        <v>1</v>
      </c>
      <c r="C149" s="23" t="s">
        <v>114</v>
      </c>
      <c r="D149" s="23" t="str">
        <f>VLOOKUP(C149,'[1]1.CUADRO RESUMEN DE SITIOS '!$C$5:$L$1052,2,FALSE())</f>
        <v>JCOR_00247</v>
      </c>
      <c r="E149" s="24">
        <f>VLOOKUP(C149,'[1]1.CUADRO RESUMEN DE SITIOS '!$C$5:$L$1052,3,FALSE())</f>
        <v>46003</v>
      </c>
      <c r="F149" s="23">
        <f>VLOOKUP(C149,'[1]1.CUADRO RESUMEN DE SITIOS '!$C$5:$L$1052,4,FALSE())</f>
        <v>9.0534199999999991</v>
      </c>
      <c r="G149" s="23">
        <f>VLOOKUP(C149,'[1]1.CUADRO RESUMEN DE SITIOS '!$C$5:$L$1052,5,FALSE())</f>
        <v>-75.245099999999994</v>
      </c>
      <c r="H149" s="23" t="str">
        <f>VLOOKUP(C149,'[1]1.CUADRO RESUMEN DE SITIOS '!$C$5:$L$1052,6,FALSE())</f>
        <v>Córdoba</v>
      </c>
      <c r="I149" s="23" t="str">
        <f>VLOOKUP(C149,'[1]1.CUADRO RESUMEN DE SITIOS '!$C$5:$L$1052,7,FALSE())</f>
        <v>WOM-HUAWEI</v>
      </c>
      <c r="J149" s="25" t="str">
        <f>VLOOKUP(C149,'[1]1.CUADRO RESUMEN DE SITIOS '!$C$5:$L$1052,8,FALSE())</f>
        <v>COSTA</v>
      </c>
      <c r="K149" s="23" t="str">
        <f>VLOOKUP(C149,'[1]1.CUADRO RESUMEN DE SITIOS '!$C$5:$L$1052,9,FALSE())</f>
        <v>Cesar Osorio</v>
      </c>
      <c r="L149" s="26" t="str">
        <f>VLOOKUP(C149,'[1]1.CUADRO RESUMEN DE SITIOS '!$C$5:$L$1052,10,FALSE())</f>
        <v>Terminado</v>
      </c>
      <c r="M149" s="26">
        <v>8828119941</v>
      </c>
      <c r="N149" s="26">
        <f>VLOOKUP(M149,[1]LPU!$A$2:$G$1512,2,FALSE())</f>
        <v>165</v>
      </c>
      <c r="O149" s="26" t="str">
        <f>VLOOKUP(M149,[1]LPU!$A$2:$G$1512,3,FALSE)</f>
        <v>Transporte tipo C, zona de dificil acceso</v>
      </c>
      <c r="P149" s="26" t="str">
        <f>VLOOKUP(M149,[1]LPU!$A$2:$G$1512,4,FALSE())</f>
        <v>LOCATIVO</v>
      </c>
      <c r="Q149" s="26" t="str">
        <f>VLOOKUP(M149,[1]LPU!$A$2:$G$1512,5,FALSE())</f>
        <v>Global</v>
      </c>
      <c r="R149" s="27">
        <f>VLOOKUP(M149,[1]LPU!$A$2:$G$1512,6,FALSE())</f>
        <v>388801.05</v>
      </c>
      <c r="S149" s="27" t="str">
        <f>VLOOKUP(M149,[1]LPU!$A$2:$G$1512,7,FALSE())</f>
        <v>LPU FLM</v>
      </c>
      <c r="T149" s="28">
        <v>1</v>
      </c>
      <c r="U149" s="29">
        <f t="shared" si="3"/>
        <v>388801.05</v>
      </c>
      <c r="V149" s="29" t="s">
        <v>47</v>
      </c>
      <c r="W149" s="30"/>
      <c r="X149" s="29" t="s">
        <v>38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ht="21" customHeight="1" x14ac:dyDescent="0.3">
      <c r="A150" s="22">
        <v>146</v>
      </c>
      <c r="B150" s="23">
        <v>1</v>
      </c>
      <c r="C150" s="23" t="s">
        <v>115</v>
      </c>
      <c r="D150" s="23" t="str">
        <f>VLOOKUP(C150,'[1]1.CUADRO RESUMEN DE SITIOS '!$C$5:$L$1052,2,FALSE())</f>
        <v>JCOR_00242</v>
      </c>
      <c r="E150" s="24">
        <f>VLOOKUP(C150,'[1]1.CUADRO RESUMEN DE SITIOS '!$C$5:$L$1052,3,FALSE())</f>
        <v>46001</v>
      </c>
      <c r="F150" s="23">
        <f>VLOOKUP(C150,'[1]1.CUADRO RESUMEN DE SITIOS '!$C$5:$L$1052,4,FALSE())</f>
        <v>8.8342200000000002</v>
      </c>
      <c r="G150" s="23">
        <f>VLOOKUP(C150,'[1]1.CUADRO RESUMEN DE SITIOS '!$C$5:$L$1052,5,FALSE())</f>
        <v>-75.575879999999998</v>
      </c>
      <c r="H150" s="23" t="str">
        <f>VLOOKUP(C150,'[1]1.CUADRO RESUMEN DE SITIOS '!$C$5:$L$1052,6,FALSE())</f>
        <v>Córdoba</v>
      </c>
      <c r="I150" s="23" t="str">
        <f>VLOOKUP(C150,'[1]1.CUADRO RESUMEN DE SITIOS '!$C$5:$L$1052,7,FALSE())</f>
        <v>WOM-HUAWEI</v>
      </c>
      <c r="J150" s="25" t="str">
        <f>VLOOKUP(C150,'[1]1.CUADRO RESUMEN DE SITIOS '!$C$5:$L$1052,8,FALSE())</f>
        <v>COSTA</v>
      </c>
      <c r="K150" s="23" t="str">
        <f>VLOOKUP(C150,'[1]1.CUADRO RESUMEN DE SITIOS '!$C$5:$L$1052,9,FALSE())</f>
        <v>Cesar Osorio</v>
      </c>
      <c r="L150" s="26" t="str">
        <f>VLOOKUP(C150,'[1]1.CUADRO RESUMEN DE SITIOS '!$C$5:$L$1052,10,FALSE())</f>
        <v>Terminado</v>
      </c>
      <c r="M150" s="26">
        <v>8828119788</v>
      </c>
      <c r="N150" s="26">
        <f>VLOOKUP(M150,[1]LPU!$A$2:$G$1512,2,FALSE())</f>
        <v>2.02</v>
      </c>
      <c r="O150" s="26" t="str">
        <f>VLOOKUP(M150,[1]LPU!$A$2:$G$1512,3,FALSE)</f>
        <v>Protocolo de verticalidad torre hasta 100 m de altura, Incluye protocolo previo y posterior a la actividad a realizar. Incluye documentación e informe de protocolo.</v>
      </c>
      <c r="P150" s="26" t="str">
        <f>VLOOKUP(M150,[1]LPU!$A$2:$G$1512,4,FALSE())</f>
        <v>Mantenimiento CW</v>
      </c>
      <c r="Q150" s="26" t="str">
        <f>VLOOKUP(M150,[1]LPU!$A$2:$G$1512,5,FALSE())</f>
        <v>GL</v>
      </c>
      <c r="R150" s="27">
        <f>VLOOKUP(M150,[1]LPU!$A$2:$G$1512,6,FALSE())</f>
        <v>974025.2</v>
      </c>
      <c r="S150" s="27" t="str">
        <f>VLOOKUP(M150,[1]LPU!$A$2:$G$1512,7,FALSE())</f>
        <v>Mantenimiento CW</v>
      </c>
      <c r="T150" s="28">
        <v>1</v>
      </c>
      <c r="U150" s="29">
        <f t="shared" si="3"/>
        <v>974025.2</v>
      </c>
      <c r="V150" s="29" t="s">
        <v>47</v>
      </c>
      <c r="W150" s="30"/>
      <c r="X150" s="29" t="s">
        <v>38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ht="21" customHeight="1" x14ac:dyDescent="0.3">
      <c r="A151" s="22">
        <v>147</v>
      </c>
      <c r="B151" s="23">
        <v>1</v>
      </c>
      <c r="C151" s="23" t="s">
        <v>115</v>
      </c>
      <c r="D151" s="23" t="str">
        <f>VLOOKUP(C151,'[1]1.CUADRO RESUMEN DE SITIOS '!$C$5:$L$1052,2,FALSE())</f>
        <v>JCOR_00242</v>
      </c>
      <c r="E151" s="24">
        <f>VLOOKUP(C151,'[1]1.CUADRO RESUMEN DE SITIOS '!$C$5:$L$1052,3,FALSE())</f>
        <v>46001</v>
      </c>
      <c r="F151" s="23">
        <f>VLOOKUP(C151,'[1]1.CUADRO RESUMEN DE SITIOS '!$C$5:$L$1052,4,FALSE())</f>
        <v>8.8342200000000002</v>
      </c>
      <c r="G151" s="23">
        <f>VLOOKUP(C151,'[1]1.CUADRO RESUMEN DE SITIOS '!$C$5:$L$1052,5,FALSE())</f>
        <v>-75.575879999999998</v>
      </c>
      <c r="H151" s="23" t="str">
        <f>VLOOKUP(C151,'[1]1.CUADRO RESUMEN DE SITIOS '!$C$5:$L$1052,6,FALSE())</f>
        <v>Córdoba</v>
      </c>
      <c r="I151" s="23" t="str">
        <f>VLOOKUP(C151,'[1]1.CUADRO RESUMEN DE SITIOS '!$C$5:$L$1052,7,FALSE())</f>
        <v>WOM-HUAWEI</v>
      </c>
      <c r="J151" s="25" t="str">
        <f>VLOOKUP(C151,'[1]1.CUADRO RESUMEN DE SITIOS '!$C$5:$L$1052,8,FALSE())</f>
        <v>COSTA</v>
      </c>
      <c r="K151" s="23" t="str">
        <f>VLOOKUP(C151,'[1]1.CUADRO RESUMEN DE SITIOS '!$C$5:$L$1052,9,FALSE())</f>
        <v>Cesar Osorio</v>
      </c>
      <c r="L151" s="26" t="str">
        <f>VLOOKUP(C151,'[1]1.CUADRO RESUMEN DE SITIOS '!$C$5:$L$1052,10,FALSE())</f>
        <v>Terminado</v>
      </c>
      <c r="M151" s="26">
        <v>8828119807</v>
      </c>
      <c r="N151" s="26">
        <f>VLOOKUP(M151,[1]LPU!$A$2:$G$1512,2,FALSE())</f>
        <v>2.0299999999999998</v>
      </c>
      <c r="O151" s="26" t="str">
        <f>VLOOKUP(M151,[1]LPU!$A$2:$G$1512,3,FALSE)</f>
        <v>Ajuste de tensión de riendas acorde con la norma EIA/TIA222F - EIA/TIA222G. Incluye todos los elementos y equipos necesarios para la realización. De acuerdo a la altura de la torre.</v>
      </c>
      <c r="P151" s="26" t="str">
        <f>VLOOKUP(M151,[1]LPU!$A$2:$G$1512,4,FALSE())</f>
        <v>Mantenimiento CW</v>
      </c>
      <c r="Q151" s="26" t="str">
        <f>VLOOKUP(M151,[1]LPU!$A$2:$G$1512,5,FALSE())</f>
        <v>UN</v>
      </c>
      <c r="R151" s="27">
        <f>VLOOKUP(M151,[1]LPU!$A$2:$G$1512,6,FALSE())</f>
        <v>318112.5</v>
      </c>
      <c r="S151" s="27" t="str">
        <f>VLOOKUP(M151,[1]LPU!$A$2:$G$1512,7,FALSE())</f>
        <v>Mantenimiento CW</v>
      </c>
      <c r="T151" s="28">
        <v>4</v>
      </c>
      <c r="U151" s="29">
        <f t="shared" si="3"/>
        <v>1272450</v>
      </c>
      <c r="V151" s="29" t="s">
        <v>47</v>
      </c>
      <c r="W151" s="30"/>
      <c r="X151" s="29" t="s">
        <v>38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ht="21" customHeight="1" x14ac:dyDescent="0.3">
      <c r="A152" s="22">
        <v>148</v>
      </c>
      <c r="B152" s="23">
        <v>1</v>
      </c>
      <c r="C152" s="23" t="s">
        <v>115</v>
      </c>
      <c r="D152" s="23" t="str">
        <f>VLOOKUP(C152,'[1]1.CUADRO RESUMEN DE SITIOS '!$C$5:$L$1052,2,FALSE())</f>
        <v>JCOR_00242</v>
      </c>
      <c r="E152" s="24">
        <f>VLOOKUP(C152,'[1]1.CUADRO RESUMEN DE SITIOS '!$C$5:$L$1052,3,FALSE())</f>
        <v>46001</v>
      </c>
      <c r="F152" s="23">
        <f>VLOOKUP(C152,'[1]1.CUADRO RESUMEN DE SITIOS '!$C$5:$L$1052,4,FALSE())</f>
        <v>8.8342200000000002</v>
      </c>
      <c r="G152" s="23">
        <f>VLOOKUP(C152,'[1]1.CUADRO RESUMEN DE SITIOS '!$C$5:$L$1052,5,FALSE())</f>
        <v>-75.575879999999998</v>
      </c>
      <c r="H152" s="23" t="str">
        <f>VLOOKUP(C152,'[1]1.CUADRO RESUMEN DE SITIOS '!$C$5:$L$1052,6,FALSE())</f>
        <v>Córdoba</v>
      </c>
      <c r="I152" s="23" t="str">
        <f>VLOOKUP(C152,'[1]1.CUADRO RESUMEN DE SITIOS '!$C$5:$L$1052,7,FALSE())</f>
        <v>WOM-HUAWEI</v>
      </c>
      <c r="J152" s="25" t="str">
        <f>VLOOKUP(C152,'[1]1.CUADRO RESUMEN DE SITIOS '!$C$5:$L$1052,8,FALSE())</f>
        <v>COSTA</v>
      </c>
      <c r="K152" s="23" t="str">
        <f>VLOOKUP(C152,'[1]1.CUADRO RESUMEN DE SITIOS '!$C$5:$L$1052,9,FALSE())</f>
        <v>Cesar Osorio</v>
      </c>
      <c r="L152" s="26" t="str">
        <f>VLOOKUP(C152,'[1]1.CUADRO RESUMEN DE SITIOS '!$C$5:$L$1052,10,FALSE())</f>
        <v>Terminado</v>
      </c>
      <c r="M152" s="26">
        <v>8828119815</v>
      </c>
      <c r="N152" s="26">
        <f>VLOOKUP(M152,[1]LPU!$A$2:$G$1512,2,FALSE())</f>
        <v>2.04</v>
      </c>
      <c r="O152" s="26" t="str">
        <f>VLOOKUP(M152,[1]LPU!$A$2:$G$1512,3,FALSE)</f>
        <v>Torqueo tornillería torre acorde con la norma EIA/TIA222F - EIA/TIA222G. Incluye protocolo de torque, todos los elementos y equipos necesarios para la realización. De acuerdo a la altura de la torre</v>
      </c>
      <c r="P152" s="26" t="str">
        <f>VLOOKUP(M152,[1]LPU!$A$2:$G$1512,4,FALSE())</f>
        <v>Mantenimiento CW</v>
      </c>
      <c r="Q152" s="26" t="str">
        <f>VLOOKUP(M152,[1]LPU!$A$2:$G$1512,5,FALSE())</f>
        <v>UN</v>
      </c>
      <c r="R152" s="27">
        <f>VLOOKUP(M152,[1]LPU!$A$2:$G$1512,6,FALSE())</f>
        <v>1277092.7</v>
      </c>
      <c r="S152" s="27" t="str">
        <f>VLOOKUP(M152,[1]LPU!$A$2:$G$1512,7,FALSE())</f>
        <v>Mantenimiento CW</v>
      </c>
      <c r="T152" s="28">
        <v>1</v>
      </c>
      <c r="U152" s="29">
        <f t="shared" si="3"/>
        <v>1277092.7</v>
      </c>
      <c r="V152" s="29" t="s">
        <v>47</v>
      </c>
      <c r="W152" s="30"/>
      <c r="X152" s="29" t="s">
        <v>38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ht="21" customHeight="1" x14ac:dyDescent="0.3">
      <c r="A153" s="22">
        <v>149</v>
      </c>
      <c r="B153" s="23">
        <v>1</v>
      </c>
      <c r="C153" s="23" t="s">
        <v>115</v>
      </c>
      <c r="D153" s="23" t="str">
        <f>VLOOKUP(C153,'[1]1.CUADRO RESUMEN DE SITIOS '!$C$5:$L$1052,2,FALSE())</f>
        <v>JCOR_00242</v>
      </c>
      <c r="E153" s="24">
        <f>VLOOKUP(C153,'[1]1.CUADRO RESUMEN DE SITIOS '!$C$5:$L$1052,3,FALSE())</f>
        <v>46001</v>
      </c>
      <c r="F153" s="23">
        <f>VLOOKUP(C153,'[1]1.CUADRO RESUMEN DE SITIOS '!$C$5:$L$1052,4,FALSE())</f>
        <v>8.8342200000000002</v>
      </c>
      <c r="G153" s="23">
        <f>VLOOKUP(C153,'[1]1.CUADRO RESUMEN DE SITIOS '!$C$5:$L$1052,5,FALSE())</f>
        <v>-75.575879999999998</v>
      </c>
      <c r="H153" s="23" t="str">
        <f>VLOOKUP(C153,'[1]1.CUADRO RESUMEN DE SITIOS '!$C$5:$L$1052,6,FALSE())</f>
        <v>Córdoba</v>
      </c>
      <c r="I153" s="23" t="str">
        <f>VLOOKUP(C153,'[1]1.CUADRO RESUMEN DE SITIOS '!$C$5:$L$1052,7,FALSE())</f>
        <v>WOM-HUAWEI</v>
      </c>
      <c r="J153" s="25" t="str">
        <f>VLOOKUP(C153,'[1]1.CUADRO RESUMEN DE SITIOS '!$C$5:$L$1052,8,FALSE())</f>
        <v>COSTA</v>
      </c>
      <c r="K153" s="23" t="str">
        <f>VLOOKUP(C153,'[1]1.CUADRO RESUMEN DE SITIOS '!$C$5:$L$1052,9,FALSE())</f>
        <v>Cesar Osorio</v>
      </c>
      <c r="L153" s="26" t="str">
        <f>VLOOKUP(C153,'[1]1.CUADRO RESUMEN DE SITIOS '!$C$5:$L$1052,10,FALSE())</f>
        <v>Terminado</v>
      </c>
      <c r="M153" s="26">
        <v>8828120281</v>
      </c>
      <c r="N153" s="26">
        <f>VLOOKUP(M153,[1]LPU!$A$2:$G$1512,2,FALSE())</f>
        <v>5.24</v>
      </c>
      <c r="O153" s="26" t="str">
        <f>VLOOKUP(M153,[1]LPU!$A$2:$G$1512,3,FALSE)</f>
        <v>Cambio de perros de sujeción para riendas de guaya 1/2" galvanizado. Incluye suministro e instalación.</v>
      </c>
      <c r="P153" s="26" t="str">
        <f>VLOOKUP(M153,[1]LPU!$A$2:$G$1512,4,FALSE())</f>
        <v>Mantenimiento CW</v>
      </c>
      <c r="Q153" s="26" t="str">
        <f>VLOOKUP(M153,[1]LPU!$A$2:$G$1512,5,FALSE())</f>
        <v>UND</v>
      </c>
      <c r="R153" s="27">
        <f>VLOOKUP(M153,[1]LPU!$A$2:$G$1512,6,FALSE())</f>
        <v>20898.099999999999</v>
      </c>
      <c r="S153" s="27" t="str">
        <f>VLOOKUP(M153,[1]LPU!$A$2:$G$1512,7,FALSE())</f>
        <v>Mantenimiento CW</v>
      </c>
      <c r="T153" s="28">
        <v>54</v>
      </c>
      <c r="U153" s="29">
        <f t="shared" si="3"/>
        <v>1128497.3999999999</v>
      </c>
      <c r="V153" s="29" t="s">
        <v>47</v>
      </c>
      <c r="W153" s="30"/>
      <c r="X153" s="29" t="s">
        <v>38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ht="21" customHeight="1" x14ac:dyDescent="0.3">
      <c r="A154" s="22">
        <v>150</v>
      </c>
      <c r="B154" s="23">
        <v>1</v>
      </c>
      <c r="C154" s="23" t="s">
        <v>115</v>
      </c>
      <c r="D154" s="23" t="str">
        <f>VLOOKUP(C154,'[1]1.CUADRO RESUMEN DE SITIOS '!$C$5:$L$1052,2,FALSE())</f>
        <v>JCOR_00242</v>
      </c>
      <c r="E154" s="24">
        <f>VLOOKUP(C154,'[1]1.CUADRO RESUMEN DE SITIOS '!$C$5:$L$1052,3,FALSE())</f>
        <v>46001</v>
      </c>
      <c r="F154" s="23">
        <f>VLOOKUP(C154,'[1]1.CUADRO RESUMEN DE SITIOS '!$C$5:$L$1052,4,FALSE())</f>
        <v>8.8342200000000002</v>
      </c>
      <c r="G154" s="23">
        <f>VLOOKUP(C154,'[1]1.CUADRO RESUMEN DE SITIOS '!$C$5:$L$1052,5,FALSE())</f>
        <v>-75.575879999999998</v>
      </c>
      <c r="H154" s="23" t="str">
        <f>VLOOKUP(C154,'[1]1.CUADRO RESUMEN DE SITIOS '!$C$5:$L$1052,6,FALSE())</f>
        <v>Córdoba</v>
      </c>
      <c r="I154" s="23" t="str">
        <f>VLOOKUP(C154,'[1]1.CUADRO RESUMEN DE SITIOS '!$C$5:$L$1052,7,FALSE())</f>
        <v>WOM-HUAWEI</v>
      </c>
      <c r="J154" s="25" t="str">
        <f>VLOOKUP(C154,'[1]1.CUADRO RESUMEN DE SITIOS '!$C$5:$L$1052,8,FALSE())</f>
        <v>COSTA</v>
      </c>
      <c r="K154" s="23" t="str">
        <f>VLOOKUP(C154,'[1]1.CUADRO RESUMEN DE SITIOS '!$C$5:$L$1052,9,FALSE())</f>
        <v>Cesar Osorio</v>
      </c>
      <c r="L154" s="26" t="str">
        <f>VLOOKUP(C154,'[1]1.CUADRO RESUMEN DE SITIOS '!$C$5:$L$1052,10,FALSE())</f>
        <v>Terminado</v>
      </c>
      <c r="M154" s="26">
        <v>8828119941</v>
      </c>
      <c r="N154" s="26">
        <f>VLOOKUP(M154,[1]LPU!$A$2:$G$1512,2,FALSE())</f>
        <v>165</v>
      </c>
      <c r="O154" s="26" t="str">
        <f>VLOOKUP(M154,[1]LPU!$A$2:$G$1512,3,FALSE)</f>
        <v>Transporte tipo C, zona de dificil acceso</v>
      </c>
      <c r="P154" s="26" t="str">
        <f>VLOOKUP(M154,[1]LPU!$A$2:$G$1512,4,FALSE())</f>
        <v>LOCATIVO</v>
      </c>
      <c r="Q154" s="26" t="str">
        <f>VLOOKUP(M154,[1]LPU!$A$2:$G$1512,5,FALSE())</f>
        <v>Global</v>
      </c>
      <c r="R154" s="27">
        <f>VLOOKUP(M154,[1]LPU!$A$2:$G$1512,6,FALSE())</f>
        <v>388801.05</v>
      </c>
      <c r="S154" s="27" t="str">
        <f>VLOOKUP(M154,[1]LPU!$A$2:$G$1512,7,FALSE())</f>
        <v>LPU FLM</v>
      </c>
      <c r="T154" s="28">
        <v>1</v>
      </c>
      <c r="U154" s="29">
        <f t="shared" si="3"/>
        <v>388801.05</v>
      </c>
      <c r="V154" s="29" t="s">
        <v>47</v>
      </c>
      <c r="W154" s="30"/>
      <c r="X154" s="29" t="s">
        <v>38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ht="21" customHeight="1" x14ac:dyDescent="0.3">
      <c r="A155" s="22">
        <v>151</v>
      </c>
      <c r="B155" s="23">
        <v>1</v>
      </c>
      <c r="C155" s="23" t="s">
        <v>116</v>
      </c>
      <c r="D155" s="23" t="str">
        <f>VLOOKUP(C155,'[1]1.CUADRO RESUMEN DE SITIOS '!$C$5:$L$1052,2,FALSE())</f>
        <v>JCOR_00045</v>
      </c>
      <c r="E155" s="24">
        <f>VLOOKUP(C155,'[1]1.CUADRO RESUMEN DE SITIOS '!$C$5:$L$1052,3,FALSE())</f>
        <v>46007</v>
      </c>
      <c r="F155" s="23">
        <f>VLOOKUP(C155,'[1]1.CUADRO RESUMEN DE SITIOS '!$C$5:$L$1052,4,FALSE())</f>
        <v>8.2957672000000002</v>
      </c>
      <c r="G155" s="23">
        <f>VLOOKUP(C155,'[1]1.CUADRO RESUMEN DE SITIOS '!$C$5:$L$1052,5,FALSE())</f>
        <v>-75.661659999999998</v>
      </c>
      <c r="H155" s="23" t="str">
        <f>VLOOKUP(C155,'[1]1.CUADRO RESUMEN DE SITIOS '!$C$5:$L$1052,6,FALSE())</f>
        <v>Córdoba</v>
      </c>
      <c r="I155" s="23" t="str">
        <f>VLOOKUP(C155,'[1]1.CUADRO RESUMEN DE SITIOS '!$C$5:$L$1052,7,FALSE())</f>
        <v>WOM-HUAWEI</v>
      </c>
      <c r="J155" s="25" t="str">
        <f>VLOOKUP(C155,'[1]1.CUADRO RESUMEN DE SITIOS '!$C$5:$L$1052,8,FALSE())</f>
        <v>COSTA</v>
      </c>
      <c r="K155" s="23" t="str">
        <f>VLOOKUP(C155,'[1]1.CUADRO RESUMEN DE SITIOS '!$C$5:$L$1052,9,FALSE())</f>
        <v>Cesar Osorio</v>
      </c>
      <c r="L155" s="26" t="str">
        <f>VLOOKUP(C155,'[1]1.CUADRO RESUMEN DE SITIOS '!$C$5:$L$1052,10,FALSE())</f>
        <v>Terminado</v>
      </c>
      <c r="M155" s="26">
        <v>8828119788</v>
      </c>
      <c r="N155" s="26">
        <f>VLOOKUP(M155,[1]LPU!$A$2:$G$1512,2,FALSE())</f>
        <v>2.02</v>
      </c>
      <c r="O155" s="26" t="str">
        <f>VLOOKUP(M155,[1]LPU!$A$2:$G$1512,3,FALSE)</f>
        <v>Protocolo de verticalidad torre hasta 100 m de altura, Incluye protocolo previo y posterior a la actividad a realizar. Incluye documentación e informe de protocolo.</v>
      </c>
      <c r="P155" s="26" t="str">
        <f>VLOOKUP(M155,[1]LPU!$A$2:$G$1512,4,FALSE())</f>
        <v>Mantenimiento CW</v>
      </c>
      <c r="Q155" s="26" t="str">
        <f>VLOOKUP(M155,[1]LPU!$A$2:$G$1512,5,FALSE())</f>
        <v>GL</v>
      </c>
      <c r="R155" s="27">
        <f>VLOOKUP(M155,[1]LPU!$A$2:$G$1512,6,FALSE())</f>
        <v>974025.2</v>
      </c>
      <c r="S155" s="27" t="str">
        <f>VLOOKUP(M155,[1]LPU!$A$2:$G$1512,7,FALSE())</f>
        <v>Mantenimiento CW</v>
      </c>
      <c r="T155" s="28">
        <v>1</v>
      </c>
      <c r="U155" s="29">
        <f t="shared" si="3"/>
        <v>974025.2</v>
      </c>
      <c r="V155" s="29" t="s">
        <v>47</v>
      </c>
      <c r="W155" s="30"/>
      <c r="X155" s="29" t="s">
        <v>38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ht="21" customHeight="1" x14ac:dyDescent="0.3">
      <c r="A156" s="22">
        <v>152</v>
      </c>
      <c r="B156" s="23">
        <v>1</v>
      </c>
      <c r="C156" s="23" t="s">
        <v>116</v>
      </c>
      <c r="D156" s="23" t="str">
        <f>VLOOKUP(C156,'[1]1.CUADRO RESUMEN DE SITIOS '!$C$5:$L$1052,2,FALSE())</f>
        <v>JCOR_00045</v>
      </c>
      <c r="E156" s="24">
        <f>VLOOKUP(C156,'[1]1.CUADRO RESUMEN DE SITIOS '!$C$5:$L$1052,3,FALSE())</f>
        <v>46007</v>
      </c>
      <c r="F156" s="23">
        <f>VLOOKUP(C156,'[1]1.CUADRO RESUMEN DE SITIOS '!$C$5:$L$1052,4,FALSE())</f>
        <v>8.2957672000000002</v>
      </c>
      <c r="G156" s="23">
        <f>VLOOKUP(C156,'[1]1.CUADRO RESUMEN DE SITIOS '!$C$5:$L$1052,5,FALSE())</f>
        <v>-75.661659999999998</v>
      </c>
      <c r="H156" s="23" t="str">
        <f>VLOOKUP(C156,'[1]1.CUADRO RESUMEN DE SITIOS '!$C$5:$L$1052,6,FALSE())</f>
        <v>Córdoba</v>
      </c>
      <c r="I156" s="23" t="str">
        <f>VLOOKUP(C156,'[1]1.CUADRO RESUMEN DE SITIOS '!$C$5:$L$1052,7,FALSE())</f>
        <v>WOM-HUAWEI</v>
      </c>
      <c r="J156" s="25" t="str">
        <f>VLOOKUP(C156,'[1]1.CUADRO RESUMEN DE SITIOS '!$C$5:$L$1052,8,FALSE())</f>
        <v>COSTA</v>
      </c>
      <c r="K156" s="23" t="str">
        <f>VLOOKUP(C156,'[1]1.CUADRO RESUMEN DE SITIOS '!$C$5:$L$1052,9,FALSE())</f>
        <v>Cesar Osorio</v>
      </c>
      <c r="L156" s="26" t="str">
        <f>VLOOKUP(C156,'[1]1.CUADRO RESUMEN DE SITIOS '!$C$5:$L$1052,10,FALSE())</f>
        <v>Terminado</v>
      </c>
      <c r="M156" s="26">
        <v>8828119807</v>
      </c>
      <c r="N156" s="26">
        <f>VLOOKUP(M156,[1]LPU!$A$2:$G$1512,2,FALSE())</f>
        <v>2.0299999999999998</v>
      </c>
      <c r="O156" s="26" t="str">
        <f>VLOOKUP(M156,[1]LPU!$A$2:$G$1512,3,FALSE)</f>
        <v>Ajuste de tensión de riendas acorde con la norma EIA/TIA222F - EIA/TIA222G. Incluye todos los elementos y equipos necesarios para la realización. De acuerdo a la altura de la torre.</v>
      </c>
      <c r="P156" s="26" t="str">
        <f>VLOOKUP(M156,[1]LPU!$A$2:$G$1512,4,FALSE())</f>
        <v>Mantenimiento CW</v>
      </c>
      <c r="Q156" s="26" t="str">
        <f>VLOOKUP(M156,[1]LPU!$A$2:$G$1512,5,FALSE())</f>
        <v>UN</v>
      </c>
      <c r="R156" s="27">
        <f>VLOOKUP(M156,[1]LPU!$A$2:$G$1512,6,FALSE())</f>
        <v>318112.5</v>
      </c>
      <c r="S156" s="27" t="str">
        <f>VLOOKUP(M156,[1]LPU!$A$2:$G$1512,7,FALSE())</f>
        <v>Mantenimiento CW</v>
      </c>
      <c r="T156" s="28">
        <v>4</v>
      </c>
      <c r="U156" s="29">
        <f t="shared" si="3"/>
        <v>1272450</v>
      </c>
      <c r="V156" s="29" t="s">
        <v>47</v>
      </c>
      <c r="W156" s="30"/>
      <c r="X156" s="29" t="s">
        <v>38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ht="21" customHeight="1" x14ac:dyDescent="0.3">
      <c r="A157" s="22">
        <v>153</v>
      </c>
      <c r="B157" s="23">
        <v>1</v>
      </c>
      <c r="C157" s="23" t="s">
        <v>116</v>
      </c>
      <c r="D157" s="23" t="str">
        <f>VLOOKUP(C157,'[1]1.CUADRO RESUMEN DE SITIOS '!$C$5:$L$1052,2,FALSE())</f>
        <v>JCOR_00045</v>
      </c>
      <c r="E157" s="24">
        <f>VLOOKUP(C157,'[1]1.CUADRO RESUMEN DE SITIOS '!$C$5:$L$1052,3,FALSE())</f>
        <v>46007</v>
      </c>
      <c r="F157" s="23">
        <f>VLOOKUP(C157,'[1]1.CUADRO RESUMEN DE SITIOS '!$C$5:$L$1052,4,FALSE())</f>
        <v>8.2957672000000002</v>
      </c>
      <c r="G157" s="23">
        <f>VLOOKUP(C157,'[1]1.CUADRO RESUMEN DE SITIOS '!$C$5:$L$1052,5,FALSE())</f>
        <v>-75.661659999999998</v>
      </c>
      <c r="H157" s="23" t="str">
        <f>VLOOKUP(C157,'[1]1.CUADRO RESUMEN DE SITIOS '!$C$5:$L$1052,6,FALSE())</f>
        <v>Córdoba</v>
      </c>
      <c r="I157" s="23" t="str">
        <f>VLOOKUP(C157,'[1]1.CUADRO RESUMEN DE SITIOS '!$C$5:$L$1052,7,FALSE())</f>
        <v>WOM-HUAWEI</v>
      </c>
      <c r="J157" s="25" t="str">
        <f>VLOOKUP(C157,'[1]1.CUADRO RESUMEN DE SITIOS '!$C$5:$L$1052,8,FALSE())</f>
        <v>COSTA</v>
      </c>
      <c r="K157" s="23" t="str">
        <f>VLOOKUP(C157,'[1]1.CUADRO RESUMEN DE SITIOS '!$C$5:$L$1052,9,FALSE())</f>
        <v>Cesar Osorio</v>
      </c>
      <c r="L157" s="26" t="str">
        <f>VLOOKUP(C157,'[1]1.CUADRO RESUMEN DE SITIOS '!$C$5:$L$1052,10,FALSE())</f>
        <v>Terminado</v>
      </c>
      <c r="M157" s="26">
        <v>8828119815</v>
      </c>
      <c r="N157" s="26">
        <f>VLOOKUP(M157,[1]LPU!$A$2:$G$1512,2,FALSE())</f>
        <v>2.04</v>
      </c>
      <c r="O157" s="26" t="str">
        <f>VLOOKUP(M157,[1]LPU!$A$2:$G$1512,3,FALSE)</f>
        <v>Torqueo tornillería torre acorde con la norma EIA/TIA222F - EIA/TIA222G. Incluye protocolo de torque, todos los elementos y equipos necesarios para la realización. De acuerdo a la altura de la torre</v>
      </c>
      <c r="P157" s="26" t="str">
        <f>VLOOKUP(M157,[1]LPU!$A$2:$G$1512,4,FALSE())</f>
        <v>Mantenimiento CW</v>
      </c>
      <c r="Q157" s="26" t="str">
        <f>VLOOKUP(M157,[1]LPU!$A$2:$G$1512,5,FALSE())</f>
        <v>UN</v>
      </c>
      <c r="R157" s="27">
        <f>VLOOKUP(M157,[1]LPU!$A$2:$G$1512,6,FALSE())</f>
        <v>1277092.7</v>
      </c>
      <c r="S157" s="27" t="str">
        <f>VLOOKUP(M157,[1]LPU!$A$2:$G$1512,7,FALSE())</f>
        <v>Mantenimiento CW</v>
      </c>
      <c r="T157" s="28">
        <v>1</v>
      </c>
      <c r="U157" s="29">
        <f t="shared" si="3"/>
        <v>1277092.7</v>
      </c>
      <c r="V157" s="29" t="s">
        <v>47</v>
      </c>
      <c r="W157" s="30"/>
      <c r="X157" s="29" t="s">
        <v>38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ht="21" customHeight="1" x14ac:dyDescent="0.3">
      <c r="A158" s="22">
        <v>154</v>
      </c>
      <c r="B158" s="23">
        <v>1</v>
      </c>
      <c r="C158" s="23" t="s">
        <v>116</v>
      </c>
      <c r="D158" s="23" t="str">
        <f>VLOOKUP(C158,'[1]1.CUADRO RESUMEN DE SITIOS '!$C$5:$L$1052,2,FALSE())</f>
        <v>JCOR_00045</v>
      </c>
      <c r="E158" s="24">
        <f>VLOOKUP(C158,'[1]1.CUADRO RESUMEN DE SITIOS '!$C$5:$L$1052,3,FALSE())</f>
        <v>46007</v>
      </c>
      <c r="F158" s="23">
        <f>VLOOKUP(C158,'[1]1.CUADRO RESUMEN DE SITIOS '!$C$5:$L$1052,4,FALSE())</f>
        <v>8.2957672000000002</v>
      </c>
      <c r="G158" s="23">
        <f>VLOOKUP(C158,'[1]1.CUADRO RESUMEN DE SITIOS '!$C$5:$L$1052,5,FALSE())</f>
        <v>-75.661659999999998</v>
      </c>
      <c r="H158" s="23" t="str">
        <f>VLOOKUP(C158,'[1]1.CUADRO RESUMEN DE SITIOS '!$C$5:$L$1052,6,FALSE())</f>
        <v>Córdoba</v>
      </c>
      <c r="I158" s="23" t="str">
        <f>VLOOKUP(C158,'[1]1.CUADRO RESUMEN DE SITIOS '!$C$5:$L$1052,7,FALSE())</f>
        <v>WOM-HUAWEI</v>
      </c>
      <c r="J158" s="25" t="str">
        <f>VLOOKUP(C158,'[1]1.CUADRO RESUMEN DE SITIOS '!$C$5:$L$1052,8,FALSE())</f>
        <v>COSTA</v>
      </c>
      <c r="K158" s="23" t="str">
        <f>VLOOKUP(C158,'[1]1.CUADRO RESUMEN DE SITIOS '!$C$5:$L$1052,9,FALSE())</f>
        <v>Cesar Osorio</v>
      </c>
      <c r="L158" s="26" t="str">
        <f>VLOOKUP(C158,'[1]1.CUADRO RESUMEN DE SITIOS '!$C$5:$L$1052,10,FALSE())</f>
        <v>Terminado</v>
      </c>
      <c r="M158" s="26">
        <v>8828120281</v>
      </c>
      <c r="N158" s="26">
        <f>VLOOKUP(M158,[1]LPU!$A$2:$G$1512,2,FALSE())</f>
        <v>5.24</v>
      </c>
      <c r="O158" s="26" t="str">
        <f>VLOOKUP(M158,[1]LPU!$A$2:$G$1512,3,FALSE)</f>
        <v>Cambio de perros de sujeción para riendas de guaya 1/2" galvanizado. Incluye suministro e instalación.</v>
      </c>
      <c r="P158" s="26" t="str">
        <f>VLOOKUP(M158,[1]LPU!$A$2:$G$1512,4,FALSE())</f>
        <v>Mantenimiento CW</v>
      </c>
      <c r="Q158" s="26" t="str">
        <f>VLOOKUP(M158,[1]LPU!$A$2:$G$1512,5,FALSE())</f>
        <v>UND</v>
      </c>
      <c r="R158" s="27">
        <f>VLOOKUP(M158,[1]LPU!$A$2:$G$1512,6,FALSE())</f>
        <v>20898.099999999999</v>
      </c>
      <c r="S158" s="27" t="str">
        <f>VLOOKUP(M158,[1]LPU!$A$2:$G$1512,7,FALSE())</f>
        <v>Mantenimiento CW</v>
      </c>
      <c r="T158" s="28">
        <v>105</v>
      </c>
      <c r="U158" s="29">
        <f t="shared" si="3"/>
        <v>2194300.5</v>
      </c>
      <c r="V158" s="29" t="s">
        <v>47</v>
      </c>
      <c r="W158" s="30"/>
      <c r="X158" s="29" t="s">
        <v>38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ht="21" customHeight="1" x14ac:dyDescent="0.3">
      <c r="A159" s="22">
        <v>155</v>
      </c>
      <c r="B159" s="23">
        <v>1</v>
      </c>
      <c r="C159" s="23" t="s">
        <v>116</v>
      </c>
      <c r="D159" s="23" t="str">
        <f>VLOOKUP(C159,'[1]1.CUADRO RESUMEN DE SITIOS '!$C$5:$L$1052,2,FALSE())</f>
        <v>JCOR_00045</v>
      </c>
      <c r="E159" s="24">
        <f>VLOOKUP(C159,'[1]1.CUADRO RESUMEN DE SITIOS '!$C$5:$L$1052,3,FALSE())</f>
        <v>46007</v>
      </c>
      <c r="F159" s="23">
        <f>VLOOKUP(C159,'[1]1.CUADRO RESUMEN DE SITIOS '!$C$5:$L$1052,4,FALSE())</f>
        <v>8.2957672000000002</v>
      </c>
      <c r="G159" s="23">
        <f>VLOOKUP(C159,'[1]1.CUADRO RESUMEN DE SITIOS '!$C$5:$L$1052,5,FALSE())</f>
        <v>-75.661659999999998</v>
      </c>
      <c r="H159" s="23" t="str">
        <f>VLOOKUP(C159,'[1]1.CUADRO RESUMEN DE SITIOS '!$C$5:$L$1052,6,FALSE())</f>
        <v>Córdoba</v>
      </c>
      <c r="I159" s="23" t="str">
        <f>VLOOKUP(C159,'[1]1.CUADRO RESUMEN DE SITIOS '!$C$5:$L$1052,7,FALSE())</f>
        <v>WOM-HUAWEI</v>
      </c>
      <c r="J159" s="25" t="str">
        <f>VLOOKUP(C159,'[1]1.CUADRO RESUMEN DE SITIOS '!$C$5:$L$1052,8,FALSE())</f>
        <v>COSTA</v>
      </c>
      <c r="K159" s="23" t="str">
        <f>VLOOKUP(C159,'[1]1.CUADRO RESUMEN DE SITIOS '!$C$5:$L$1052,9,FALSE())</f>
        <v>Cesar Osorio</v>
      </c>
      <c r="L159" s="26" t="str">
        <f>VLOOKUP(C159,'[1]1.CUADRO RESUMEN DE SITIOS '!$C$5:$L$1052,10,FALSE())</f>
        <v>Terminado</v>
      </c>
      <c r="M159" s="26">
        <v>8828119941</v>
      </c>
      <c r="N159" s="26">
        <f>VLOOKUP(M159,[1]LPU!$A$2:$G$1512,2,FALSE())</f>
        <v>165</v>
      </c>
      <c r="O159" s="26" t="str">
        <f>VLOOKUP(M159,[1]LPU!$A$2:$G$1512,3,FALSE)</f>
        <v>Transporte tipo C, zona de dificil acceso</v>
      </c>
      <c r="P159" s="26" t="str">
        <f>VLOOKUP(M159,[1]LPU!$A$2:$G$1512,4,FALSE())</f>
        <v>LOCATIVO</v>
      </c>
      <c r="Q159" s="26" t="str">
        <f>VLOOKUP(M159,[1]LPU!$A$2:$G$1512,5,FALSE())</f>
        <v>Global</v>
      </c>
      <c r="R159" s="27">
        <f>VLOOKUP(M159,[1]LPU!$A$2:$G$1512,6,FALSE())</f>
        <v>388801.05</v>
      </c>
      <c r="S159" s="27" t="str">
        <f>VLOOKUP(M159,[1]LPU!$A$2:$G$1512,7,FALSE())</f>
        <v>LPU FLM</v>
      </c>
      <c r="T159" s="28">
        <v>1</v>
      </c>
      <c r="U159" s="29">
        <f t="shared" si="3"/>
        <v>388801.05</v>
      </c>
      <c r="V159" s="29" t="s">
        <v>47</v>
      </c>
      <c r="W159" s="30"/>
      <c r="X159" s="29" t="s">
        <v>38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ht="21" customHeight="1" x14ac:dyDescent="0.3">
      <c r="A160" s="22">
        <v>156</v>
      </c>
      <c r="B160" s="23">
        <v>1</v>
      </c>
      <c r="C160" s="23" t="s">
        <v>43</v>
      </c>
      <c r="D160" s="23" t="str">
        <f>VLOOKUP(C160,'[1]1.CUADRO RESUMEN DE SITIOS '!$C$5:$L$1052,2,FALSE())</f>
        <v>JCOR_00250</v>
      </c>
      <c r="E160" s="24">
        <f>VLOOKUP(C160,'[1]1.CUADRO RESUMEN DE SITIOS '!$C$5:$L$1052,3,FALSE())</f>
        <v>46002</v>
      </c>
      <c r="F160" s="23">
        <f>VLOOKUP(C160,'[1]1.CUADRO RESUMEN DE SITIOS '!$C$5:$L$1052,4,FALSE())</f>
        <v>8.9624400000000009</v>
      </c>
      <c r="G160" s="23">
        <f>VLOOKUP(C160,'[1]1.CUADRO RESUMEN DE SITIOS '!$C$5:$L$1052,5,FALSE())</f>
        <v>-75.293490000000006</v>
      </c>
      <c r="H160" s="23" t="str">
        <f>VLOOKUP(C160,'[1]1.CUADRO RESUMEN DE SITIOS '!$C$5:$L$1052,6,FALSE())</f>
        <v>Cordoba</v>
      </c>
      <c r="I160" s="23" t="str">
        <f>VLOOKUP(C160,'[1]1.CUADRO RESUMEN DE SITIOS '!$C$5:$L$1052,7,FALSE())</f>
        <v>WOM-HUAWEI</v>
      </c>
      <c r="J160" s="25" t="str">
        <f>VLOOKUP(C160,'[1]1.CUADRO RESUMEN DE SITIOS '!$C$5:$L$1052,8,FALSE())</f>
        <v>COSTA</v>
      </c>
      <c r="K160" s="23" t="str">
        <f>VLOOKUP(C160,'[1]1.CUADRO RESUMEN DE SITIOS '!$C$5:$L$1052,9,FALSE())</f>
        <v>Cesar Osorio</v>
      </c>
      <c r="L160" s="26" t="str">
        <f>VLOOKUP(C160,'[1]1.CUADRO RESUMEN DE SITIOS '!$C$5:$L$1052,10,FALSE())</f>
        <v>Terminado</v>
      </c>
      <c r="M160" s="26">
        <v>8828119788</v>
      </c>
      <c r="N160" s="26">
        <f>VLOOKUP(M160,[1]LPU!$A$2:$G$1512,2,FALSE())</f>
        <v>2.02</v>
      </c>
      <c r="O160" s="26" t="str">
        <f>VLOOKUP(M160,[1]LPU!$A$2:$G$1512,3,FALSE)</f>
        <v>Protocolo de verticalidad torre hasta 100 m de altura, Incluye protocolo previo y posterior a la actividad a realizar. Incluye documentación e informe de protocolo.</v>
      </c>
      <c r="P160" s="26" t="str">
        <f>VLOOKUP(M160,[1]LPU!$A$2:$G$1512,4,FALSE())</f>
        <v>Mantenimiento CW</v>
      </c>
      <c r="Q160" s="26" t="str">
        <f>VLOOKUP(M160,[1]LPU!$A$2:$G$1512,5,FALSE())</f>
        <v>GL</v>
      </c>
      <c r="R160" s="27">
        <f>VLOOKUP(M160,[1]LPU!$A$2:$G$1512,6,FALSE())</f>
        <v>974025.2</v>
      </c>
      <c r="S160" s="27" t="str">
        <f>VLOOKUP(M160,[1]LPU!$A$2:$G$1512,7,FALSE())</f>
        <v>Mantenimiento CW</v>
      </c>
      <c r="T160" s="28">
        <v>1</v>
      </c>
      <c r="U160" s="29">
        <f t="shared" si="3"/>
        <v>974025.2</v>
      </c>
      <c r="V160" s="29" t="s">
        <v>47</v>
      </c>
      <c r="W160" s="30"/>
      <c r="X160" s="29" t="s">
        <v>38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ht="21" customHeight="1" x14ac:dyDescent="0.3">
      <c r="A161" s="22">
        <v>157</v>
      </c>
      <c r="B161" s="23">
        <v>1</v>
      </c>
      <c r="C161" s="23" t="s">
        <v>43</v>
      </c>
      <c r="D161" s="23" t="str">
        <f>VLOOKUP(C161,'[1]1.CUADRO RESUMEN DE SITIOS '!$C$5:$L$1052,2,FALSE())</f>
        <v>JCOR_00250</v>
      </c>
      <c r="E161" s="24">
        <f>VLOOKUP(C161,'[1]1.CUADRO RESUMEN DE SITIOS '!$C$5:$L$1052,3,FALSE())</f>
        <v>46002</v>
      </c>
      <c r="F161" s="23">
        <f>VLOOKUP(C161,'[1]1.CUADRO RESUMEN DE SITIOS '!$C$5:$L$1052,4,FALSE())</f>
        <v>8.9624400000000009</v>
      </c>
      <c r="G161" s="23">
        <f>VLOOKUP(C161,'[1]1.CUADRO RESUMEN DE SITIOS '!$C$5:$L$1052,5,FALSE())</f>
        <v>-75.293490000000006</v>
      </c>
      <c r="H161" s="23" t="str">
        <f>VLOOKUP(C161,'[1]1.CUADRO RESUMEN DE SITIOS '!$C$5:$L$1052,6,FALSE())</f>
        <v>Cordoba</v>
      </c>
      <c r="I161" s="23" t="str">
        <f>VLOOKUP(C161,'[1]1.CUADRO RESUMEN DE SITIOS '!$C$5:$L$1052,7,FALSE())</f>
        <v>WOM-HUAWEI</v>
      </c>
      <c r="J161" s="25" t="str">
        <f>VLOOKUP(C161,'[1]1.CUADRO RESUMEN DE SITIOS '!$C$5:$L$1052,8,FALSE())</f>
        <v>COSTA</v>
      </c>
      <c r="K161" s="23" t="str">
        <f>VLOOKUP(C161,'[1]1.CUADRO RESUMEN DE SITIOS '!$C$5:$L$1052,9,FALSE())</f>
        <v>Cesar Osorio</v>
      </c>
      <c r="L161" s="26" t="str">
        <f>VLOOKUP(C161,'[1]1.CUADRO RESUMEN DE SITIOS '!$C$5:$L$1052,10,FALSE())</f>
        <v>Terminado</v>
      </c>
      <c r="M161" s="26">
        <v>8828119807</v>
      </c>
      <c r="N161" s="26">
        <f>VLOOKUP(M161,[1]LPU!$A$2:$G$1512,2,FALSE())</f>
        <v>2.0299999999999998</v>
      </c>
      <c r="O161" s="26" t="str">
        <f>VLOOKUP(M161,[1]LPU!$A$2:$G$1512,3,FALSE)</f>
        <v>Ajuste de tensión de riendas acorde con la norma EIA/TIA222F - EIA/TIA222G. Incluye todos los elementos y equipos necesarios para la realización. De acuerdo a la altura de la torre.</v>
      </c>
      <c r="P161" s="26" t="str">
        <f>VLOOKUP(M161,[1]LPU!$A$2:$G$1512,4,FALSE())</f>
        <v>Mantenimiento CW</v>
      </c>
      <c r="Q161" s="26" t="str">
        <f>VLOOKUP(M161,[1]LPU!$A$2:$G$1512,5,FALSE())</f>
        <v>UN</v>
      </c>
      <c r="R161" s="27">
        <f>VLOOKUP(M161,[1]LPU!$A$2:$G$1512,6,FALSE())</f>
        <v>318112.5</v>
      </c>
      <c r="S161" s="27" t="str">
        <f>VLOOKUP(M161,[1]LPU!$A$2:$G$1512,7,FALSE())</f>
        <v>Mantenimiento CW</v>
      </c>
      <c r="T161" s="28">
        <v>4</v>
      </c>
      <c r="U161" s="29">
        <f t="shared" si="3"/>
        <v>1272450</v>
      </c>
      <c r="V161" s="29" t="s">
        <v>47</v>
      </c>
      <c r="W161" s="30"/>
      <c r="X161" s="29" t="s">
        <v>38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ht="21" customHeight="1" x14ac:dyDescent="0.3">
      <c r="A162" s="22">
        <v>158</v>
      </c>
      <c r="B162" s="23">
        <v>1</v>
      </c>
      <c r="C162" s="23" t="s">
        <v>43</v>
      </c>
      <c r="D162" s="23" t="str">
        <f>VLOOKUP(C162,'[1]1.CUADRO RESUMEN DE SITIOS '!$C$5:$L$1052,2,FALSE())</f>
        <v>JCOR_00250</v>
      </c>
      <c r="E162" s="24">
        <f>VLOOKUP(C162,'[1]1.CUADRO RESUMEN DE SITIOS '!$C$5:$L$1052,3,FALSE())</f>
        <v>46002</v>
      </c>
      <c r="F162" s="23">
        <f>VLOOKUP(C162,'[1]1.CUADRO RESUMEN DE SITIOS '!$C$5:$L$1052,4,FALSE())</f>
        <v>8.9624400000000009</v>
      </c>
      <c r="G162" s="23">
        <f>VLOOKUP(C162,'[1]1.CUADRO RESUMEN DE SITIOS '!$C$5:$L$1052,5,FALSE())</f>
        <v>-75.293490000000006</v>
      </c>
      <c r="H162" s="23" t="str">
        <f>VLOOKUP(C162,'[1]1.CUADRO RESUMEN DE SITIOS '!$C$5:$L$1052,6,FALSE())</f>
        <v>Cordoba</v>
      </c>
      <c r="I162" s="23" t="str">
        <f>VLOOKUP(C162,'[1]1.CUADRO RESUMEN DE SITIOS '!$C$5:$L$1052,7,FALSE())</f>
        <v>WOM-HUAWEI</v>
      </c>
      <c r="J162" s="25" t="str">
        <f>VLOOKUP(C162,'[1]1.CUADRO RESUMEN DE SITIOS '!$C$5:$L$1052,8,FALSE())</f>
        <v>COSTA</v>
      </c>
      <c r="K162" s="23" t="str">
        <f>VLOOKUP(C162,'[1]1.CUADRO RESUMEN DE SITIOS '!$C$5:$L$1052,9,FALSE())</f>
        <v>Cesar Osorio</v>
      </c>
      <c r="L162" s="26" t="str">
        <f>VLOOKUP(C162,'[1]1.CUADRO RESUMEN DE SITIOS '!$C$5:$L$1052,10,FALSE())</f>
        <v>Terminado</v>
      </c>
      <c r="M162" s="26">
        <v>8828119815</v>
      </c>
      <c r="N162" s="26">
        <f>VLOOKUP(M162,[1]LPU!$A$2:$G$1512,2,FALSE())</f>
        <v>2.04</v>
      </c>
      <c r="O162" s="26" t="str">
        <f>VLOOKUP(M162,[1]LPU!$A$2:$G$1512,3,FALSE)</f>
        <v>Torqueo tornillería torre acorde con la norma EIA/TIA222F - EIA/TIA222G. Incluye protocolo de torque, todos los elementos y equipos necesarios para la realización. De acuerdo a la altura de la torre</v>
      </c>
      <c r="P162" s="26" t="str">
        <f>VLOOKUP(M162,[1]LPU!$A$2:$G$1512,4,FALSE())</f>
        <v>Mantenimiento CW</v>
      </c>
      <c r="Q162" s="26" t="str">
        <f>VLOOKUP(M162,[1]LPU!$A$2:$G$1512,5,FALSE())</f>
        <v>UN</v>
      </c>
      <c r="R162" s="27">
        <f>VLOOKUP(M162,[1]LPU!$A$2:$G$1512,6,FALSE())</f>
        <v>1277092.7</v>
      </c>
      <c r="S162" s="27" t="str">
        <f>VLOOKUP(M162,[1]LPU!$A$2:$G$1512,7,FALSE())</f>
        <v>Mantenimiento CW</v>
      </c>
      <c r="T162" s="28">
        <v>1</v>
      </c>
      <c r="U162" s="29">
        <f t="shared" si="3"/>
        <v>1277092.7</v>
      </c>
      <c r="V162" s="29" t="s">
        <v>47</v>
      </c>
      <c r="W162" s="30"/>
      <c r="X162" s="29" t="s">
        <v>38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ht="21" customHeight="1" x14ac:dyDescent="0.3">
      <c r="A163" s="22">
        <v>159</v>
      </c>
      <c r="B163" s="23">
        <v>1</v>
      </c>
      <c r="C163" s="23" t="s">
        <v>43</v>
      </c>
      <c r="D163" s="23" t="str">
        <f>VLOOKUP(C163,'[1]1.CUADRO RESUMEN DE SITIOS '!$C$5:$L$1052,2,FALSE())</f>
        <v>JCOR_00250</v>
      </c>
      <c r="E163" s="24">
        <f>VLOOKUP(C163,'[1]1.CUADRO RESUMEN DE SITIOS '!$C$5:$L$1052,3,FALSE())</f>
        <v>46002</v>
      </c>
      <c r="F163" s="23">
        <f>VLOOKUP(C163,'[1]1.CUADRO RESUMEN DE SITIOS '!$C$5:$L$1052,4,FALSE())</f>
        <v>8.9624400000000009</v>
      </c>
      <c r="G163" s="23">
        <f>VLOOKUP(C163,'[1]1.CUADRO RESUMEN DE SITIOS '!$C$5:$L$1052,5,FALSE())</f>
        <v>-75.293490000000006</v>
      </c>
      <c r="H163" s="23" t="str">
        <f>VLOOKUP(C163,'[1]1.CUADRO RESUMEN DE SITIOS '!$C$5:$L$1052,6,FALSE())</f>
        <v>Cordoba</v>
      </c>
      <c r="I163" s="23" t="str">
        <f>VLOOKUP(C163,'[1]1.CUADRO RESUMEN DE SITIOS '!$C$5:$L$1052,7,FALSE())</f>
        <v>WOM-HUAWEI</v>
      </c>
      <c r="J163" s="25" t="str">
        <f>VLOOKUP(C163,'[1]1.CUADRO RESUMEN DE SITIOS '!$C$5:$L$1052,8,FALSE())</f>
        <v>COSTA</v>
      </c>
      <c r="K163" s="23" t="str">
        <f>VLOOKUP(C163,'[1]1.CUADRO RESUMEN DE SITIOS '!$C$5:$L$1052,9,FALSE())</f>
        <v>Cesar Osorio</v>
      </c>
      <c r="L163" s="26" t="str">
        <f>VLOOKUP(C163,'[1]1.CUADRO RESUMEN DE SITIOS '!$C$5:$L$1052,10,FALSE())</f>
        <v>Terminado</v>
      </c>
      <c r="M163" s="26">
        <v>8828120281</v>
      </c>
      <c r="N163" s="26">
        <f>VLOOKUP(M163,[1]LPU!$A$2:$G$1512,2,FALSE())</f>
        <v>5.24</v>
      </c>
      <c r="O163" s="26" t="str">
        <f>VLOOKUP(M163,[1]LPU!$A$2:$G$1512,3,FALSE)</f>
        <v>Cambio de perros de sujeción para riendas de guaya 1/2" galvanizado. Incluye suministro e instalación.</v>
      </c>
      <c r="P163" s="26" t="str">
        <f>VLOOKUP(M163,[1]LPU!$A$2:$G$1512,4,FALSE())</f>
        <v>Mantenimiento CW</v>
      </c>
      <c r="Q163" s="26" t="str">
        <f>VLOOKUP(M163,[1]LPU!$A$2:$G$1512,5,FALSE())</f>
        <v>UND</v>
      </c>
      <c r="R163" s="27">
        <f>VLOOKUP(M163,[1]LPU!$A$2:$G$1512,6,FALSE())</f>
        <v>20898.099999999999</v>
      </c>
      <c r="S163" s="27" t="str">
        <f>VLOOKUP(M163,[1]LPU!$A$2:$G$1512,7,FALSE())</f>
        <v>Mantenimiento CW</v>
      </c>
      <c r="T163" s="28">
        <v>108</v>
      </c>
      <c r="U163" s="29">
        <f t="shared" si="3"/>
        <v>2256994.7999999998</v>
      </c>
      <c r="V163" s="29" t="s">
        <v>47</v>
      </c>
      <c r="W163" s="30"/>
      <c r="X163" s="29" t="s">
        <v>38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ht="21" customHeight="1" x14ac:dyDescent="0.3">
      <c r="A164" s="22">
        <v>160</v>
      </c>
      <c r="B164" s="23">
        <v>1</v>
      </c>
      <c r="C164" s="23" t="s">
        <v>43</v>
      </c>
      <c r="D164" s="23" t="str">
        <f>VLOOKUP(C164,'[1]1.CUADRO RESUMEN DE SITIOS '!$C$5:$L$1052,2,FALSE())</f>
        <v>JCOR_00250</v>
      </c>
      <c r="E164" s="24">
        <f>VLOOKUP(C164,'[1]1.CUADRO RESUMEN DE SITIOS '!$C$5:$L$1052,3,FALSE())</f>
        <v>46002</v>
      </c>
      <c r="F164" s="23">
        <f>VLOOKUP(C164,'[1]1.CUADRO RESUMEN DE SITIOS '!$C$5:$L$1052,4,FALSE())</f>
        <v>8.9624400000000009</v>
      </c>
      <c r="G164" s="23">
        <f>VLOOKUP(C164,'[1]1.CUADRO RESUMEN DE SITIOS '!$C$5:$L$1052,5,FALSE())</f>
        <v>-75.293490000000006</v>
      </c>
      <c r="H164" s="23" t="str">
        <f>VLOOKUP(C164,'[1]1.CUADRO RESUMEN DE SITIOS '!$C$5:$L$1052,6,FALSE())</f>
        <v>Cordoba</v>
      </c>
      <c r="I164" s="23" t="str">
        <f>VLOOKUP(C164,'[1]1.CUADRO RESUMEN DE SITIOS '!$C$5:$L$1052,7,FALSE())</f>
        <v>WOM-HUAWEI</v>
      </c>
      <c r="J164" s="25" t="str">
        <f>VLOOKUP(C164,'[1]1.CUADRO RESUMEN DE SITIOS '!$C$5:$L$1052,8,FALSE())</f>
        <v>COSTA</v>
      </c>
      <c r="K164" s="23" t="str">
        <f>VLOOKUP(C164,'[1]1.CUADRO RESUMEN DE SITIOS '!$C$5:$L$1052,9,FALSE())</f>
        <v>Cesar Osorio</v>
      </c>
      <c r="L164" s="26" t="str">
        <f>VLOOKUP(C164,'[1]1.CUADRO RESUMEN DE SITIOS '!$C$5:$L$1052,10,FALSE())</f>
        <v>Terminado</v>
      </c>
      <c r="M164" s="26">
        <v>8828119941</v>
      </c>
      <c r="N164" s="26">
        <f>VLOOKUP(M164,[1]LPU!$A$2:$G$1512,2,FALSE())</f>
        <v>165</v>
      </c>
      <c r="O164" s="26" t="str">
        <f>VLOOKUP(M164,[1]LPU!$A$2:$G$1512,3,FALSE)</f>
        <v>Transporte tipo C, zona de dificil acceso</v>
      </c>
      <c r="P164" s="26" t="str">
        <f>VLOOKUP(M164,[1]LPU!$A$2:$G$1512,4,FALSE())</f>
        <v>LOCATIVO</v>
      </c>
      <c r="Q164" s="26" t="str">
        <f>VLOOKUP(M164,[1]LPU!$A$2:$G$1512,5,FALSE())</f>
        <v>Global</v>
      </c>
      <c r="R164" s="27">
        <f>VLOOKUP(M164,[1]LPU!$A$2:$G$1512,6,FALSE())</f>
        <v>388801.05</v>
      </c>
      <c r="S164" s="27" t="str">
        <f>VLOOKUP(M164,[1]LPU!$A$2:$G$1512,7,FALSE())</f>
        <v>LPU FLM</v>
      </c>
      <c r="T164" s="28">
        <v>1</v>
      </c>
      <c r="U164" s="29">
        <f t="shared" si="3"/>
        <v>388801.05</v>
      </c>
      <c r="V164" s="29" t="s">
        <v>47</v>
      </c>
      <c r="W164" s="30"/>
      <c r="X164" s="29" t="s">
        <v>38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ht="21" customHeight="1" x14ac:dyDescent="0.3">
      <c r="A165" s="22">
        <v>161</v>
      </c>
      <c r="B165" s="23">
        <v>1</v>
      </c>
      <c r="C165" s="23" t="s">
        <v>117</v>
      </c>
      <c r="D165" s="23" t="str">
        <f>VLOOKUP(C165,'[1]1.CUADRO RESUMEN DE SITIOS '!$C$5:$L$1052,2,FALSE())</f>
        <v>JCOR_00067</v>
      </c>
      <c r="E165" s="24">
        <f>VLOOKUP(C165,'[1]1.CUADRO RESUMEN DE SITIOS '!$C$5:$L$1052,3,FALSE())</f>
        <v>46010</v>
      </c>
      <c r="F165" s="23">
        <f>VLOOKUP(C165,'[1]1.CUADRO RESUMEN DE SITIOS '!$C$5:$L$1052,4,FALSE())</f>
        <v>7.8692000000000002</v>
      </c>
      <c r="G165" s="23">
        <f>VLOOKUP(C165,'[1]1.CUADRO RESUMEN DE SITIOS '!$C$5:$L$1052,5,FALSE())</f>
        <v>-75.893609999999995</v>
      </c>
      <c r="H165" s="23" t="str">
        <f>VLOOKUP(C165,'[1]1.CUADRO RESUMEN DE SITIOS '!$C$5:$L$1052,6,FALSE())</f>
        <v>Córdoba</v>
      </c>
      <c r="I165" s="23" t="str">
        <f>VLOOKUP(C165,'[1]1.CUADRO RESUMEN DE SITIOS '!$C$5:$L$1052,7,FALSE())</f>
        <v>WOM-HUAWEI</v>
      </c>
      <c r="J165" s="25" t="str">
        <f>VLOOKUP(C165,'[1]1.CUADRO RESUMEN DE SITIOS '!$C$5:$L$1052,8,FALSE())</f>
        <v>COSTA</v>
      </c>
      <c r="K165" s="23" t="str">
        <f>VLOOKUP(C165,'[1]1.CUADRO RESUMEN DE SITIOS '!$C$5:$L$1052,9,FALSE())</f>
        <v>Cesar Osorio</v>
      </c>
      <c r="L165" s="26" t="str">
        <f>VLOOKUP(C165,'[1]1.CUADRO RESUMEN DE SITIOS '!$C$5:$L$1052,10,FALSE())</f>
        <v>Terminado</v>
      </c>
      <c r="M165" s="26">
        <v>8828119788</v>
      </c>
      <c r="N165" s="26">
        <f>VLOOKUP(M165,[1]LPU!$A$2:$G$1512,2,FALSE())</f>
        <v>2.02</v>
      </c>
      <c r="O165" s="26" t="str">
        <f>VLOOKUP(M165,[1]LPU!$A$2:$G$1512,3,FALSE)</f>
        <v>Protocolo de verticalidad torre hasta 100 m de altura, Incluye protocolo previo y posterior a la actividad a realizar. Incluye documentación e informe de protocolo.</v>
      </c>
      <c r="P165" s="26" t="str">
        <f>VLOOKUP(M165,[1]LPU!$A$2:$G$1512,4,FALSE())</f>
        <v>Mantenimiento CW</v>
      </c>
      <c r="Q165" s="26" t="str">
        <f>VLOOKUP(M165,[1]LPU!$A$2:$G$1512,5,FALSE())</f>
        <v>GL</v>
      </c>
      <c r="R165" s="27">
        <f>VLOOKUP(M165,[1]LPU!$A$2:$G$1512,6,FALSE())</f>
        <v>974025.2</v>
      </c>
      <c r="S165" s="27" t="str">
        <f>VLOOKUP(M165,[1]LPU!$A$2:$G$1512,7,FALSE())</f>
        <v>Mantenimiento CW</v>
      </c>
      <c r="T165" s="28">
        <v>1</v>
      </c>
      <c r="U165" s="29">
        <f t="shared" si="3"/>
        <v>974025.2</v>
      </c>
      <c r="V165" s="29" t="s">
        <v>47</v>
      </c>
      <c r="W165" s="30"/>
      <c r="X165" s="29" t="s">
        <v>38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ht="21" customHeight="1" x14ac:dyDescent="0.3">
      <c r="A166" s="22">
        <v>162</v>
      </c>
      <c r="B166" s="23">
        <v>1</v>
      </c>
      <c r="C166" s="23" t="s">
        <v>117</v>
      </c>
      <c r="D166" s="23" t="str">
        <f>VLOOKUP(C166,'[1]1.CUADRO RESUMEN DE SITIOS '!$C$5:$L$1052,2,FALSE())</f>
        <v>JCOR_00067</v>
      </c>
      <c r="E166" s="24">
        <f>VLOOKUP(C166,'[1]1.CUADRO RESUMEN DE SITIOS '!$C$5:$L$1052,3,FALSE())</f>
        <v>46010</v>
      </c>
      <c r="F166" s="23">
        <f>VLOOKUP(C166,'[1]1.CUADRO RESUMEN DE SITIOS '!$C$5:$L$1052,4,FALSE())</f>
        <v>7.8692000000000002</v>
      </c>
      <c r="G166" s="23">
        <f>VLOOKUP(C166,'[1]1.CUADRO RESUMEN DE SITIOS '!$C$5:$L$1052,5,FALSE())</f>
        <v>-75.893609999999995</v>
      </c>
      <c r="H166" s="23" t="str">
        <f>VLOOKUP(C166,'[1]1.CUADRO RESUMEN DE SITIOS '!$C$5:$L$1052,6,FALSE())</f>
        <v>Córdoba</v>
      </c>
      <c r="I166" s="23" t="str">
        <f>VLOOKUP(C166,'[1]1.CUADRO RESUMEN DE SITIOS '!$C$5:$L$1052,7,FALSE())</f>
        <v>WOM-HUAWEI</v>
      </c>
      <c r="J166" s="25" t="str">
        <f>VLOOKUP(C166,'[1]1.CUADRO RESUMEN DE SITIOS '!$C$5:$L$1052,8,FALSE())</f>
        <v>COSTA</v>
      </c>
      <c r="K166" s="23" t="str">
        <f>VLOOKUP(C166,'[1]1.CUADRO RESUMEN DE SITIOS '!$C$5:$L$1052,9,FALSE())</f>
        <v>Cesar Osorio</v>
      </c>
      <c r="L166" s="26" t="str">
        <f>VLOOKUP(C166,'[1]1.CUADRO RESUMEN DE SITIOS '!$C$5:$L$1052,10,FALSE())</f>
        <v>Terminado</v>
      </c>
      <c r="M166" s="26">
        <v>8828119807</v>
      </c>
      <c r="N166" s="26">
        <f>VLOOKUP(M166,[1]LPU!$A$2:$G$1512,2,FALSE())</f>
        <v>2.0299999999999998</v>
      </c>
      <c r="O166" s="26" t="str">
        <f>VLOOKUP(M166,[1]LPU!$A$2:$G$1512,3,FALSE)</f>
        <v>Ajuste de tensión de riendas acorde con la norma EIA/TIA222F - EIA/TIA222G. Incluye todos los elementos y equipos necesarios para la realización. De acuerdo a la altura de la torre.</v>
      </c>
      <c r="P166" s="26" t="str">
        <f>VLOOKUP(M166,[1]LPU!$A$2:$G$1512,4,FALSE())</f>
        <v>Mantenimiento CW</v>
      </c>
      <c r="Q166" s="26" t="str">
        <f>VLOOKUP(M166,[1]LPU!$A$2:$G$1512,5,FALSE())</f>
        <v>UN</v>
      </c>
      <c r="R166" s="27">
        <f>VLOOKUP(M166,[1]LPU!$A$2:$G$1512,6,FALSE())</f>
        <v>318112.5</v>
      </c>
      <c r="S166" s="27" t="str">
        <f>VLOOKUP(M166,[1]LPU!$A$2:$G$1512,7,FALSE())</f>
        <v>Mantenimiento CW</v>
      </c>
      <c r="T166" s="28">
        <v>4</v>
      </c>
      <c r="U166" s="29">
        <f t="shared" si="3"/>
        <v>1272450</v>
      </c>
      <c r="V166" s="29" t="s">
        <v>47</v>
      </c>
      <c r="W166" s="30"/>
      <c r="X166" s="29" t="s">
        <v>38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ht="21" customHeight="1" x14ac:dyDescent="0.3">
      <c r="A167" s="22">
        <v>163</v>
      </c>
      <c r="B167" s="23">
        <v>1</v>
      </c>
      <c r="C167" s="23" t="s">
        <v>117</v>
      </c>
      <c r="D167" s="23" t="str">
        <f>VLOOKUP(C167,'[1]1.CUADRO RESUMEN DE SITIOS '!$C$5:$L$1052,2,FALSE())</f>
        <v>JCOR_00067</v>
      </c>
      <c r="E167" s="24">
        <f>VLOOKUP(C167,'[1]1.CUADRO RESUMEN DE SITIOS '!$C$5:$L$1052,3,FALSE())</f>
        <v>46010</v>
      </c>
      <c r="F167" s="23">
        <f>VLOOKUP(C167,'[1]1.CUADRO RESUMEN DE SITIOS '!$C$5:$L$1052,4,FALSE())</f>
        <v>7.8692000000000002</v>
      </c>
      <c r="G167" s="23">
        <f>VLOOKUP(C167,'[1]1.CUADRO RESUMEN DE SITIOS '!$C$5:$L$1052,5,FALSE())</f>
        <v>-75.893609999999995</v>
      </c>
      <c r="H167" s="23" t="str">
        <f>VLOOKUP(C167,'[1]1.CUADRO RESUMEN DE SITIOS '!$C$5:$L$1052,6,FALSE())</f>
        <v>Córdoba</v>
      </c>
      <c r="I167" s="23" t="str">
        <f>VLOOKUP(C167,'[1]1.CUADRO RESUMEN DE SITIOS '!$C$5:$L$1052,7,FALSE())</f>
        <v>WOM-HUAWEI</v>
      </c>
      <c r="J167" s="25" t="str">
        <f>VLOOKUP(C167,'[1]1.CUADRO RESUMEN DE SITIOS '!$C$5:$L$1052,8,FALSE())</f>
        <v>COSTA</v>
      </c>
      <c r="K167" s="23" t="str">
        <f>VLOOKUP(C167,'[1]1.CUADRO RESUMEN DE SITIOS '!$C$5:$L$1052,9,FALSE())</f>
        <v>Cesar Osorio</v>
      </c>
      <c r="L167" s="26" t="str">
        <f>VLOOKUP(C167,'[1]1.CUADRO RESUMEN DE SITIOS '!$C$5:$L$1052,10,FALSE())</f>
        <v>Terminado</v>
      </c>
      <c r="M167" s="26">
        <v>8828119815</v>
      </c>
      <c r="N167" s="26">
        <f>VLOOKUP(M167,[1]LPU!$A$2:$G$1512,2,FALSE())</f>
        <v>2.04</v>
      </c>
      <c r="O167" s="26" t="str">
        <f>VLOOKUP(M167,[1]LPU!$A$2:$G$1512,3,FALSE)</f>
        <v>Torqueo tornillería torre acorde con la norma EIA/TIA222F - EIA/TIA222G. Incluye protocolo de torque, todos los elementos y equipos necesarios para la realización. De acuerdo a la altura de la torre</v>
      </c>
      <c r="P167" s="26" t="str">
        <f>VLOOKUP(M167,[1]LPU!$A$2:$G$1512,4,FALSE())</f>
        <v>Mantenimiento CW</v>
      </c>
      <c r="Q167" s="26" t="str">
        <f>VLOOKUP(M167,[1]LPU!$A$2:$G$1512,5,FALSE())</f>
        <v>UN</v>
      </c>
      <c r="R167" s="27">
        <f>VLOOKUP(M167,[1]LPU!$A$2:$G$1512,6,FALSE())</f>
        <v>1277092.7</v>
      </c>
      <c r="S167" s="27" t="str">
        <f>VLOOKUP(M167,[1]LPU!$A$2:$G$1512,7,FALSE())</f>
        <v>Mantenimiento CW</v>
      </c>
      <c r="T167" s="28">
        <v>1</v>
      </c>
      <c r="U167" s="29">
        <f t="shared" si="3"/>
        <v>1277092.7</v>
      </c>
      <c r="V167" s="29" t="s">
        <v>47</v>
      </c>
      <c r="W167" s="30"/>
      <c r="X167" s="29" t="s">
        <v>38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ht="21" customHeight="1" x14ac:dyDescent="0.3">
      <c r="A168" s="22">
        <v>164</v>
      </c>
      <c r="B168" s="23">
        <v>1</v>
      </c>
      <c r="C168" s="23" t="s">
        <v>117</v>
      </c>
      <c r="D168" s="23" t="str">
        <f>VLOOKUP(C168,'[1]1.CUADRO RESUMEN DE SITIOS '!$C$5:$L$1052,2,FALSE())</f>
        <v>JCOR_00067</v>
      </c>
      <c r="E168" s="24">
        <f>VLOOKUP(C168,'[1]1.CUADRO RESUMEN DE SITIOS '!$C$5:$L$1052,3,FALSE())</f>
        <v>46010</v>
      </c>
      <c r="F168" s="23">
        <f>VLOOKUP(C168,'[1]1.CUADRO RESUMEN DE SITIOS '!$C$5:$L$1052,4,FALSE())</f>
        <v>7.8692000000000002</v>
      </c>
      <c r="G168" s="23">
        <f>VLOOKUP(C168,'[1]1.CUADRO RESUMEN DE SITIOS '!$C$5:$L$1052,5,FALSE())</f>
        <v>-75.893609999999995</v>
      </c>
      <c r="H168" s="23" t="str">
        <f>VLOOKUP(C168,'[1]1.CUADRO RESUMEN DE SITIOS '!$C$5:$L$1052,6,FALSE())</f>
        <v>Córdoba</v>
      </c>
      <c r="I168" s="23" t="str">
        <f>VLOOKUP(C168,'[1]1.CUADRO RESUMEN DE SITIOS '!$C$5:$L$1052,7,FALSE())</f>
        <v>WOM-HUAWEI</v>
      </c>
      <c r="J168" s="25" t="str">
        <f>VLOOKUP(C168,'[1]1.CUADRO RESUMEN DE SITIOS '!$C$5:$L$1052,8,FALSE())</f>
        <v>COSTA</v>
      </c>
      <c r="K168" s="23" t="str">
        <f>VLOOKUP(C168,'[1]1.CUADRO RESUMEN DE SITIOS '!$C$5:$L$1052,9,FALSE())</f>
        <v>Cesar Osorio</v>
      </c>
      <c r="L168" s="26" t="str">
        <f>VLOOKUP(C168,'[1]1.CUADRO RESUMEN DE SITIOS '!$C$5:$L$1052,10,FALSE())</f>
        <v>Terminado</v>
      </c>
      <c r="M168" s="26">
        <v>8828120281</v>
      </c>
      <c r="N168" s="26">
        <f>VLOOKUP(M168,[1]LPU!$A$2:$G$1512,2,FALSE())</f>
        <v>5.24</v>
      </c>
      <c r="O168" s="26" t="str">
        <f>VLOOKUP(M168,[1]LPU!$A$2:$G$1512,3,FALSE)</f>
        <v>Cambio de perros de sujeción para riendas de guaya 1/2" galvanizado. Incluye suministro e instalación.</v>
      </c>
      <c r="P168" s="26" t="str">
        <f>VLOOKUP(M168,[1]LPU!$A$2:$G$1512,4,FALSE())</f>
        <v>Mantenimiento CW</v>
      </c>
      <c r="Q168" s="26" t="str">
        <f>VLOOKUP(M168,[1]LPU!$A$2:$G$1512,5,FALSE())</f>
        <v>UND</v>
      </c>
      <c r="R168" s="27">
        <f>VLOOKUP(M168,[1]LPU!$A$2:$G$1512,6,FALSE())</f>
        <v>20898.099999999999</v>
      </c>
      <c r="S168" s="27" t="str">
        <f>VLOOKUP(M168,[1]LPU!$A$2:$G$1512,7,FALSE())</f>
        <v>Mantenimiento CW</v>
      </c>
      <c r="T168" s="28">
        <v>54</v>
      </c>
      <c r="U168" s="29">
        <f t="shared" si="3"/>
        <v>1128497.3999999999</v>
      </c>
      <c r="V168" s="29" t="s">
        <v>47</v>
      </c>
      <c r="W168" s="30"/>
      <c r="X168" s="29" t="s">
        <v>38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ht="21" customHeight="1" x14ac:dyDescent="0.3">
      <c r="A169" s="22">
        <v>165</v>
      </c>
      <c r="B169" s="23">
        <v>1</v>
      </c>
      <c r="C169" s="23" t="s">
        <v>117</v>
      </c>
      <c r="D169" s="23" t="str">
        <f>VLOOKUP(C169,'[1]1.CUADRO RESUMEN DE SITIOS '!$C$5:$L$1052,2,FALSE())</f>
        <v>JCOR_00067</v>
      </c>
      <c r="E169" s="24">
        <f>VLOOKUP(C169,'[1]1.CUADRO RESUMEN DE SITIOS '!$C$5:$L$1052,3,FALSE())</f>
        <v>46010</v>
      </c>
      <c r="F169" s="23">
        <f>VLOOKUP(C169,'[1]1.CUADRO RESUMEN DE SITIOS '!$C$5:$L$1052,4,FALSE())</f>
        <v>7.8692000000000002</v>
      </c>
      <c r="G169" s="23">
        <f>VLOOKUP(C169,'[1]1.CUADRO RESUMEN DE SITIOS '!$C$5:$L$1052,5,FALSE())</f>
        <v>-75.893609999999995</v>
      </c>
      <c r="H169" s="23" t="str">
        <f>VLOOKUP(C169,'[1]1.CUADRO RESUMEN DE SITIOS '!$C$5:$L$1052,6,FALSE())</f>
        <v>Córdoba</v>
      </c>
      <c r="I169" s="23" t="str">
        <f>VLOOKUP(C169,'[1]1.CUADRO RESUMEN DE SITIOS '!$C$5:$L$1052,7,FALSE())</f>
        <v>WOM-HUAWEI</v>
      </c>
      <c r="J169" s="25" t="str">
        <f>VLOOKUP(C169,'[1]1.CUADRO RESUMEN DE SITIOS '!$C$5:$L$1052,8,FALSE())</f>
        <v>COSTA</v>
      </c>
      <c r="K169" s="23" t="str">
        <f>VLOOKUP(C169,'[1]1.CUADRO RESUMEN DE SITIOS '!$C$5:$L$1052,9,FALSE())</f>
        <v>Cesar Osorio</v>
      </c>
      <c r="L169" s="26" t="str">
        <f>VLOOKUP(C169,'[1]1.CUADRO RESUMEN DE SITIOS '!$C$5:$L$1052,10,FALSE())</f>
        <v>Terminado</v>
      </c>
      <c r="M169" s="26">
        <v>8828120068</v>
      </c>
      <c r="N169" s="26">
        <f>VLOOKUP(M169,[1]LPU!$A$2:$G$1512,2,FALSE())</f>
        <v>37</v>
      </c>
      <c r="O169" s="26" t="str">
        <f>VLOOKUP(M169,[1]LPU!$A$2:$G$1512,3,FALSE)</f>
        <v>Transporte con Acemila, Mula, Burro u otro animal con cualquier pendiente del terreno.</v>
      </c>
      <c r="P169" s="26" t="str">
        <f>VLOOKUP(M169,[1]LPU!$A$2:$G$1512,4,FALSE())</f>
        <v>ACCESO</v>
      </c>
      <c r="Q169" s="26" t="str">
        <f>VLOOKUP(M169,[1]LPU!$A$2:$G$1512,5,FALSE())</f>
        <v>U</v>
      </c>
      <c r="R169" s="27">
        <f>VLOOKUP(M169,[1]LPU!$A$2:$G$1512,6,FALSE())</f>
        <v>73372</v>
      </c>
      <c r="S169" s="27" t="str">
        <f>VLOOKUP(M169,[1]LPU!$A$2:$G$1512,7,FALSE())</f>
        <v>LPU FLM</v>
      </c>
      <c r="T169" s="28">
        <v>8</v>
      </c>
      <c r="U169" s="29">
        <f t="shared" si="3"/>
        <v>586976</v>
      </c>
      <c r="V169" s="29" t="s">
        <v>47</v>
      </c>
      <c r="W169" s="30"/>
      <c r="X169" s="29" t="s">
        <v>38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ht="21" customHeight="1" x14ac:dyDescent="0.3">
      <c r="A170" s="22">
        <v>166</v>
      </c>
      <c r="B170" s="23">
        <v>1</v>
      </c>
      <c r="C170" s="23" t="s">
        <v>117</v>
      </c>
      <c r="D170" s="23" t="str">
        <f>VLOOKUP(C170,'[1]1.CUADRO RESUMEN DE SITIOS '!$C$5:$L$1052,2,FALSE())</f>
        <v>JCOR_00067</v>
      </c>
      <c r="E170" s="24">
        <f>VLOOKUP(C170,'[1]1.CUADRO RESUMEN DE SITIOS '!$C$5:$L$1052,3,FALSE())</f>
        <v>46010</v>
      </c>
      <c r="F170" s="23">
        <f>VLOOKUP(C170,'[1]1.CUADRO RESUMEN DE SITIOS '!$C$5:$L$1052,4,FALSE())</f>
        <v>7.8692000000000002</v>
      </c>
      <c r="G170" s="23">
        <f>VLOOKUP(C170,'[1]1.CUADRO RESUMEN DE SITIOS '!$C$5:$L$1052,5,FALSE())</f>
        <v>-75.893609999999995</v>
      </c>
      <c r="H170" s="23" t="str">
        <f>VLOOKUP(C170,'[1]1.CUADRO RESUMEN DE SITIOS '!$C$5:$L$1052,6,FALSE())</f>
        <v>Córdoba</v>
      </c>
      <c r="I170" s="23" t="str">
        <f>VLOOKUP(C170,'[1]1.CUADRO RESUMEN DE SITIOS '!$C$5:$L$1052,7,FALSE())</f>
        <v>WOM-HUAWEI</v>
      </c>
      <c r="J170" s="25" t="str">
        <f>VLOOKUP(C170,'[1]1.CUADRO RESUMEN DE SITIOS '!$C$5:$L$1052,8,FALSE())</f>
        <v>COSTA</v>
      </c>
      <c r="K170" s="23" t="str">
        <f>VLOOKUP(C170,'[1]1.CUADRO RESUMEN DE SITIOS '!$C$5:$L$1052,9,FALSE())</f>
        <v>Cesar Osorio</v>
      </c>
      <c r="L170" s="26" t="str">
        <f>VLOOKUP(C170,'[1]1.CUADRO RESUMEN DE SITIOS '!$C$5:$L$1052,10,FALSE())</f>
        <v>Terminado</v>
      </c>
      <c r="M170" s="26">
        <v>8828119941</v>
      </c>
      <c r="N170" s="26">
        <f>VLOOKUP(M170,[1]LPU!$A$2:$G$1512,2,FALSE())</f>
        <v>165</v>
      </c>
      <c r="O170" s="26" t="str">
        <f>VLOOKUP(M170,[1]LPU!$A$2:$G$1512,3,FALSE)</f>
        <v>Transporte tipo C, zona de dificil acceso</v>
      </c>
      <c r="P170" s="26" t="str">
        <f>VLOOKUP(M170,[1]LPU!$A$2:$G$1512,4,FALSE())</f>
        <v>LOCATIVO</v>
      </c>
      <c r="Q170" s="26" t="str">
        <f>VLOOKUP(M170,[1]LPU!$A$2:$G$1512,5,FALSE())</f>
        <v>Global</v>
      </c>
      <c r="R170" s="27">
        <f>VLOOKUP(M170,[1]LPU!$A$2:$G$1512,6,FALSE())</f>
        <v>388801.05</v>
      </c>
      <c r="S170" s="27" t="str">
        <f>VLOOKUP(M170,[1]LPU!$A$2:$G$1512,7,FALSE())</f>
        <v>LPU FLM</v>
      </c>
      <c r="T170" s="28">
        <v>1</v>
      </c>
      <c r="U170" s="29">
        <f t="shared" si="3"/>
        <v>388801.05</v>
      </c>
      <c r="V170" s="29" t="s">
        <v>47</v>
      </c>
      <c r="W170" s="30"/>
      <c r="X170" s="29" t="s">
        <v>38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ht="21" customHeight="1" x14ac:dyDescent="0.3">
      <c r="A171" s="22">
        <v>167</v>
      </c>
      <c r="B171" s="23">
        <v>1</v>
      </c>
      <c r="C171" s="23" t="s">
        <v>118</v>
      </c>
      <c r="D171" s="23" t="str">
        <f>VLOOKUP(C171,'[1]1.CUADRO RESUMEN DE SITIOS '!$C$5:$L$1052,2,FALSE())</f>
        <v>CAU_06013</v>
      </c>
      <c r="E171" s="24">
        <f>VLOOKUP(C171,'[1]1.CUADRO RESUMEN DE SITIOS '!$C$5:$L$1052,3,FALSE())</f>
        <v>46001</v>
      </c>
      <c r="F171" s="23">
        <f>VLOOKUP(C171,'[1]1.CUADRO RESUMEN DE SITIOS '!$C$5:$L$1052,4,FALSE())</f>
        <v>2.1707000000000001</v>
      </c>
      <c r="G171" s="23">
        <f>VLOOKUP(C171,'[1]1.CUADRO RESUMEN DE SITIOS '!$C$5:$L$1052,5,FALSE())</f>
        <v>-76.897099999999995</v>
      </c>
      <c r="H171" s="23" t="str">
        <f>VLOOKUP(C171,'[1]1.CUADRO RESUMEN DE SITIOS '!$C$5:$L$1052,6,FALSE())</f>
        <v>Cauca</v>
      </c>
      <c r="I171" s="23" t="str">
        <f>VLOOKUP(C171,'[1]1.CUADRO RESUMEN DE SITIOS '!$C$5:$L$1052,7,FALSE())</f>
        <v>WOM-HUAWEI</v>
      </c>
      <c r="J171" s="25" t="str">
        <f>VLOOKUP(C171,'[1]1.CUADRO RESUMEN DE SITIOS '!$C$5:$L$1052,8,FALSE())</f>
        <v>NOROCCIDENTE</v>
      </c>
      <c r="K171" s="23" t="str">
        <f>VLOOKUP(C171,'[1]1.CUADRO RESUMEN DE SITIOS '!$C$5:$L$1052,9,FALSE())</f>
        <v>Alejandro Sanchez</v>
      </c>
      <c r="L171" s="26" t="str">
        <f>VLOOKUP(C171,'[1]1.CUADRO RESUMEN DE SITIOS '!$C$5:$L$1052,10,FALSE())</f>
        <v>Terminado</v>
      </c>
      <c r="M171" s="26">
        <v>8828118956</v>
      </c>
      <c r="N171" s="26">
        <f>VLOOKUP(M171,[1]LPU!$A$2:$G$1512,2,FALSE())</f>
        <v>0</v>
      </c>
      <c r="O171" s="26" t="str">
        <f>VLOOKUP(M171,[1]LPU!$A$2:$G$1512,3,FALSE)</f>
        <v>Cable UTP Categoría 6, con conectores en sus extremos, certificado</v>
      </c>
      <c r="P171" s="26" t="str">
        <f>VLOOKUP(M171,[1]LPU!$A$2:$G$1512,4,FALSE())</f>
        <v>Item Critico</v>
      </c>
      <c r="Q171" s="26" t="str">
        <f>VLOOKUP(M171,[1]LPU!$A$2:$G$1512,5,FALSE())</f>
        <v>m</v>
      </c>
      <c r="R171" s="27">
        <f>VLOOKUP(M171,[1]LPU!$A$2:$G$1512,6,FALSE())</f>
        <v>4945</v>
      </c>
      <c r="S171" s="27" t="str">
        <f>VLOOKUP(M171,[1]LPU!$A$2:$G$1512,7,FALSE())</f>
        <v>LPU FO Propia</v>
      </c>
      <c r="T171" s="28">
        <v>50</v>
      </c>
      <c r="U171" s="29">
        <f t="shared" si="3"/>
        <v>247250</v>
      </c>
      <c r="V171" s="29" t="s">
        <v>119</v>
      </c>
      <c r="W171" s="30"/>
      <c r="X171" s="29" t="s">
        <v>120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ht="21" customHeight="1" x14ac:dyDescent="0.3">
      <c r="A172" s="22">
        <v>168</v>
      </c>
      <c r="B172" s="23">
        <v>1</v>
      </c>
      <c r="C172" s="23" t="s">
        <v>121</v>
      </c>
      <c r="D172" s="23" t="str">
        <f>VLOOKUP(C172,'[1]1.CUADRO RESUMEN DE SITIOS '!$C$5:$L$1052,2,FALSE())</f>
        <v>JPUT_00059</v>
      </c>
      <c r="E172" s="24">
        <f>VLOOKUP(C172,'[1]1.CUADRO RESUMEN DE SITIOS '!$C$5:$L$1052,3,FALSE())</f>
        <v>45995</v>
      </c>
      <c r="F172" s="23">
        <f>VLOOKUP(C172,'[1]1.CUADRO RESUMEN DE SITIOS '!$C$5:$L$1052,4,FALSE())</f>
        <v>1.0099</v>
      </c>
      <c r="G172" s="23">
        <f>VLOOKUP(C172,'[1]1.CUADRO RESUMEN DE SITIOS '!$C$5:$L$1052,5,FALSE())</f>
        <v>-76.507900000000006</v>
      </c>
      <c r="H172" s="23" t="str">
        <f>VLOOKUP(C172,'[1]1.CUADRO RESUMEN DE SITIOS '!$C$5:$L$1052,6,FALSE())</f>
        <v>Putumayo</v>
      </c>
      <c r="I172" s="23" t="str">
        <f>VLOOKUP(C172,'[1]1.CUADRO RESUMEN DE SITIOS '!$C$5:$L$1052,7,FALSE())</f>
        <v>WOM-HUAWEI</v>
      </c>
      <c r="J172" s="25" t="str">
        <f>VLOOKUP(C172,'[1]1.CUADRO RESUMEN DE SITIOS '!$C$5:$L$1052,8,FALSE())</f>
        <v>SUROCCIDENTE</v>
      </c>
      <c r="K172" s="23" t="str">
        <f>VLOOKUP(C172,'[1]1.CUADRO RESUMEN DE SITIOS '!$C$5:$L$1052,9,FALSE())</f>
        <v>Maria Camila Torres</v>
      </c>
      <c r="L172" s="26" t="str">
        <f>VLOOKUP(C172,'[1]1.CUADRO RESUMEN DE SITIOS '!$C$5:$L$1052,10,FALSE())</f>
        <v>Terminado</v>
      </c>
      <c r="M172" s="26">
        <v>8828119110</v>
      </c>
      <c r="N172" s="26">
        <f>VLOOKUP(M172,[1]LPU!$A$2:$G$1512,2,FALSE())</f>
        <v>107</v>
      </c>
      <c r="O172" s="26" t="str">
        <f>VLOOKUP(M172,[1]LPU!$A$2:$G$1512,3,FALSE)</f>
        <v>Mano de Obra Tecnico Electricista Certficado CONTE</v>
      </c>
      <c r="P172" s="26" t="str">
        <f>VLOOKUP(M172,[1]LPU!$A$2:$G$1512,4,FALSE())</f>
        <v>ENERGÍA</v>
      </c>
      <c r="Q172" s="26" t="str">
        <f>VLOOKUP(M172,[1]LPU!$A$2:$G$1512,5,FALSE())</f>
        <v>DIA</v>
      </c>
      <c r="R172" s="27">
        <f>VLOOKUP(M172,[1]LPU!$A$2:$G$1512,6,FALSE())</f>
        <v>136000</v>
      </c>
      <c r="S172" s="27" t="str">
        <f>VLOOKUP(M172,[1]LPU!$A$2:$G$1512,7,FALSE())</f>
        <v>LPU FLM</v>
      </c>
      <c r="T172" s="28">
        <v>1</v>
      </c>
      <c r="U172" s="29">
        <f t="shared" si="3"/>
        <v>136000</v>
      </c>
      <c r="V172" s="29" t="s">
        <v>122</v>
      </c>
      <c r="W172" s="30"/>
      <c r="X172" s="29" t="s">
        <v>38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ht="21" customHeight="1" x14ac:dyDescent="0.3">
      <c r="A173" s="22">
        <v>169</v>
      </c>
      <c r="B173" s="23">
        <v>1</v>
      </c>
      <c r="C173" s="23" t="s">
        <v>121</v>
      </c>
      <c r="D173" s="23" t="str">
        <f>VLOOKUP(C173,'[1]1.CUADRO RESUMEN DE SITIOS '!$C$5:$L$1052,2,FALSE())</f>
        <v>JPUT_00059</v>
      </c>
      <c r="E173" s="24">
        <f>VLOOKUP(C173,'[1]1.CUADRO RESUMEN DE SITIOS '!$C$5:$L$1052,3,FALSE())</f>
        <v>45995</v>
      </c>
      <c r="F173" s="23">
        <f>VLOOKUP(C173,'[1]1.CUADRO RESUMEN DE SITIOS '!$C$5:$L$1052,4,FALSE())</f>
        <v>1.0099</v>
      </c>
      <c r="G173" s="23">
        <f>VLOOKUP(C173,'[1]1.CUADRO RESUMEN DE SITIOS '!$C$5:$L$1052,5,FALSE())</f>
        <v>-76.507900000000006</v>
      </c>
      <c r="H173" s="23" t="str">
        <f>VLOOKUP(C173,'[1]1.CUADRO RESUMEN DE SITIOS '!$C$5:$L$1052,6,FALSE())</f>
        <v>Putumayo</v>
      </c>
      <c r="I173" s="23" t="str">
        <f>VLOOKUP(C173,'[1]1.CUADRO RESUMEN DE SITIOS '!$C$5:$L$1052,7,FALSE())</f>
        <v>WOM-HUAWEI</v>
      </c>
      <c r="J173" s="25" t="str">
        <f>VLOOKUP(C173,'[1]1.CUADRO RESUMEN DE SITIOS '!$C$5:$L$1052,8,FALSE())</f>
        <v>SUROCCIDENTE</v>
      </c>
      <c r="K173" s="23" t="str">
        <f>VLOOKUP(C173,'[1]1.CUADRO RESUMEN DE SITIOS '!$C$5:$L$1052,9,FALSE())</f>
        <v>Maria Camila Torres</v>
      </c>
      <c r="L173" s="26" t="str">
        <f>VLOOKUP(C173,'[1]1.CUADRO RESUMEN DE SITIOS '!$C$5:$L$1052,10,FALSE())</f>
        <v>Terminado</v>
      </c>
      <c r="M173" s="26">
        <v>8828118943</v>
      </c>
      <c r="N173" s="26">
        <f>VLOOKUP(M173,[1]LPU!$A$2:$G$1512,2,FALSE())</f>
        <v>2.09</v>
      </c>
      <c r="O173" s="26" t="str">
        <f>VLOOKUP(M173,[1]LPU!$A$2:$G$1512,3,FALSE)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173" s="26" t="str">
        <f>VLOOKUP(M173,[1]LPU!$A$2:$G$1512,4,FALSE())</f>
        <v>Mantenimiento Electrico</v>
      </c>
      <c r="Q173" s="26" t="str">
        <f>VLOOKUP(M173,[1]LPU!$A$2:$G$1512,5,FALSE())</f>
        <v>Global</v>
      </c>
      <c r="R173" s="27">
        <f>VLOOKUP(M173,[1]LPU!$A$2:$G$1512,6,FALSE())</f>
        <v>1086294.8999999999</v>
      </c>
      <c r="S173" s="27" t="str">
        <f>VLOOKUP(M173,[1]LPU!$A$2:$G$1512,7,FALSE())</f>
        <v>Mantenimiento Electrico</v>
      </c>
      <c r="T173" s="28">
        <v>1</v>
      </c>
      <c r="U173" s="29">
        <f t="shared" si="3"/>
        <v>1086294.8999999999</v>
      </c>
      <c r="V173" s="29" t="s">
        <v>122</v>
      </c>
      <c r="W173" s="30"/>
      <c r="X173" s="29" t="s">
        <v>38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ht="21" customHeight="1" x14ac:dyDescent="0.3">
      <c r="A174" s="22">
        <v>170</v>
      </c>
      <c r="B174" s="23">
        <v>1</v>
      </c>
      <c r="C174" s="23" t="s">
        <v>121</v>
      </c>
      <c r="D174" s="23" t="str">
        <f>VLOOKUP(C174,'[1]1.CUADRO RESUMEN DE SITIOS '!$C$5:$L$1052,2,FALSE())</f>
        <v>JPUT_00059</v>
      </c>
      <c r="E174" s="24">
        <f>VLOOKUP(C174,'[1]1.CUADRO RESUMEN DE SITIOS '!$C$5:$L$1052,3,FALSE())</f>
        <v>45995</v>
      </c>
      <c r="F174" s="23">
        <f>VLOOKUP(C174,'[1]1.CUADRO RESUMEN DE SITIOS '!$C$5:$L$1052,4,FALSE())</f>
        <v>1.0099</v>
      </c>
      <c r="G174" s="23">
        <f>VLOOKUP(C174,'[1]1.CUADRO RESUMEN DE SITIOS '!$C$5:$L$1052,5,FALSE())</f>
        <v>-76.507900000000006</v>
      </c>
      <c r="H174" s="23" t="str">
        <f>VLOOKUP(C174,'[1]1.CUADRO RESUMEN DE SITIOS '!$C$5:$L$1052,6,FALSE())</f>
        <v>Putumayo</v>
      </c>
      <c r="I174" s="23" t="str">
        <f>VLOOKUP(C174,'[1]1.CUADRO RESUMEN DE SITIOS '!$C$5:$L$1052,7,FALSE())</f>
        <v>WOM-HUAWEI</v>
      </c>
      <c r="J174" s="25" t="str">
        <f>VLOOKUP(C174,'[1]1.CUADRO RESUMEN DE SITIOS '!$C$5:$L$1052,8,FALSE())</f>
        <v>SUROCCIDENTE</v>
      </c>
      <c r="K174" s="23" t="str">
        <f>VLOOKUP(C174,'[1]1.CUADRO RESUMEN DE SITIOS '!$C$5:$L$1052,9,FALSE())</f>
        <v>Maria Camila Torres</v>
      </c>
      <c r="L174" s="26" t="str">
        <f>VLOOKUP(C174,'[1]1.CUADRO RESUMEN DE SITIOS '!$C$5:$L$1052,10,FALSE())</f>
        <v>Terminado</v>
      </c>
      <c r="M174" s="26">
        <v>8828119941</v>
      </c>
      <c r="N174" s="26">
        <f>VLOOKUP(M174,[1]LPU!$A$2:$G$1512,2,FALSE())</f>
        <v>165</v>
      </c>
      <c r="O174" s="26" t="str">
        <f>VLOOKUP(M174,[1]LPU!$A$2:$G$1512,3,FALSE)</f>
        <v>Transporte tipo C, zona de dificil acceso</v>
      </c>
      <c r="P174" s="26" t="str">
        <f>VLOOKUP(M174,[1]LPU!$A$2:$G$1512,4,FALSE())</f>
        <v>LOCATIVO</v>
      </c>
      <c r="Q174" s="26" t="str">
        <f>VLOOKUP(M174,[1]LPU!$A$2:$G$1512,5,FALSE())</f>
        <v>Global</v>
      </c>
      <c r="R174" s="27">
        <f>VLOOKUP(M174,[1]LPU!$A$2:$G$1512,6,FALSE())</f>
        <v>388801.05</v>
      </c>
      <c r="S174" s="27" t="str">
        <f>VLOOKUP(M174,[1]LPU!$A$2:$G$1512,7,FALSE())</f>
        <v>LPU FLM</v>
      </c>
      <c r="T174" s="28">
        <v>1</v>
      </c>
      <c r="U174" s="29">
        <f t="shared" si="3"/>
        <v>388801.05</v>
      </c>
      <c r="V174" s="29" t="s">
        <v>122</v>
      </c>
      <c r="W174" s="30"/>
      <c r="X174" s="29" t="s">
        <v>38</v>
      </c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ht="21" customHeight="1" x14ac:dyDescent="0.3">
      <c r="A175" s="22">
        <v>171</v>
      </c>
      <c r="B175" s="23">
        <v>1</v>
      </c>
      <c r="C175" s="23" t="s">
        <v>123</v>
      </c>
      <c r="D175" s="23" t="str">
        <f>VLOOKUP(C175,'[1]1.CUADRO RESUMEN DE SITIOS '!$C$5:$L$1052,2,FALSE())</f>
        <v>CLI_01012</v>
      </c>
      <c r="E175" s="24">
        <f>VLOOKUP(C175,'[1]1.CUADRO RESUMEN DE SITIOS '!$C$5:$L$1052,3,FALSE())</f>
        <v>46003</v>
      </c>
      <c r="F175" s="23">
        <f>VLOOKUP(C175,'[1]1.CUADRO RESUMEN DE SITIOS '!$C$5:$L$1052,4,FALSE())</f>
        <v>3.475041</v>
      </c>
      <c r="G175" s="23">
        <f>VLOOKUP(C175,'[1]1.CUADRO RESUMEN DE SITIOS '!$C$5:$L$1052,5,FALSE())</f>
        <v>-76.520144999999999</v>
      </c>
      <c r="H175" s="23" t="str">
        <f>VLOOKUP(C175,'[1]1.CUADRO RESUMEN DE SITIOS '!$C$5:$L$1052,6,FALSE())</f>
        <v>Valle del Cauca</v>
      </c>
      <c r="I175" s="23" t="str">
        <f>VLOOKUP(C175,'[1]1.CUADRO RESUMEN DE SITIOS '!$C$5:$L$1052,7,FALSE())</f>
        <v>WOM-HUAWEI</v>
      </c>
      <c r="J175" s="25" t="str">
        <f>VLOOKUP(C175,'[1]1.CUADRO RESUMEN DE SITIOS '!$C$5:$L$1052,8,FALSE())</f>
        <v>SUROCCIDENTE</v>
      </c>
      <c r="K175" s="23" t="str">
        <f>VLOOKUP(C175,'[1]1.CUADRO RESUMEN DE SITIOS '!$C$5:$L$1052,9,FALSE())</f>
        <v>Alejandro Sanchez</v>
      </c>
      <c r="L175" s="26" t="str">
        <f>VLOOKUP(C175,'[1]1.CUADRO RESUMEN DE SITIOS '!$C$5:$L$1052,10,FALSE())</f>
        <v>Terminado</v>
      </c>
      <c r="M175" s="26">
        <v>8828118868</v>
      </c>
      <c r="N175" s="26">
        <f>VLOOKUP(M175,[1]LPU!$A$2:$G$1512,2,FALSE())</f>
        <v>81</v>
      </c>
      <c r="O175" s="26" t="str">
        <f>VLOOKUP(M175,[1]LPU!$A$2:$G$1512,3,FALSE)</f>
        <v>Suministro e Instalacion de terminal para cable awg # 2 en cobre estañado un ojo</v>
      </c>
      <c r="P175" s="26" t="str">
        <f>VLOOKUP(M175,[1]LPU!$A$2:$G$1512,4,FALSE())</f>
        <v>ENERGÍA</v>
      </c>
      <c r="Q175" s="26" t="str">
        <f>VLOOKUP(M175,[1]LPU!$A$2:$G$1512,5,FALSE())</f>
        <v>U</v>
      </c>
      <c r="R175" s="27">
        <f>VLOOKUP(M175,[1]LPU!$A$2:$G$1512,6,FALSE())</f>
        <v>2347</v>
      </c>
      <c r="S175" s="27" t="str">
        <f>VLOOKUP(M175,[1]LPU!$A$2:$G$1512,7,FALSE())</f>
        <v>LPU FLM</v>
      </c>
      <c r="T175" s="28">
        <v>4</v>
      </c>
      <c r="U175" s="29">
        <f t="shared" si="3"/>
        <v>9388</v>
      </c>
      <c r="V175" s="29" t="s">
        <v>119</v>
      </c>
      <c r="W175" s="30"/>
      <c r="X175" s="29" t="s">
        <v>38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ht="21" customHeight="1" x14ac:dyDescent="0.3">
      <c r="A176" s="22">
        <v>172</v>
      </c>
      <c r="B176" s="23">
        <v>1</v>
      </c>
      <c r="C176" s="23" t="s">
        <v>123</v>
      </c>
      <c r="D176" s="23" t="str">
        <f>VLOOKUP(C176,'[1]1.CUADRO RESUMEN DE SITIOS '!$C$5:$L$1052,2,FALSE())</f>
        <v>CLI_01012</v>
      </c>
      <c r="E176" s="24">
        <f>VLOOKUP(C176,'[1]1.CUADRO RESUMEN DE SITIOS '!$C$5:$L$1052,3,FALSE())</f>
        <v>46003</v>
      </c>
      <c r="F176" s="23">
        <f>VLOOKUP(C176,'[1]1.CUADRO RESUMEN DE SITIOS '!$C$5:$L$1052,4,FALSE())</f>
        <v>3.475041</v>
      </c>
      <c r="G176" s="23">
        <f>VLOOKUP(C176,'[1]1.CUADRO RESUMEN DE SITIOS '!$C$5:$L$1052,5,FALSE())</f>
        <v>-76.520144999999999</v>
      </c>
      <c r="H176" s="23" t="str">
        <f>VLOOKUP(C176,'[1]1.CUADRO RESUMEN DE SITIOS '!$C$5:$L$1052,6,FALSE())</f>
        <v>Valle del Cauca</v>
      </c>
      <c r="I176" s="23" t="str">
        <f>VLOOKUP(C176,'[1]1.CUADRO RESUMEN DE SITIOS '!$C$5:$L$1052,7,FALSE())</f>
        <v>WOM-HUAWEI</v>
      </c>
      <c r="J176" s="25" t="str">
        <f>VLOOKUP(C176,'[1]1.CUADRO RESUMEN DE SITIOS '!$C$5:$L$1052,8,FALSE())</f>
        <v>SUROCCIDENTE</v>
      </c>
      <c r="K176" s="23" t="str">
        <f>VLOOKUP(C176,'[1]1.CUADRO RESUMEN DE SITIOS '!$C$5:$L$1052,9,FALSE())</f>
        <v>Alejandro Sanchez</v>
      </c>
      <c r="L176" s="26" t="str">
        <f>VLOOKUP(C176,'[1]1.CUADRO RESUMEN DE SITIOS '!$C$5:$L$1052,10,FALSE())</f>
        <v>Terminado</v>
      </c>
      <c r="M176" s="26">
        <v>8828119066</v>
      </c>
      <c r="N176" s="26">
        <f>VLOOKUP(M176,[1]LPU!$A$2:$G$1512,2,FALSE())</f>
        <v>2.25</v>
      </c>
      <c r="O176" s="26" t="str">
        <f>VLOOKUP(M176,[1]LPU!$A$2:$G$1512,3,FALSE)</f>
        <v>Suministro e instalación de Cable de aluminio calibre 4 AWG THHN, Incluye suministro e instalación de cable hasta calibre 4 AWG, conforme diagrama unifilar, incluye elementos de fijación, terminales marquillas y/ código de colores y demás requeridos para su instalación.</v>
      </c>
      <c r="P176" s="26" t="str">
        <f>VLOOKUP(M176,[1]LPU!$A$2:$G$1512,4,FALSE())</f>
        <v>Mantenimiento Electrico</v>
      </c>
      <c r="Q176" s="26" t="str">
        <f>VLOOKUP(M176,[1]LPU!$A$2:$G$1512,5,FALSE())</f>
        <v>ML</v>
      </c>
      <c r="R176" s="27">
        <f>VLOOKUP(M176,[1]LPU!$A$2:$G$1512,6,FALSE())</f>
        <v>7685.7</v>
      </c>
      <c r="S176" s="27" t="str">
        <f>VLOOKUP(M176,[1]LPU!$A$2:$G$1512,7,FALSE())</f>
        <v>Mantenimiento Electrico</v>
      </c>
      <c r="T176" s="28">
        <v>140</v>
      </c>
      <c r="U176" s="29">
        <f t="shared" si="3"/>
        <v>1075998</v>
      </c>
      <c r="V176" s="29" t="s">
        <v>119</v>
      </c>
      <c r="W176" s="30"/>
      <c r="X176" s="29" t="s">
        <v>38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ht="21" customHeight="1" x14ac:dyDescent="0.3">
      <c r="A177" s="22">
        <v>173</v>
      </c>
      <c r="B177" s="23">
        <v>1</v>
      </c>
      <c r="C177" s="23" t="s">
        <v>124</v>
      </c>
      <c r="D177" s="23" t="str">
        <f>VLOOKUP(C177,'[1]1.CUADRO RESUMEN DE SITIOS '!$C$5:$L$1052,2,FALSE())</f>
        <v>JCOR_00252</v>
      </c>
      <c r="E177" s="24">
        <f>VLOOKUP(C177,'[1]1.CUADRO RESUMEN DE SITIOS '!$C$5:$L$1052,3,FALSE())</f>
        <v>46004</v>
      </c>
      <c r="F177" s="23">
        <f>VLOOKUP(C177,'[1]1.CUADRO RESUMEN DE SITIOS '!$C$5:$L$1052,4,FALSE())</f>
        <v>9.0390300000000003</v>
      </c>
      <c r="G177" s="23">
        <f>VLOOKUP(C177,'[1]1.CUADRO RESUMEN DE SITIOS '!$C$5:$L$1052,5,FALSE())</f>
        <v>-75.366119999999995</v>
      </c>
      <c r="H177" s="23" t="str">
        <f>VLOOKUP(C177,'[1]1.CUADRO RESUMEN DE SITIOS '!$C$5:$L$1052,6,FALSE())</f>
        <v>Córdoba</v>
      </c>
      <c r="I177" s="23" t="str">
        <f>VLOOKUP(C177,'[1]1.CUADRO RESUMEN DE SITIOS '!$C$5:$L$1052,7,FALSE())</f>
        <v>WOM-HUAWEI</v>
      </c>
      <c r="J177" s="25" t="str">
        <f>VLOOKUP(C177,'[1]1.CUADRO RESUMEN DE SITIOS '!$C$5:$L$1052,8,FALSE())</f>
        <v>COSTA</v>
      </c>
      <c r="K177" s="23" t="str">
        <f>VLOOKUP(C177,'[1]1.CUADRO RESUMEN DE SITIOS '!$C$5:$L$1052,9,FALSE())</f>
        <v>Cesar Osorio</v>
      </c>
      <c r="L177" s="26" t="str">
        <f>VLOOKUP(C177,'[1]1.CUADRO RESUMEN DE SITIOS '!$C$5:$L$1052,10,FALSE())</f>
        <v>Terminado</v>
      </c>
      <c r="M177" s="26">
        <v>8828119788</v>
      </c>
      <c r="N177" s="26">
        <f>VLOOKUP(M177,[1]LPU!$A$2:$G$1512,2,FALSE())</f>
        <v>2.02</v>
      </c>
      <c r="O177" s="26" t="str">
        <f>VLOOKUP(M177,[1]LPU!$A$2:$G$1512,3,FALSE)</f>
        <v>Protocolo de verticalidad torre hasta 100 m de altura, Incluye protocolo previo y posterior a la actividad a realizar. Incluye documentación e informe de protocolo.</v>
      </c>
      <c r="P177" s="26" t="str">
        <f>VLOOKUP(M177,[1]LPU!$A$2:$G$1512,4,FALSE())</f>
        <v>Mantenimiento CW</v>
      </c>
      <c r="Q177" s="26" t="str">
        <f>VLOOKUP(M177,[1]LPU!$A$2:$G$1512,5,FALSE())</f>
        <v>GL</v>
      </c>
      <c r="R177" s="27">
        <f>VLOOKUP(M177,[1]LPU!$A$2:$G$1512,6,FALSE())</f>
        <v>974025.2</v>
      </c>
      <c r="S177" s="27" t="str">
        <f>VLOOKUP(M177,[1]LPU!$A$2:$G$1512,7,FALSE())</f>
        <v>Mantenimiento CW</v>
      </c>
      <c r="T177" s="28">
        <v>1</v>
      </c>
      <c r="U177" s="29">
        <f t="shared" si="3"/>
        <v>974025.2</v>
      </c>
      <c r="V177" s="29" t="s">
        <v>47</v>
      </c>
      <c r="W177" s="30"/>
      <c r="X177" s="29" t="s">
        <v>38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ht="21" customHeight="1" x14ac:dyDescent="0.3">
      <c r="A178" s="22">
        <v>174</v>
      </c>
      <c r="B178" s="23">
        <v>1</v>
      </c>
      <c r="C178" s="23" t="s">
        <v>124</v>
      </c>
      <c r="D178" s="23" t="str">
        <f>VLOOKUP(C178,'[1]1.CUADRO RESUMEN DE SITIOS '!$C$5:$L$1052,2,FALSE())</f>
        <v>JCOR_00252</v>
      </c>
      <c r="E178" s="24">
        <f>VLOOKUP(C178,'[1]1.CUADRO RESUMEN DE SITIOS '!$C$5:$L$1052,3,FALSE())</f>
        <v>46004</v>
      </c>
      <c r="F178" s="23">
        <f>VLOOKUP(C178,'[1]1.CUADRO RESUMEN DE SITIOS '!$C$5:$L$1052,4,FALSE())</f>
        <v>9.0390300000000003</v>
      </c>
      <c r="G178" s="23">
        <f>VLOOKUP(C178,'[1]1.CUADRO RESUMEN DE SITIOS '!$C$5:$L$1052,5,FALSE())</f>
        <v>-75.366119999999995</v>
      </c>
      <c r="H178" s="23" t="str">
        <f>VLOOKUP(C178,'[1]1.CUADRO RESUMEN DE SITIOS '!$C$5:$L$1052,6,FALSE())</f>
        <v>Córdoba</v>
      </c>
      <c r="I178" s="23" t="str">
        <f>VLOOKUP(C178,'[1]1.CUADRO RESUMEN DE SITIOS '!$C$5:$L$1052,7,FALSE())</f>
        <v>WOM-HUAWEI</v>
      </c>
      <c r="J178" s="25" t="str">
        <f>VLOOKUP(C178,'[1]1.CUADRO RESUMEN DE SITIOS '!$C$5:$L$1052,8,FALSE())</f>
        <v>COSTA</v>
      </c>
      <c r="K178" s="23" t="str">
        <f>VLOOKUP(C178,'[1]1.CUADRO RESUMEN DE SITIOS '!$C$5:$L$1052,9,FALSE())</f>
        <v>Cesar Osorio</v>
      </c>
      <c r="L178" s="26" t="str">
        <f>VLOOKUP(C178,'[1]1.CUADRO RESUMEN DE SITIOS '!$C$5:$L$1052,10,FALSE())</f>
        <v>Terminado</v>
      </c>
      <c r="M178" s="26">
        <v>8828119807</v>
      </c>
      <c r="N178" s="26">
        <f>VLOOKUP(M178,[1]LPU!$A$2:$G$1512,2,FALSE())</f>
        <v>2.0299999999999998</v>
      </c>
      <c r="O178" s="26" t="str">
        <f>VLOOKUP(M178,[1]LPU!$A$2:$G$1512,3,FALSE)</f>
        <v>Ajuste de tensión de riendas acorde con la norma EIA/TIA222F - EIA/TIA222G. Incluye todos los elementos y equipos necesarios para la realización. De acuerdo a la altura de la torre.</v>
      </c>
      <c r="P178" s="26" t="str">
        <f>VLOOKUP(M178,[1]LPU!$A$2:$G$1512,4,FALSE())</f>
        <v>Mantenimiento CW</v>
      </c>
      <c r="Q178" s="26" t="str">
        <f>VLOOKUP(M178,[1]LPU!$A$2:$G$1512,5,FALSE())</f>
        <v>UN</v>
      </c>
      <c r="R178" s="27">
        <f>VLOOKUP(M178,[1]LPU!$A$2:$G$1512,6,FALSE())</f>
        <v>318112.5</v>
      </c>
      <c r="S178" s="27" t="str">
        <f>VLOOKUP(M178,[1]LPU!$A$2:$G$1512,7,FALSE())</f>
        <v>Mantenimiento CW</v>
      </c>
      <c r="T178" s="28">
        <v>4</v>
      </c>
      <c r="U178" s="29">
        <f t="shared" si="3"/>
        <v>1272450</v>
      </c>
      <c r="V178" s="29" t="s">
        <v>47</v>
      </c>
      <c r="W178" s="30"/>
      <c r="X178" s="29" t="s">
        <v>38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ht="21" customHeight="1" x14ac:dyDescent="0.3">
      <c r="A179" s="22">
        <v>175</v>
      </c>
      <c r="B179" s="23">
        <v>1</v>
      </c>
      <c r="C179" s="23" t="s">
        <v>124</v>
      </c>
      <c r="D179" s="23" t="str">
        <f>VLOOKUP(C179,'[1]1.CUADRO RESUMEN DE SITIOS '!$C$5:$L$1052,2,FALSE())</f>
        <v>JCOR_00252</v>
      </c>
      <c r="E179" s="24">
        <f>VLOOKUP(C179,'[1]1.CUADRO RESUMEN DE SITIOS '!$C$5:$L$1052,3,FALSE())</f>
        <v>46004</v>
      </c>
      <c r="F179" s="23">
        <f>VLOOKUP(C179,'[1]1.CUADRO RESUMEN DE SITIOS '!$C$5:$L$1052,4,FALSE())</f>
        <v>9.0390300000000003</v>
      </c>
      <c r="G179" s="23">
        <f>VLOOKUP(C179,'[1]1.CUADRO RESUMEN DE SITIOS '!$C$5:$L$1052,5,FALSE())</f>
        <v>-75.366119999999995</v>
      </c>
      <c r="H179" s="23" t="str">
        <f>VLOOKUP(C179,'[1]1.CUADRO RESUMEN DE SITIOS '!$C$5:$L$1052,6,FALSE())</f>
        <v>Córdoba</v>
      </c>
      <c r="I179" s="23" t="str">
        <f>VLOOKUP(C179,'[1]1.CUADRO RESUMEN DE SITIOS '!$C$5:$L$1052,7,FALSE())</f>
        <v>WOM-HUAWEI</v>
      </c>
      <c r="J179" s="25" t="str">
        <f>VLOOKUP(C179,'[1]1.CUADRO RESUMEN DE SITIOS '!$C$5:$L$1052,8,FALSE())</f>
        <v>COSTA</v>
      </c>
      <c r="K179" s="23" t="str">
        <f>VLOOKUP(C179,'[1]1.CUADRO RESUMEN DE SITIOS '!$C$5:$L$1052,9,FALSE())</f>
        <v>Cesar Osorio</v>
      </c>
      <c r="L179" s="26" t="str">
        <f>VLOOKUP(C179,'[1]1.CUADRO RESUMEN DE SITIOS '!$C$5:$L$1052,10,FALSE())</f>
        <v>Terminado</v>
      </c>
      <c r="M179" s="26">
        <v>8828119815</v>
      </c>
      <c r="N179" s="26">
        <f>VLOOKUP(M179,[1]LPU!$A$2:$G$1512,2,FALSE())</f>
        <v>2.04</v>
      </c>
      <c r="O179" s="26" t="str">
        <f>VLOOKUP(M179,[1]LPU!$A$2:$G$1512,3,FALSE)</f>
        <v>Torqueo tornillería torre acorde con la norma EIA/TIA222F - EIA/TIA222G. Incluye protocolo de torque, todos los elementos y equipos necesarios para la realización. De acuerdo a la altura de la torre</v>
      </c>
      <c r="P179" s="26" t="str">
        <f>VLOOKUP(M179,[1]LPU!$A$2:$G$1512,4,FALSE())</f>
        <v>Mantenimiento CW</v>
      </c>
      <c r="Q179" s="26" t="str">
        <f>VLOOKUP(M179,[1]LPU!$A$2:$G$1512,5,FALSE())</f>
        <v>UN</v>
      </c>
      <c r="R179" s="27">
        <f>VLOOKUP(M179,[1]LPU!$A$2:$G$1512,6,FALSE())</f>
        <v>1277092.7</v>
      </c>
      <c r="S179" s="27" t="str">
        <f>VLOOKUP(M179,[1]LPU!$A$2:$G$1512,7,FALSE())</f>
        <v>Mantenimiento CW</v>
      </c>
      <c r="T179" s="28">
        <v>1</v>
      </c>
      <c r="U179" s="29">
        <f t="shared" si="3"/>
        <v>1277092.7</v>
      </c>
      <c r="V179" s="29" t="s">
        <v>47</v>
      </c>
      <c r="W179" s="30"/>
      <c r="X179" s="29" t="s">
        <v>38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ht="21" customHeight="1" x14ac:dyDescent="0.3">
      <c r="A180" s="22">
        <v>176</v>
      </c>
      <c r="B180" s="23">
        <v>1</v>
      </c>
      <c r="C180" s="23" t="s">
        <v>124</v>
      </c>
      <c r="D180" s="23" t="str">
        <f>VLOOKUP(C180,'[1]1.CUADRO RESUMEN DE SITIOS '!$C$5:$L$1052,2,FALSE())</f>
        <v>JCOR_00252</v>
      </c>
      <c r="E180" s="24">
        <f>VLOOKUP(C180,'[1]1.CUADRO RESUMEN DE SITIOS '!$C$5:$L$1052,3,FALSE())</f>
        <v>46004</v>
      </c>
      <c r="F180" s="23">
        <f>VLOOKUP(C180,'[1]1.CUADRO RESUMEN DE SITIOS '!$C$5:$L$1052,4,FALSE())</f>
        <v>9.0390300000000003</v>
      </c>
      <c r="G180" s="23">
        <f>VLOOKUP(C180,'[1]1.CUADRO RESUMEN DE SITIOS '!$C$5:$L$1052,5,FALSE())</f>
        <v>-75.366119999999995</v>
      </c>
      <c r="H180" s="23" t="str">
        <f>VLOOKUP(C180,'[1]1.CUADRO RESUMEN DE SITIOS '!$C$5:$L$1052,6,FALSE())</f>
        <v>Córdoba</v>
      </c>
      <c r="I180" s="23" t="str">
        <f>VLOOKUP(C180,'[1]1.CUADRO RESUMEN DE SITIOS '!$C$5:$L$1052,7,FALSE())</f>
        <v>WOM-HUAWEI</v>
      </c>
      <c r="J180" s="25" t="str">
        <f>VLOOKUP(C180,'[1]1.CUADRO RESUMEN DE SITIOS '!$C$5:$L$1052,8,FALSE())</f>
        <v>COSTA</v>
      </c>
      <c r="K180" s="23" t="str">
        <f>VLOOKUP(C180,'[1]1.CUADRO RESUMEN DE SITIOS '!$C$5:$L$1052,9,FALSE())</f>
        <v>Cesar Osorio</v>
      </c>
      <c r="L180" s="26" t="str">
        <f>VLOOKUP(C180,'[1]1.CUADRO RESUMEN DE SITIOS '!$C$5:$L$1052,10,FALSE())</f>
        <v>Terminado</v>
      </c>
      <c r="M180" s="26">
        <v>8828120281</v>
      </c>
      <c r="N180" s="26">
        <f>VLOOKUP(M180,[1]LPU!$A$2:$G$1512,2,FALSE())</f>
        <v>5.24</v>
      </c>
      <c r="O180" s="26" t="str">
        <f>VLOOKUP(M180,[1]LPU!$A$2:$G$1512,3,FALSE)</f>
        <v>Cambio de perros de sujeción para riendas de guaya 1/2" galvanizado. Incluye suministro e instalación.</v>
      </c>
      <c r="P180" s="26" t="str">
        <f>VLOOKUP(M180,[1]LPU!$A$2:$G$1512,4,FALSE())</f>
        <v>Mantenimiento CW</v>
      </c>
      <c r="Q180" s="26" t="str">
        <f>VLOOKUP(M180,[1]LPU!$A$2:$G$1512,5,FALSE())</f>
        <v>UND</v>
      </c>
      <c r="R180" s="27">
        <f>VLOOKUP(M180,[1]LPU!$A$2:$G$1512,6,FALSE())</f>
        <v>20898.099999999999</v>
      </c>
      <c r="S180" s="27" t="str">
        <f>VLOOKUP(M180,[1]LPU!$A$2:$G$1512,7,FALSE())</f>
        <v>Mantenimiento CW</v>
      </c>
      <c r="T180" s="28">
        <v>84</v>
      </c>
      <c r="U180" s="29">
        <f t="shared" si="3"/>
        <v>1755440.4</v>
      </c>
      <c r="V180" s="29" t="s">
        <v>47</v>
      </c>
      <c r="W180" s="30"/>
      <c r="X180" s="29" t="s">
        <v>38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ht="21" customHeight="1" x14ac:dyDescent="0.3">
      <c r="A181" s="22">
        <v>177</v>
      </c>
      <c r="B181" s="23">
        <v>1</v>
      </c>
      <c r="C181" s="23" t="s">
        <v>124</v>
      </c>
      <c r="D181" s="23" t="str">
        <f>VLOOKUP(C181,'[1]1.CUADRO RESUMEN DE SITIOS '!$C$5:$L$1052,2,FALSE())</f>
        <v>JCOR_00252</v>
      </c>
      <c r="E181" s="24">
        <f>VLOOKUP(C181,'[1]1.CUADRO RESUMEN DE SITIOS '!$C$5:$L$1052,3,FALSE())</f>
        <v>46004</v>
      </c>
      <c r="F181" s="23">
        <f>VLOOKUP(C181,'[1]1.CUADRO RESUMEN DE SITIOS '!$C$5:$L$1052,4,FALSE())</f>
        <v>9.0390300000000003</v>
      </c>
      <c r="G181" s="23">
        <f>VLOOKUP(C181,'[1]1.CUADRO RESUMEN DE SITIOS '!$C$5:$L$1052,5,FALSE())</f>
        <v>-75.366119999999995</v>
      </c>
      <c r="H181" s="23" t="str">
        <f>VLOOKUP(C181,'[1]1.CUADRO RESUMEN DE SITIOS '!$C$5:$L$1052,6,FALSE())</f>
        <v>Córdoba</v>
      </c>
      <c r="I181" s="23" t="str">
        <f>VLOOKUP(C181,'[1]1.CUADRO RESUMEN DE SITIOS '!$C$5:$L$1052,7,FALSE())</f>
        <v>WOM-HUAWEI</v>
      </c>
      <c r="J181" s="25" t="str">
        <f>VLOOKUP(C181,'[1]1.CUADRO RESUMEN DE SITIOS '!$C$5:$L$1052,8,FALSE())</f>
        <v>COSTA</v>
      </c>
      <c r="K181" s="23" t="str">
        <f>VLOOKUP(C181,'[1]1.CUADRO RESUMEN DE SITIOS '!$C$5:$L$1052,9,FALSE())</f>
        <v>Cesar Osorio</v>
      </c>
      <c r="L181" s="26" t="str">
        <f>VLOOKUP(C181,'[1]1.CUADRO RESUMEN DE SITIOS '!$C$5:$L$1052,10,FALSE())</f>
        <v>Terminado</v>
      </c>
      <c r="M181" s="26">
        <v>8828119941</v>
      </c>
      <c r="N181" s="26">
        <f>VLOOKUP(M181,[1]LPU!$A$2:$G$1512,2,FALSE())</f>
        <v>165</v>
      </c>
      <c r="O181" s="26" t="str">
        <f>VLOOKUP(M181,[1]LPU!$A$2:$G$1512,3,FALSE)</f>
        <v>Transporte tipo C, zona de dificil acceso</v>
      </c>
      <c r="P181" s="26" t="str">
        <f>VLOOKUP(M181,[1]LPU!$A$2:$G$1512,4,FALSE())</f>
        <v>LOCATIVO</v>
      </c>
      <c r="Q181" s="26" t="str">
        <f>VLOOKUP(M181,[1]LPU!$A$2:$G$1512,5,FALSE())</f>
        <v>Global</v>
      </c>
      <c r="R181" s="27">
        <f>VLOOKUP(M181,[1]LPU!$A$2:$G$1512,6,FALSE())</f>
        <v>388801.05</v>
      </c>
      <c r="S181" s="27" t="str">
        <f>VLOOKUP(M181,[1]LPU!$A$2:$G$1512,7,FALSE())</f>
        <v>LPU FLM</v>
      </c>
      <c r="T181" s="28">
        <v>1</v>
      </c>
      <c r="U181" s="29">
        <f t="shared" si="3"/>
        <v>388801.05</v>
      </c>
      <c r="V181" s="29" t="s">
        <v>47</v>
      </c>
      <c r="W181" s="30"/>
      <c r="X181" s="29" t="s">
        <v>38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ht="21" customHeight="1" x14ac:dyDescent="0.3">
      <c r="A182" s="22">
        <v>178</v>
      </c>
      <c r="B182" s="23">
        <v>1</v>
      </c>
      <c r="C182" s="23" t="s">
        <v>125</v>
      </c>
      <c r="D182" s="23" t="str">
        <f>VLOOKUP(C182,'[1]1.CUADRO RESUMEN DE SITIOS '!$C$5:$L$1052,2,FALSE())</f>
        <v>JCOR_00232</v>
      </c>
      <c r="E182" s="24">
        <f>VLOOKUP(C182,'[1]1.CUADRO RESUMEN DE SITIOS '!$C$5:$L$1052,3,FALSE())</f>
        <v>46005</v>
      </c>
      <c r="F182" s="23">
        <f>VLOOKUP(C182,'[1]1.CUADRO RESUMEN DE SITIOS '!$C$5:$L$1052,4,FALSE())</f>
        <v>9.0695899999999998</v>
      </c>
      <c r="G182" s="23">
        <f>VLOOKUP(C182,'[1]1.CUADRO RESUMEN DE SITIOS '!$C$5:$L$1052,5,FALSE())</f>
        <v>-75.558620000000005</v>
      </c>
      <c r="H182" s="23" t="str">
        <f>VLOOKUP(C182,'[1]1.CUADRO RESUMEN DE SITIOS '!$C$5:$L$1052,6,FALSE())</f>
        <v>Córdoba</v>
      </c>
      <c r="I182" s="23" t="str">
        <f>VLOOKUP(C182,'[1]1.CUADRO RESUMEN DE SITIOS '!$C$5:$L$1052,7,FALSE())</f>
        <v>WOM-HUAWEI</v>
      </c>
      <c r="J182" s="25" t="str">
        <f>VLOOKUP(C182,'[1]1.CUADRO RESUMEN DE SITIOS '!$C$5:$L$1052,8,FALSE())</f>
        <v>COSTA</v>
      </c>
      <c r="K182" s="23" t="str">
        <f>VLOOKUP(C182,'[1]1.CUADRO RESUMEN DE SITIOS '!$C$5:$L$1052,9,FALSE())</f>
        <v>Cesar Osorio</v>
      </c>
      <c r="L182" s="26" t="str">
        <f>VLOOKUP(C182,'[1]1.CUADRO RESUMEN DE SITIOS '!$C$5:$L$1052,10,FALSE())</f>
        <v>Terminado</v>
      </c>
      <c r="M182" s="26">
        <v>8828119788</v>
      </c>
      <c r="N182" s="26">
        <f>VLOOKUP(M182,[1]LPU!$A$2:$G$1512,2,FALSE())</f>
        <v>2.02</v>
      </c>
      <c r="O182" s="26" t="str">
        <f>VLOOKUP(M182,[1]LPU!$A$2:$G$1512,3,FALSE)</f>
        <v>Protocolo de verticalidad torre hasta 100 m de altura, Incluye protocolo previo y posterior a la actividad a realizar. Incluye documentación e informe de protocolo.</v>
      </c>
      <c r="P182" s="26" t="str">
        <f>VLOOKUP(M182,[1]LPU!$A$2:$G$1512,4,FALSE())</f>
        <v>Mantenimiento CW</v>
      </c>
      <c r="Q182" s="26" t="str">
        <f>VLOOKUP(M182,[1]LPU!$A$2:$G$1512,5,FALSE())</f>
        <v>GL</v>
      </c>
      <c r="R182" s="27">
        <f>VLOOKUP(M182,[1]LPU!$A$2:$G$1512,6,FALSE())</f>
        <v>974025.2</v>
      </c>
      <c r="S182" s="27" t="str">
        <f>VLOOKUP(M182,[1]LPU!$A$2:$G$1512,7,FALSE())</f>
        <v>Mantenimiento CW</v>
      </c>
      <c r="T182" s="28">
        <v>1</v>
      </c>
      <c r="U182" s="29">
        <f t="shared" si="3"/>
        <v>974025.2</v>
      </c>
      <c r="V182" s="29" t="s">
        <v>47</v>
      </c>
      <c r="W182" s="30"/>
      <c r="X182" s="29" t="s">
        <v>38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ht="21" customHeight="1" x14ac:dyDescent="0.3">
      <c r="A183" s="22">
        <v>179</v>
      </c>
      <c r="B183" s="23">
        <v>1</v>
      </c>
      <c r="C183" s="23" t="s">
        <v>125</v>
      </c>
      <c r="D183" s="23" t="str">
        <f>VLOOKUP(C183,'[1]1.CUADRO RESUMEN DE SITIOS '!$C$5:$L$1052,2,FALSE())</f>
        <v>JCOR_00232</v>
      </c>
      <c r="E183" s="24">
        <f>VLOOKUP(C183,'[1]1.CUADRO RESUMEN DE SITIOS '!$C$5:$L$1052,3,FALSE())</f>
        <v>46005</v>
      </c>
      <c r="F183" s="23">
        <f>VLOOKUP(C183,'[1]1.CUADRO RESUMEN DE SITIOS '!$C$5:$L$1052,4,FALSE())</f>
        <v>9.0695899999999998</v>
      </c>
      <c r="G183" s="23">
        <f>VLOOKUP(C183,'[1]1.CUADRO RESUMEN DE SITIOS '!$C$5:$L$1052,5,FALSE())</f>
        <v>-75.558620000000005</v>
      </c>
      <c r="H183" s="23" t="str">
        <f>VLOOKUP(C183,'[1]1.CUADRO RESUMEN DE SITIOS '!$C$5:$L$1052,6,FALSE())</f>
        <v>Córdoba</v>
      </c>
      <c r="I183" s="23" t="str">
        <f>VLOOKUP(C183,'[1]1.CUADRO RESUMEN DE SITIOS '!$C$5:$L$1052,7,FALSE())</f>
        <v>WOM-HUAWEI</v>
      </c>
      <c r="J183" s="25" t="str">
        <f>VLOOKUP(C183,'[1]1.CUADRO RESUMEN DE SITIOS '!$C$5:$L$1052,8,FALSE())</f>
        <v>COSTA</v>
      </c>
      <c r="K183" s="23" t="str">
        <f>VLOOKUP(C183,'[1]1.CUADRO RESUMEN DE SITIOS '!$C$5:$L$1052,9,FALSE())</f>
        <v>Cesar Osorio</v>
      </c>
      <c r="L183" s="26" t="str">
        <f>VLOOKUP(C183,'[1]1.CUADRO RESUMEN DE SITIOS '!$C$5:$L$1052,10,FALSE())</f>
        <v>Terminado</v>
      </c>
      <c r="M183" s="26">
        <v>8828119807</v>
      </c>
      <c r="N183" s="26">
        <f>VLOOKUP(M183,[1]LPU!$A$2:$G$1512,2,FALSE())</f>
        <v>2.0299999999999998</v>
      </c>
      <c r="O183" s="26" t="str">
        <f>VLOOKUP(M183,[1]LPU!$A$2:$G$1512,3,FALSE)</f>
        <v>Ajuste de tensión de riendas acorde con la norma EIA/TIA222F - EIA/TIA222G. Incluye todos los elementos y equipos necesarios para la realización. De acuerdo a la altura de la torre.</v>
      </c>
      <c r="P183" s="26" t="str">
        <f>VLOOKUP(M183,[1]LPU!$A$2:$G$1512,4,FALSE())</f>
        <v>Mantenimiento CW</v>
      </c>
      <c r="Q183" s="26" t="str">
        <f>VLOOKUP(M183,[1]LPU!$A$2:$G$1512,5,FALSE())</f>
        <v>UN</v>
      </c>
      <c r="R183" s="27">
        <f>VLOOKUP(M183,[1]LPU!$A$2:$G$1512,6,FALSE())</f>
        <v>318112.5</v>
      </c>
      <c r="S183" s="27" t="str">
        <f>VLOOKUP(M183,[1]LPU!$A$2:$G$1512,7,FALSE())</f>
        <v>Mantenimiento CW</v>
      </c>
      <c r="T183" s="28">
        <v>4</v>
      </c>
      <c r="U183" s="29">
        <f t="shared" si="3"/>
        <v>1272450</v>
      </c>
      <c r="V183" s="29" t="s">
        <v>47</v>
      </c>
      <c r="W183" s="30"/>
      <c r="X183" s="29" t="s">
        <v>38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ht="21" customHeight="1" x14ac:dyDescent="0.3">
      <c r="A184" s="22">
        <v>180</v>
      </c>
      <c r="B184" s="23">
        <v>1</v>
      </c>
      <c r="C184" s="23" t="s">
        <v>125</v>
      </c>
      <c r="D184" s="23" t="str">
        <f>VLOOKUP(C184,'[1]1.CUADRO RESUMEN DE SITIOS '!$C$5:$L$1052,2,FALSE())</f>
        <v>JCOR_00232</v>
      </c>
      <c r="E184" s="24">
        <f>VLOOKUP(C184,'[1]1.CUADRO RESUMEN DE SITIOS '!$C$5:$L$1052,3,FALSE())</f>
        <v>46005</v>
      </c>
      <c r="F184" s="23">
        <f>VLOOKUP(C184,'[1]1.CUADRO RESUMEN DE SITIOS '!$C$5:$L$1052,4,FALSE())</f>
        <v>9.0695899999999998</v>
      </c>
      <c r="G184" s="23">
        <f>VLOOKUP(C184,'[1]1.CUADRO RESUMEN DE SITIOS '!$C$5:$L$1052,5,FALSE())</f>
        <v>-75.558620000000005</v>
      </c>
      <c r="H184" s="23" t="str">
        <f>VLOOKUP(C184,'[1]1.CUADRO RESUMEN DE SITIOS '!$C$5:$L$1052,6,FALSE())</f>
        <v>Córdoba</v>
      </c>
      <c r="I184" s="23" t="str">
        <f>VLOOKUP(C184,'[1]1.CUADRO RESUMEN DE SITIOS '!$C$5:$L$1052,7,FALSE())</f>
        <v>WOM-HUAWEI</v>
      </c>
      <c r="J184" s="25" t="str">
        <f>VLOOKUP(C184,'[1]1.CUADRO RESUMEN DE SITIOS '!$C$5:$L$1052,8,FALSE())</f>
        <v>COSTA</v>
      </c>
      <c r="K184" s="23" t="str">
        <f>VLOOKUP(C184,'[1]1.CUADRO RESUMEN DE SITIOS '!$C$5:$L$1052,9,FALSE())</f>
        <v>Cesar Osorio</v>
      </c>
      <c r="L184" s="26" t="str">
        <f>VLOOKUP(C184,'[1]1.CUADRO RESUMEN DE SITIOS '!$C$5:$L$1052,10,FALSE())</f>
        <v>Terminado</v>
      </c>
      <c r="M184" s="26">
        <v>8828119815</v>
      </c>
      <c r="N184" s="26">
        <f>VLOOKUP(M184,[1]LPU!$A$2:$G$1512,2,FALSE())</f>
        <v>2.04</v>
      </c>
      <c r="O184" s="26" t="str">
        <f>VLOOKUP(M184,[1]LPU!$A$2:$G$1512,3,FALSE)</f>
        <v>Torqueo tornillería torre acorde con la norma EIA/TIA222F - EIA/TIA222G. Incluye protocolo de torque, todos los elementos y equipos necesarios para la realización. De acuerdo a la altura de la torre</v>
      </c>
      <c r="P184" s="26" t="str">
        <f>VLOOKUP(M184,[1]LPU!$A$2:$G$1512,4,FALSE())</f>
        <v>Mantenimiento CW</v>
      </c>
      <c r="Q184" s="26" t="str">
        <f>VLOOKUP(M184,[1]LPU!$A$2:$G$1512,5,FALSE())</f>
        <v>UN</v>
      </c>
      <c r="R184" s="27">
        <f>VLOOKUP(M184,[1]LPU!$A$2:$G$1512,6,FALSE())</f>
        <v>1277092.7</v>
      </c>
      <c r="S184" s="27" t="str">
        <f>VLOOKUP(M184,[1]LPU!$A$2:$G$1512,7,FALSE())</f>
        <v>Mantenimiento CW</v>
      </c>
      <c r="T184" s="28">
        <v>1</v>
      </c>
      <c r="U184" s="29">
        <f t="shared" si="3"/>
        <v>1277092.7</v>
      </c>
      <c r="V184" s="29" t="s">
        <v>47</v>
      </c>
      <c r="W184" s="30"/>
      <c r="X184" s="29" t="s">
        <v>38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ht="21" customHeight="1" x14ac:dyDescent="0.3">
      <c r="A185" s="22">
        <v>181</v>
      </c>
      <c r="B185" s="23">
        <v>1</v>
      </c>
      <c r="C185" s="23" t="s">
        <v>125</v>
      </c>
      <c r="D185" s="23" t="str">
        <f>VLOOKUP(C185,'[1]1.CUADRO RESUMEN DE SITIOS '!$C$5:$L$1052,2,FALSE())</f>
        <v>JCOR_00232</v>
      </c>
      <c r="E185" s="24">
        <f>VLOOKUP(C185,'[1]1.CUADRO RESUMEN DE SITIOS '!$C$5:$L$1052,3,FALSE())</f>
        <v>46005</v>
      </c>
      <c r="F185" s="23">
        <f>VLOOKUP(C185,'[1]1.CUADRO RESUMEN DE SITIOS '!$C$5:$L$1052,4,FALSE())</f>
        <v>9.0695899999999998</v>
      </c>
      <c r="G185" s="23">
        <f>VLOOKUP(C185,'[1]1.CUADRO RESUMEN DE SITIOS '!$C$5:$L$1052,5,FALSE())</f>
        <v>-75.558620000000005</v>
      </c>
      <c r="H185" s="23" t="str">
        <f>VLOOKUP(C185,'[1]1.CUADRO RESUMEN DE SITIOS '!$C$5:$L$1052,6,FALSE())</f>
        <v>Córdoba</v>
      </c>
      <c r="I185" s="23" t="str">
        <f>VLOOKUP(C185,'[1]1.CUADRO RESUMEN DE SITIOS '!$C$5:$L$1052,7,FALSE())</f>
        <v>WOM-HUAWEI</v>
      </c>
      <c r="J185" s="25" t="str">
        <f>VLOOKUP(C185,'[1]1.CUADRO RESUMEN DE SITIOS '!$C$5:$L$1052,8,FALSE())</f>
        <v>COSTA</v>
      </c>
      <c r="K185" s="23" t="str">
        <f>VLOOKUP(C185,'[1]1.CUADRO RESUMEN DE SITIOS '!$C$5:$L$1052,9,FALSE())</f>
        <v>Cesar Osorio</v>
      </c>
      <c r="L185" s="26" t="str">
        <f>VLOOKUP(C185,'[1]1.CUADRO RESUMEN DE SITIOS '!$C$5:$L$1052,10,FALSE())</f>
        <v>Terminado</v>
      </c>
      <c r="M185" s="26">
        <v>8828120281</v>
      </c>
      <c r="N185" s="26">
        <f>VLOOKUP(M185,[1]LPU!$A$2:$G$1512,2,FALSE())</f>
        <v>5.24</v>
      </c>
      <c r="O185" s="26" t="str">
        <f>VLOOKUP(M185,[1]LPU!$A$2:$G$1512,3,FALSE)</f>
        <v>Cambio de perros de sujeción para riendas de guaya 1/2" galvanizado. Incluye suministro e instalación.</v>
      </c>
      <c r="P185" s="26" t="str">
        <f>VLOOKUP(M185,[1]LPU!$A$2:$G$1512,4,FALSE())</f>
        <v>Mantenimiento CW</v>
      </c>
      <c r="Q185" s="26" t="str">
        <f>VLOOKUP(M185,[1]LPU!$A$2:$G$1512,5,FALSE())</f>
        <v>UND</v>
      </c>
      <c r="R185" s="27">
        <f>VLOOKUP(M185,[1]LPU!$A$2:$G$1512,6,FALSE())</f>
        <v>20898.099999999999</v>
      </c>
      <c r="S185" s="27" t="str">
        <f>VLOOKUP(M185,[1]LPU!$A$2:$G$1512,7,FALSE())</f>
        <v>Mantenimiento CW</v>
      </c>
      <c r="T185" s="28">
        <v>54</v>
      </c>
      <c r="U185" s="29">
        <f t="shared" si="3"/>
        <v>1128497.3999999999</v>
      </c>
      <c r="V185" s="29" t="s">
        <v>47</v>
      </c>
      <c r="W185" s="30"/>
      <c r="X185" s="29" t="s">
        <v>38</v>
      </c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ht="21" customHeight="1" x14ac:dyDescent="0.3">
      <c r="A186" s="22">
        <v>182</v>
      </c>
      <c r="B186" s="23">
        <v>1</v>
      </c>
      <c r="C186" s="23" t="s">
        <v>125</v>
      </c>
      <c r="D186" s="23" t="str">
        <f>VLOOKUP(C186,'[1]1.CUADRO RESUMEN DE SITIOS '!$C$5:$L$1052,2,FALSE())</f>
        <v>JCOR_00232</v>
      </c>
      <c r="E186" s="24">
        <f>VLOOKUP(C186,'[1]1.CUADRO RESUMEN DE SITIOS '!$C$5:$L$1052,3,FALSE())</f>
        <v>46005</v>
      </c>
      <c r="F186" s="23">
        <f>VLOOKUP(C186,'[1]1.CUADRO RESUMEN DE SITIOS '!$C$5:$L$1052,4,FALSE())</f>
        <v>9.0695899999999998</v>
      </c>
      <c r="G186" s="23">
        <f>VLOOKUP(C186,'[1]1.CUADRO RESUMEN DE SITIOS '!$C$5:$L$1052,5,FALSE())</f>
        <v>-75.558620000000005</v>
      </c>
      <c r="H186" s="23" t="str">
        <f>VLOOKUP(C186,'[1]1.CUADRO RESUMEN DE SITIOS '!$C$5:$L$1052,6,FALSE())</f>
        <v>Córdoba</v>
      </c>
      <c r="I186" s="23" t="str">
        <f>VLOOKUP(C186,'[1]1.CUADRO RESUMEN DE SITIOS '!$C$5:$L$1052,7,FALSE())</f>
        <v>WOM-HUAWEI</v>
      </c>
      <c r="J186" s="25" t="str">
        <f>VLOOKUP(C186,'[1]1.CUADRO RESUMEN DE SITIOS '!$C$5:$L$1052,8,FALSE())</f>
        <v>COSTA</v>
      </c>
      <c r="K186" s="23" t="str">
        <f>VLOOKUP(C186,'[1]1.CUADRO RESUMEN DE SITIOS '!$C$5:$L$1052,9,FALSE())</f>
        <v>Cesar Osorio</v>
      </c>
      <c r="L186" s="26" t="str">
        <f>VLOOKUP(C186,'[1]1.CUADRO RESUMEN DE SITIOS '!$C$5:$L$1052,10,FALSE())</f>
        <v>Terminado</v>
      </c>
      <c r="M186" s="26">
        <v>8828119941</v>
      </c>
      <c r="N186" s="26">
        <f>VLOOKUP(M186,[1]LPU!$A$2:$G$1512,2,FALSE())</f>
        <v>165</v>
      </c>
      <c r="O186" s="26" t="str">
        <f>VLOOKUP(M186,[1]LPU!$A$2:$G$1512,3,FALSE)</f>
        <v>Transporte tipo C, zona de dificil acceso</v>
      </c>
      <c r="P186" s="26" t="str">
        <f>VLOOKUP(M186,[1]LPU!$A$2:$G$1512,4,FALSE())</f>
        <v>LOCATIVO</v>
      </c>
      <c r="Q186" s="26" t="str">
        <f>VLOOKUP(M186,[1]LPU!$A$2:$G$1512,5,FALSE())</f>
        <v>Global</v>
      </c>
      <c r="R186" s="27">
        <f>VLOOKUP(M186,[1]LPU!$A$2:$G$1512,6,FALSE())</f>
        <v>388801.05</v>
      </c>
      <c r="S186" s="27" t="str">
        <f>VLOOKUP(M186,[1]LPU!$A$2:$G$1512,7,FALSE())</f>
        <v>LPU FLM</v>
      </c>
      <c r="T186" s="28">
        <v>1</v>
      </c>
      <c r="U186" s="29">
        <f t="shared" si="3"/>
        <v>388801.05</v>
      </c>
      <c r="V186" s="29" t="s">
        <v>47</v>
      </c>
      <c r="W186" s="30"/>
      <c r="X186" s="29" t="s">
        <v>38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ht="21" customHeight="1" x14ac:dyDescent="0.3">
      <c r="A187" s="22">
        <v>183</v>
      </c>
      <c r="B187" s="23">
        <v>1</v>
      </c>
      <c r="C187" s="23" t="s">
        <v>126</v>
      </c>
      <c r="D187" s="23" t="str">
        <f>VLOOKUP(C187,'[1]1.CUADRO RESUMEN DE SITIOS '!$C$5:$L$1052,2,FALSE())</f>
        <v>JCOR_00310</v>
      </c>
      <c r="E187" s="24">
        <f>VLOOKUP(C187,'[1]1.CUADRO RESUMEN DE SITIOS '!$C$5:$L$1052,3,FALSE())</f>
        <v>46006</v>
      </c>
      <c r="F187" s="23">
        <f>VLOOKUP(C187,'[1]1.CUADRO RESUMEN DE SITIOS '!$C$5:$L$1052,4,FALSE())</f>
        <v>8.1653369999999992</v>
      </c>
      <c r="G187" s="23">
        <f>VLOOKUP(C187,'[1]1.CUADRO RESUMEN DE SITIOS '!$C$5:$L$1052,5,FALSE())</f>
        <v>-76.298027000000005</v>
      </c>
      <c r="H187" s="23" t="str">
        <f>VLOOKUP(C187,'[1]1.CUADRO RESUMEN DE SITIOS '!$C$5:$L$1052,6,FALSE())</f>
        <v>Córdoba</v>
      </c>
      <c r="I187" s="23" t="str">
        <f>VLOOKUP(C187,'[1]1.CUADRO RESUMEN DE SITIOS '!$C$5:$L$1052,7,FALSE())</f>
        <v>WOM-HUAWEI</v>
      </c>
      <c r="J187" s="25" t="str">
        <f>VLOOKUP(C187,'[1]1.CUADRO RESUMEN DE SITIOS '!$C$5:$L$1052,8,FALSE())</f>
        <v>COSTA</v>
      </c>
      <c r="K187" s="23" t="str">
        <f>VLOOKUP(C187,'[1]1.CUADRO RESUMEN DE SITIOS '!$C$5:$L$1052,9,FALSE())</f>
        <v>Cesar Osorio</v>
      </c>
      <c r="L187" s="26" t="str">
        <f>VLOOKUP(C187,'[1]1.CUADRO RESUMEN DE SITIOS '!$C$5:$L$1052,10,FALSE())</f>
        <v>Terminado</v>
      </c>
      <c r="M187" s="26">
        <v>8828119788</v>
      </c>
      <c r="N187" s="26">
        <f>VLOOKUP(M187,[1]LPU!$A$2:$G$1512,2,FALSE())</f>
        <v>2.02</v>
      </c>
      <c r="O187" s="26" t="str">
        <f>VLOOKUP(M187,[1]LPU!$A$2:$G$1512,3,FALSE)</f>
        <v>Protocolo de verticalidad torre hasta 100 m de altura, Incluye protocolo previo y posterior a la actividad a realizar. Incluye documentación e informe de protocolo.</v>
      </c>
      <c r="P187" s="26" t="str">
        <f>VLOOKUP(M187,[1]LPU!$A$2:$G$1512,4,FALSE())</f>
        <v>Mantenimiento CW</v>
      </c>
      <c r="Q187" s="26" t="str">
        <f>VLOOKUP(M187,[1]LPU!$A$2:$G$1512,5,FALSE())</f>
        <v>GL</v>
      </c>
      <c r="R187" s="27">
        <f>VLOOKUP(M187,[1]LPU!$A$2:$G$1512,6,FALSE())</f>
        <v>974025.2</v>
      </c>
      <c r="S187" s="27" t="str">
        <f>VLOOKUP(M187,[1]LPU!$A$2:$G$1512,7,FALSE())</f>
        <v>Mantenimiento CW</v>
      </c>
      <c r="T187" s="28">
        <v>1</v>
      </c>
      <c r="U187" s="29">
        <f t="shared" si="3"/>
        <v>974025.2</v>
      </c>
      <c r="V187" s="29" t="s">
        <v>47</v>
      </c>
      <c r="W187" s="30"/>
      <c r="X187" s="29" t="s">
        <v>38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ht="21" customHeight="1" x14ac:dyDescent="0.3">
      <c r="A188" s="22">
        <v>184</v>
      </c>
      <c r="B188" s="23">
        <v>1</v>
      </c>
      <c r="C188" s="23" t="s">
        <v>126</v>
      </c>
      <c r="D188" s="23" t="str">
        <f>VLOOKUP(C188,'[1]1.CUADRO RESUMEN DE SITIOS '!$C$5:$L$1052,2,FALSE())</f>
        <v>JCOR_00310</v>
      </c>
      <c r="E188" s="24">
        <f>VLOOKUP(C188,'[1]1.CUADRO RESUMEN DE SITIOS '!$C$5:$L$1052,3,FALSE())</f>
        <v>46006</v>
      </c>
      <c r="F188" s="23">
        <f>VLOOKUP(C188,'[1]1.CUADRO RESUMEN DE SITIOS '!$C$5:$L$1052,4,FALSE())</f>
        <v>8.1653369999999992</v>
      </c>
      <c r="G188" s="23">
        <f>VLOOKUP(C188,'[1]1.CUADRO RESUMEN DE SITIOS '!$C$5:$L$1052,5,FALSE())</f>
        <v>-76.298027000000005</v>
      </c>
      <c r="H188" s="23" t="str">
        <f>VLOOKUP(C188,'[1]1.CUADRO RESUMEN DE SITIOS '!$C$5:$L$1052,6,FALSE())</f>
        <v>Córdoba</v>
      </c>
      <c r="I188" s="23" t="str">
        <f>VLOOKUP(C188,'[1]1.CUADRO RESUMEN DE SITIOS '!$C$5:$L$1052,7,FALSE())</f>
        <v>WOM-HUAWEI</v>
      </c>
      <c r="J188" s="25" t="str">
        <f>VLOOKUP(C188,'[1]1.CUADRO RESUMEN DE SITIOS '!$C$5:$L$1052,8,FALSE())</f>
        <v>COSTA</v>
      </c>
      <c r="K188" s="23" t="str">
        <f>VLOOKUP(C188,'[1]1.CUADRO RESUMEN DE SITIOS '!$C$5:$L$1052,9,FALSE())</f>
        <v>Cesar Osorio</v>
      </c>
      <c r="L188" s="26" t="str">
        <f>VLOOKUP(C188,'[1]1.CUADRO RESUMEN DE SITIOS '!$C$5:$L$1052,10,FALSE())</f>
        <v>Terminado</v>
      </c>
      <c r="M188" s="26">
        <v>8828119807</v>
      </c>
      <c r="N188" s="26">
        <f>VLOOKUP(M188,[1]LPU!$A$2:$G$1512,2,FALSE())</f>
        <v>2.0299999999999998</v>
      </c>
      <c r="O188" s="26" t="str">
        <f>VLOOKUP(M188,[1]LPU!$A$2:$G$1512,3,FALSE)</f>
        <v>Ajuste de tensión de riendas acorde con la norma EIA/TIA222F - EIA/TIA222G. Incluye todos los elementos y equipos necesarios para la realización. De acuerdo a la altura de la torre.</v>
      </c>
      <c r="P188" s="26" t="str">
        <f>VLOOKUP(M188,[1]LPU!$A$2:$G$1512,4,FALSE())</f>
        <v>Mantenimiento CW</v>
      </c>
      <c r="Q188" s="26" t="str">
        <f>VLOOKUP(M188,[1]LPU!$A$2:$G$1512,5,FALSE())</f>
        <v>UN</v>
      </c>
      <c r="R188" s="27">
        <f>VLOOKUP(M188,[1]LPU!$A$2:$G$1512,6,FALSE())</f>
        <v>318112.5</v>
      </c>
      <c r="S188" s="27" t="str">
        <f>VLOOKUP(M188,[1]LPU!$A$2:$G$1512,7,FALSE())</f>
        <v>Mantenimiento CW</v>
      </c>
      <c r="T188" s="28">
        <v>4</v>
      </c>
      <c r="U188" s="29">
        <f t="shared" si="3"/>
        <v>1272450</v>
      </c>
      <c r="V188" s="29" t="s">
        <v>47</v>
      </c>
      <c r="W188" s="30"/>
      <c r="X188" s="29" t="s">
        <v>38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ht="21" customHeight="1" x14ac:dyDescent="0.3">
      <c r="A189" s="22">
        <v>185</v>
      </c>
      <c r="B189" s="23">
        <v>1</v>
      </c>
      <c r="C189" s="23" t="s">
        <v>126</v>
      </c>
      <c r="D189" s="23" t="str">
        <f>VLOOKUP(C189,'[1]1.CUADRO RESUMEN DE SITIOS '!$C$5:$L$1052,2,FALSE())</f>
        <v>JCOR_00310</v>
      </c>
      <c r="E189" s="24">
        <f>VLOOKUP(C189,'[1]1.CUADRO RESUMEN DE SITIOS '!$C$5:$L$1052,3,FALSE())</f>
        <v>46006</v>
      </c>
      <c r="F189" s="23">
        <f>VLOOKUP(C189,'[1]1.CUADRO RESUMEN DE SITIOS '!$C$5:$L$1052,4,FALSE())</f>
        <v>8.1653369999999992</v>
      </c>
      <c r="G189" s="23">
        <f>VLOOKUP(C189,'[1]1.CUADRO RESUMEN DE SITIOS '!$C$5:$L$1052,5,FALSE())</f>
        <v>-76.298027000000005</v>
      </c>
      <c r="H189" s="23" t="str">
        <f>VLOOKUP(C189,'[1]1.CUADRO RESUMEN DE SITIOS '!$C$5:$L$1052,6,FALSE())</f>
        <v>Córdoba</v>
      </c>
      <c r="I189" s="23" t="str">
        <f>VLOOKUP(C189,'[1]1.CUADRO RESUMEN DE SITIOS '!$C$5:$L$1052,7,FALSE())</f>
        <v>WOM-HUAWEI</v>
      </c>
      <c r="J189" s="25" t="str">
        <f>VLOOKUP(C189,'[1]1.CUADRO RESUMEN DE SITIOS '!$C$5:$L$1052,8,FALSE())</f>
        <v>COSTA</v>
      </c>
      <c r="K189" s="23" t="str">
        <f>VLOOKUP(C189,'[1]1.CUADRO RESUMEN DE SITIOS '!$C$5:$L$1052,9,FALSE())</f>
        <v>Cesar Osorio</v>
      </c>
      <c r="L189" s="26" t="str">
        <f>VLOOKUP(C189,'[1]1.CUADRO RESUMEN DE SITIOS '!$C$5:$L$1052,10,FALSE())</f>
        <v>Terminado</v>
      </c>
      <c r="M189" s="26">
        <v>8828119815</v>
      </c>
      <c r="N189" s="26">
        <f>VLOOKUP(M189,[1]LPU!$A$2:$G$1512,2,FALSE())</f>
        <v>2.04</v>
      </c>
      <c r="O189" s="26" t="str">
        <f>VLOOKUP(M189,[1]LPU!$A$2:$G$1512,3,FALSE)</f>
        <v>Torqueo tornillería torre acorde con la norma EIA/TIA222F - EIA/TIA222G. Incluye protocolo de torque, todos los elementos y equipos necesarios para la realización. De acuerdo a la altura de la torre</v>
      </c>
      <c r="P189" s="26" t="str">
        <f>VLOOKUP(M189,[1]LPU!$A$2:$G$1512,4,FALSE())</f>
        <v>Mantenimiento CW</v>
      </c>
      <c r="Q189" s="26" t="str">
        <f>VLOOKUP(M189,[1]LPU!$A$2:$G$1512,5,FALSE())</f>
        <v>UN</v>
      </c>
      <c r="R189" s="27">
        <f>VLOOKUP(M189,[1]LPU!$A$2:$G$1512,6,FALSE())</f>
        <v>1277092.7</v>
      </c>
      <c r="S189" s="27" t="str">
        <f>VLOOKUP(M189,[1]LPU!$A$2:$G$1512,7,FALSE())</f>
        <v>Mantenimiento CW</v>
      </c>
      <c r="T189" s="28">
        <v>1</v>
      </c>
      <c r="U189" s="29">
        <f t="shared" si="3"/>
        <v>1277092.7</v>
      </c>
      <c r="V189" s="29" t="s">
        <v>47</v>
      </c>
      <c r="W189" s="30"/>
      <c r="X189" s="29" t="s">
        <v>38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ht="21" customHeight="1" x14ac:dyDescent="0.3">
      <c r="A190" s="22">
        <v>186</v>
      </c>
      <c r="B190" s="23">
        <v>1</v>
      </c>
      <c r="C190" s="23" t="s">
        <v>126</v>
      </c>
      <c r="D190" s="23" t="str">
        <f>VLOOKUP(C190,'[1]1.CUADRO RESUMEN DE SITIOS '!$C$5:$L$1052,2,FALSE())</f>
        <v>JCOR_00310</v>
      </c>
      <c r="E190" s="24">
        <f>VLOOKUP(C190,'[1]1.CUADRO RESUMEN DE SITIOS '!$C$5:$L$1052,3,FALSE())</f>
        <v>46006</v>
      </c>
      <c r="F190" s="23">
        <f>VLOOKUP(C190,'[1]1.CUADRO RESUMEN DE SITIOS '!$C$5:$L$1052,4,FALSE())</f>
        <v>8.1653369999999992</v>
      </c>
      <c r="G190" s="23">
        <f>VLOOKUP(C190,'[1]1.CUADRO RESUMEN DE SITIOS '!$C$5:$L$1052,5,FALSE())</f>
        <v>-76.298027000000005</v>
      </c>
      <c r="H190" s="23" t="str">
        <f>VLOOKUP(C190,'[1]1.CUADRO RESUMEN DE SITIOS '!$C$5:$L$1052,6,FALSE())</f>
        <v>Córdoba</v>
      </c>
      <c r="I190" s="23" t="str">
        <f>VLOOKUP(C190,'[1]1.CUADRO RESUMEN DE SITIOS '!$C$5:$L$1052,7,FALSE())</f>
        <v>WOM-HUAWEI</v>
      </c>
      <c r="J190" s="25" t="str">
        <f>VLOOKUP(C190,'[1]1.CUADRO RESUMEN DE SITIOS '!$C$5:$L$1052,8,FALSE())</f>
        <v>COSTA</v>
      </c>
      <c r="K190" s="23" t="str">
        <f>VLOOKUP(C190,'[1]1.CUADRO RESUMEN DE SITIOS '!$C$5:$L$1052,9,FALSE())</f>
        <v>Cesar Osorio</v>
      </c>
      <c r="L190" s="26" t="str">
        <f>VLOOKUP(C190,'[1]1.CUADRO RESUMEN DE SITIOS '!$C$5:$L$1052,10,FALSE())</f>
        <v>Terminado</v>
      </c>
      <c r="M190" s="26">
        <v>8828120281</v>
      </c>
      <c r="N190" s="26">
        <f>VLOOKUP(M190,[1]LPU!$A$2:$G$1512,2,FALSE())</f>
        <v>5.24</v>
      </c>
      <c r="O190" s="26" t="str">
        <f>VLOOKUP(M190,[1]LPU!$A$2:$G$1512,3,FALSE)</f>
        <v>Cambio de perros de sujeción para riendas de guaya 1/2" galvanizado. Incluye suministro e instalación.</v>
      </c>
      <c r="P190" s="26" t="str">
        <f>VLOOKUP(M190,[1]LPU!$A$2:$G$1512,4,FALSE())</f>
        <v>Mantenimiento CW</v>
      </c>
      <c r="Q190" s="26" t="str">
        <f>VLOOKUP(M190,[1]LPU!$A$2:$G$1512,5,FALSE())</f>
        <v>UND</v>
      </c>
      <c r="R190" s="27">
        <f>VLOOKUP(M190,[1]LPU!$A$2:$G$1512,6,FALSE())</f>
        <v>20898.099999999999</v>
      </c>
      <c r="S190" s="27" t="str">
        <f>VLOOKUP(M190,[1]LPU!$A$2:$G$1512,7,FALSE())</f>
        <v>Mantenimiento CW</v>
      </c>
      <c r="T190" s="28">
        <v>72</v>
      </c>
      <c r="U190" s="29">
        <f t="shared" si="3"/>
        <v>1504663.2</v>
      </c>
      <c r="V190" s="29" t="s">
        <v>47</v>
      </c>
      <c r="W190" s="30"/>
      <c r="X190" s="29" t="s">
        <v>38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ht="21" customHeight="1" x14ac:dyDescent="0.3">
      <c r="A191" s="22">
        <v>187</v>
      </c>
      <c r="B191" s="23">
        <v>1</v>
      </c>
      <c r="C191" s="23" t="s">
        <v>126</v>
      </c>
      <c r="D191" s="23" t="str">
        <f>VLOOKUP(C191,'[1]1.CUADRO RESUMEN DE SITIOS '!$C$5:$L$1052,2,FALSE())</f>
        <v>JCOR_00310</v>
      </c>
      <c r="E191" s="24">
        <f>VLOOKUP(C191,'[1]1.CUADRO RESUMEN DE SITIOS '!$C$5:$L$1052,3,FALSE())</f>
        <v>46006</v>
      </c>
      <c r="F191" s="23">
        <f>VLOOKUP(C191,'[1]1.CUADRO RESUMEN DE SITIOS '!$C$5:$L$1052,4,FALSE())</f>
        <v>8.1653369999999992</v>
      </c>
      <c r="G191" s="23">
        <f>VLOOKUP(C191,'[1]1.CUADRO RESUMEN DE SITIOS '!$C$5:$L$1052,5,FALSE())</f>
        <v>-76.298027000000005</v>
      </c>
      <c r="H191" s="23" t="str">
        <f>VLOOKUP(C191,'[1]1.CUADRO RESUMEN DE SITIOS '!$C$5:$L$1052,6,FALSE())</f>
        <v>Córdoba</v>
      </c>
      <c r="I191" s="23" t="str">
        <f>VLOOKUP(C191,'[1]1.CUADRO RESUMEN DE SITIOS '!$C$5:$L$1052,7,FALSE())</f>
        <v>WOM-HUAWEI</v>
      </c>
      <c r="J191" s="25" t="str">
        <f>VLOOKUP(C191,'[1]1.CUADRO RESUMEN DE SITIOS '!$C$5:$L$1052,8,FALSE())</f>
        <v>COSTA</v>
      </c>
      <c r="K191" s="23" t="str">
        <f>VLOOKUP(C191,'[1]1.CUADRO RESUMEN DE SITIOS '!$C$5:$L$1052,9,FALSE())</f>
        <v>Cesar Osorio</v>
      </c>
      <c r="L191" s="26" t="str">
        <f>VLOOKUP(C191,'[1]1.CUADRO RESUMEN DE SITIOS '!$C$5:$L$1052,10,FALSE())</f>
        <v>Terminado</v>
      </c>
      <c r="M191" s="26">
        <v>8828119941</v>
      </c>
      <c r="N191" s="26">
        <f>VLOOKUP(M191,[1]LPU!$A$2:$G$1512,2,FALSE())</f>
        <v>165</v>
      </c>
      <c r="O191" s="26" t="str">
        <f>VLOOKUP(M191,[1]LPU!$A$2:$G$1512,3,FALSE)</f>
        <v>Transporte tipo C, zona de dificil acceso</v>
      </c>
      <c r="P191" s="26" t="str">
        <f>VLOOKUP(M191,[1]LPU!$A$2:$G$1512,4,FALSE())</f>
        <v>LOCATIVO</v>
      </c>
      <c r="Q191" s="26" t="str">
        <f>VLOOKUP(M191,[1]LPU!$A$2:$G$1512,5,FALSE())</f>
        <v>Global</v>
      </c>
      <c r="R191" s="27">
        <f>VLOOKUP(M191,[1]LPU!$A$2:$G$1512,6,FALSE())</f>
        <v>388801.05</v>
      </c>
      <c r="S191" s="27" t="str">
        <f>VLOOKUP(M191,[1]LPU!$A$2:$G$1512,7,FALSE())</f>
        <v>LPU FLM</v>
      </c>
      <c r="T191" s="28">
        <v>1</v>
      </c>
      <c r="U191" s="29">
        <f t="shared" si="3"/>
        <v>388801.05</v>
      </c>
      <c r="V191" s="29" t="s">
        <v>47</v>
      </c>
      <c r="W191" s="30"/>
      <c r="X191" s="29" t="s">
        <v>38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ht="21" customHeight="1" x14ac:dyDescent="0.3">
      <c r="A192" s="22">
        <v>188</v>
      </c>
      <c r="B192" s="23">
        <v>1</v>
      </c>
      <c r="C192" s="23" t="s">
        <v>127</v>
      </c>
      <c r="D192" s="23" t="str">
        <f>VLOOKUP(C192,'[1]1.CUADRO RESUMEN DE SITIOS '!$C$5:$L$1052,2,FALSE())</f>
        <v>PUT_05114</v>
      </c>
      <c r="E192" s="24">
        <f>VLOOKUP(C192,'[1]1.CUADRO RESUMEN DE SITIOS '!$C$5:$L$1052,3,FALSE())</f>
        <v>46003</v>
      </c>
      <c r="F192" s="23">
        <f>VLOOKUP(C192,'[1]1.CUADRO RESUMEN DE SITIOS '!$C$5:$L$1052,4,FALSE())</f>
        <v>0.34286</v>
      </c>
      <c r="G192" s="23">
        <f>VLOOKUP(C192,'[1]1.CUADRO RESUMEN DE SITIOS '!$C$5:$L$1052,5,FALSE())</f>
        <v>-76.911799999999999</v>
      </c>
      <c r="H192" s="23" t="str">
        <f>VLOOKUP(C192,'[1]1.CUADRO RESUMEN DE SITIOS '!$C$5:$L$1052,6,FALSE())</f>
        <v>Putumayo</v>
      </c>
      <c r="I192" s="23" t="str">
        <f>VLOOKUP(C192,'[1]1.CUADRO RESUMEN DE SITIOS '!$C$5:$L$1052,7,FALSE())</f>
        <v>WOM-HUAWEI</v>
      </c>
      <c r="J192" s="25" t="str">
        <f>VLOOKUP(C192,'[1]1.CUADRO RESUMEN DE SITIOS '!$C$5:$L$1052,8,FALSE())</f>
        <v>SUROCCIDENTE</v>
      </c>
      <c r="K192" s="23" t="str">
        <f>VLOOKUP(C192,'[1]1.CUADRO RESUMEN DE SITIOS '!$C$5:$L$1052,9,FALSE())</f>
        <v>Maria Camila Torres</v>
      </c>
      <c r="L192" s="26" t="str">
        <f>VLOOKUP(C192,'[1]1.CUADRO RESUMEN DE SITIOS '!$C$5:$L$1052,10,FALSE())</f>
        <v>Terminado</v>
      </c>
      <c r="M192" s="26">
        <v>8828118943</v>
      </c>
      <c r="N192" s="26">
        <f>VLOOKUP(M192,[1]LPU!$A$2:$G$1512,2,FALSE())</f>
        <v>2.09</v>
      </c>
      <c r="O192" s="26" t="str">
        <f>VLOOKUP(M192,[1]LPU!$A$2:$G$1512,3,FALSE)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192" s="26" t="str">
        <f>VLOOKUP(M192,[1]LPU!$A$2:$G$1512,4,FALSE())</f>
        <v>Mantenimiento Electrico</v>
      </c>
      <c r="Q192" s="26" t="str">
        <f>VLOOKUP(M192,[1]LPU!$A$2:$G$1512,5,FALSE())</f>
        <v>Global</v>
      </c>
      <c r="R192" s="27">
        <f>VLOOKUP(M192,[1]LPU!$A$2:$G$1512,6,FALSE())</f>
        <v>1086294.8999999999</v>
      </c>
      <c r="S192" s="27" t="str">
        <f>VLOOKUP(M192,[1]LPU!$A$2:$G$1512,7,FALSE())</f>
        <v>Mantenimiento Electrico</v>
      </c>
      <c r="T192" s="28">
        <v>1</v>
      </c>
      <c r="U192" s="29">
        <f t="shared" si="3"/>
        <v>1086294.8999999999</v>
      </c>
      <c r="V192" s="29" t="s">
        <v>122</v>
      </c>
      <c r="W192" s="30"/>
      <c r="X192" s="29" t="s">
        <v>38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ht="21" customHeight="1" x14ac:dyDescent="0.3">
      <c r="A193" s="22">
        <v>189</v>
      </c>
      <c r="B193" s="23">
        <v>1</v>
      </c>
      <c r="C193" s="23" t="s">
        <v>127</v>
      </c>
      <c r="D193" s="23" t="str">
        <f>VLOOKUP(C193,'[1]1.CUADRO RESUMEN DE SITIOS '!$C$5:$L$1052,2,FALSE())</f>
        <v>PUT_05114</v>
      </c>
      <c r="E193" s="24">
        <f>VLOOKUP(C193,'[1]1.CUADRO RESUMEN DE SITIOS '!$C$5:$L$1052,3,FALSE())</f>
        <v>46003</v>
      </c>
      <c r="F193" s="23">
        <f>VLOOKUP(C193,'[1]1.CUADRO RESUMEN DE SITIOS '!$C$5:$L$1052,4,FALSE())</f>
        <v>0.34286</v>
      </c>
      <c r="G193" s="23">
        <f>VLOOKUP(C193,'[1]1.CUADRO RESUMEN DE SITIOS '!$C$5:$L$1052,5,FALSE())</f>
        <v>-76.911799999999999</v>
      </c>
      <c r="H193" s="23" t="str">
        <f>VLOOKUP(C193,'[1]1.CUADRO RESUMEN DE SITIOS '!$C$5:$L$1052,6,FALSE())</f>
        <v>Putumayo</v>
      </c>
      <c r="I193" s="23" t="str">
        <f>VLOOKUP(C193,'[1]1.CUADRO RESUMEN DE SITIOS '!$C$5:$L$1052,7,FALSE())</f>
        <v>WOM-HUAWEI</v>
      </c>
      <c r="J193" s="25" t="str">
        <f>VLOOKUP(C193,'[1]1.CUADRO RESUMEN DE SITIOS '!$C$5:$L$1052,8,FALSE())</f>
        <v>SUROCCIDENTE</v>
      </c>
      <c r="K193" s="23" t="str">
        <f>VLOOKUP(C193,'[1]1.CUADRO RESUMEN DE SITIOS '!$C$5:$L$1052,9,FALSE())</f>
        <v>Maria Camila Torres</v>
      </c>
      <c r="L193" s="26" t="str">
        <f>VLOOKUP(C193,'[1]1.CUADRO RESUMEN DE SITIOS '!$C$5:$L$1052,10,FALSE())</f>
        <v>Terminado</v>
      </c>
      <c r="M193" s="26">
        <v>8828119931</v>
      </c>
      <c r="N193" s="26">
        <f>VLOOKUP(M193,[1]LPU!$A$2:$G$1512,2,FALSE())</f>
        <v>164</v>
      </c>
      <c r="O193" s="26" t="str">
        <f>VLOOKUP(M193,[1]LPU!$A$2:$G$1512,3,FALSE)</f>
        <v>Tansporte tipo B, fuera de área metropolitana</v>
      </c>
      <c r="P193" s="26" t="str">
        <f>VLOOKUP(M193,[1]LPU!$A$2:$G$1512,4,FALSE())</f>
        <v>LOCATIVO</v>
      </c>
      <c r="Q193" s="26" t="str">
        <f>VLOOKUP(M193,[1]LPU!$A$2:$G$1512,5,FALSE())</f>
        <v>Global</v>
      </c>
      <c r="R193" s="27">
        <f>VLOOKUP(M193,[1]LPU!$A$2:$G$1512,6,FALSE())</f>
        <v>253785</v>
      </c>
      <c r="S193" s="27" t="str">
        <f>VLOOKUP(M193,[1]LPU!$A$2:$G$1512,7,FALSE())</f>
        <v>LPU FLM</v>
      </c>
      <c r="T193" s="28">
        <v>2</v>
      </c>
      <c r="U193" s="29">
        <f t="shared" si="3"/>
        <v>507570</v>
      </c>
      <c r="V193" s="29" t="s">
        <v>122</v>
      </c>
      <c r="W193" s="30"/>
      <c r="X193" s="29" t="s">
        <v>38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ht="21" customHeight="1" x14ac:dyDescent="0.3">
      <c r="A194" s="22">
        <v>190</v>
      </c>
      <c r="B194" s="23">
        <v>1</v>
      </c>
      <c r="C194" s="23" t="s">
        <v>127</v>
      </c>
      <c r="D194" s="23" t="str">
        <f>VLOOKUP(C194,'[1]1.CUADRO RESUMEN DE SITIOS '!$C$5:$L$1052,2,FALSE())</f>
        <v>PUT_05114</v>
      </c>
      <c r="E194" s="24">
        <f>VLOOKUP(C194,'[1]1.CUADRO RESUMEN DE SITIOS '!$C$5:$L$1052,3,FALSE())</f>
        <v>46003</v>
      </c>
      <c r="F194" s="23">
        <f>VLOOKUP(C194,'[1]1.CUADRO RESUMEN DE SITIOS '!$C$5:$L$1052,4,FALSE())</f>
        <v>0.34286</v>
      </c>
      <c r="G194" s="23">
        <f>VLOOKUP(C194,'[1]1.CUADRO RESUMEN DE SITIOS '!$C$5:$L$1052,5,FALSE())</f>
        <v>-76.911799999999999</v>
      </c>
      <c r="H194" s="23" t="str">
        <f>VLOOKUP(C194,'[1]1.CUADRO RESUMEN DE SITIOS '!$C$5:$L$1052,6,FALSE())</f>
        <v>Putumayo</v>
      </c>
      <c r="I194" s="23" t="str">
        <f>VLOOKUP(C194,'[1]1.CUADRO RESUMEN DE SITIOS '!$C$5:$L$1052,7,FALSE())</f>
        <v>WOM-HUAWEI</v>
      </c>
      <c r="J194" s="25" t="str">
        <f>VLOOKUP(C194,'[1]1.CUADRO RESUMEN DE SITIOS '!$C$5:$L$1052,8,FALSE())</f>
        <v>SUROCCIDENTE</v>
      </c>
      <c r="K194" s="23" t="str">
        <f>VLOOKUP(C194,'[1]1.CUADRO RESUMEN DE SITIOS '!$C$5:$L$1052,9,FALSE())</f>
        <v>Maria Camila Torres</v>
      </c>
      <c r="L194" s="26" t="str">
        <f>VLOOKUP(C194,'[1]1.CUADRO RESUMEN DE SITIOS '!$C$5:$L$1052,10,FALSE())</f>
        <v>Terminado</v>
      </c>
      <c r="M194" s="26">
        <v>8828119110</v>
      </c>
      <c r="N194" s="26">
        <f>VLOOKUP(M194,[1]LPU!$A$2:$G$1512,2,FALSE())</f>
        <v>107</v>
      </c>
      <c r="O194" s="26" t="str">
        <f>VLOOKUP(M194,[1]LPU!$A$2:$G$1512,3,FALSE)</f>
        <v>Mano de Obra Tecnico Electricista Certficado CONTE</v>
      </c>
      <c r="P194" s="26" t="str">
        <f>VLOOKUP(M194,[1]LPU!$A$2:$G$1512,4,FALSE())</f>
        <v>ENERGÍA</v>
      </c>
      <c r="Q194" s="26" t="str">
        <f>VLOOKUP(M194,[1]LPU!$A$2:$G$1512,5,FALSE())</f>
        <v>DIA</v>
      </c>
      <c r="R194" s="27">
        <f>VLOOKUP(M194,[1]LPU!$A$2:$G$1512,6,FALSE())</f>
        <v>136000</v>
      </c>
      <c r="S194" s="27" t="str">
        <f>VLOOKUP(M194,[1]LPU!$A$2:$G$1512,7,FALSE())</f>
        <v>LPU FLM</v>
      </c>
      <c r="T194" s="28">
        <v>2</v>
      </c>
      <c r="U194" s="29">
        <f t="shared" si="3"/>
        <v>272000</v>
      </c>
      <c r="V194" s="29" t="s">
        <v>122</v>
      </c>
      <c r="W194" s="30"/>
      <c r="X194" s="29" t="s">
        <v>38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ht="21" customHeight="1" x14ac:dyDescent="0.3">
      <c r="A195" s="22">
        <v>191</v>
      </c>
      <c r="B195" s="23">
        <v>1</v>
      </c>
      <c r="C195" s="23" t="s">
        <v>127</v>
      </c>
      <c r="D195" s="23" t="str">
        <f>VLOOKUP(C195,'[1]1.CUADRO RESUMEN DE SITIOS '!$C$5:$L$1052,2,FALSE())</f>
        <v>PUT_05114</v>
      </c>
      <c r="E195" s="24">
        <f>VLOOKUP(C195,'[1]1.CUADRO RESUMEN DE SITIOS '!$C$5:$L$1052,3,FALSE())</f>
        <v>46003</v>
      </c>
      <c r="F195" s="23">
        <f>VLOOKUP(C195,'[1]1.CUADRO RESUMEN DE SITIOS '!$C$5:$L$1052,4,FALSE())</f>
        <v>0.34286</v>
      </c>
      <c r="G195" s="23">
        <f>VLOOKUP(C195,'[1]1.CUADRO RESUMEN DE SITIOS '!$C$5:$L$1052,5,FALSE())</f>
        <v>-76.911799999999999</v>
      </c>
      <c r="H195" s="23" t="str">
        <f>VLOOKUP(C195,'[1]1.CUADRO RESUMEN DE SITIOS '!$C$5:$L$1052,6,FALSE())</f>
        <v>Putumayo</v>
      </c>
      <c r="I195" s="23" t="str">
        <f>VLOOKUP(C195,'[1]1.CUADRO RESUMEN DE SITIOS '!$C$5:$L$1052,7,FALSE())</f>
        <v>WOM-HUAWEI</v>
      </c>
      <c r="J195" s="25" t="str">
        <f>VLOOKUP(C195,'[1]1.CUADRO RESUMEN DE SITIOS '!$C$5:$L$1052,8,FALSE())</f>
        <v>SUROCCIDENTE</v>
      </c>
      <c r="K195" s="23" t="str">
        <f>VLOOKUP(C195,'[1]1.CUADRO RESUMEN DE SITIOS '!$C$5:$L$1052,9,FALSE())</f>
        <v>Maria Camila Torres</v>
      </c>
      <c r="L195" s="26" t="str">
        <f>VLOOKUP(C195,'[1]1.CUADRO RESUMEN DE SITIOS '!$C$5:$L$1052,10,FALSE())</f>
        <v>Terminado</v>
      </c>
      <c r="M195" s="26">
        <v>8828119045</v>
      </c>
      <c r="N195" s="26">
        <f>VLOOKUP(M195,[1]LPU!$A$2:$G$1512,2,FALSE())</f>
        <v>5.29</v>
      </c>
      <c r="O195" s="26" t="str">
        <f>VLOOKUP(M195,[1]LPU!$A$2:$G$1512,3,FALSE)</f>
        <v>Suministro e instalación de estructura metálica en acero galvanizado para refuerzo, soportes, bases y adecuaciones en general.</v>
      </c>
      <c r="P195" s="26" t="str">
        <f>VLOOKUP(M195,[1]LPU!$A$2:$G$1512,4,FALSE())</f>
        <v>Mantenimiento CW</v>
      </c>
      <c r="Q195" s="26" t="str">
        <f>VLOOKUP(M195,[1]LPU!$A$2:$G$1512,5,FALSE())</f>
        <v>Kg</v>
      </c>
      <c r="R195" s="27">
        <f>VLOOKUP(M195,[1]LPU!$A$2:$G$1512,6,FALSE())</f>
        <v>12911.5</v>
      </c>
      <c r="S195" s="27" t="str">
        <f>VLOOKUP(M195,[1]LPU!$A$2:$G$1512,7,FALSE())</f>
        <v>Mantenimiento CW</v>
      </c>
      <c r="T195" s="28">
        <v>20</v>
      </c>
      <c r="U195" s="29">
        <f t="shared" si="3"/>
        <v>258230</v>
      </c>
      <c r="V195" s="29" t="s">
        <v>122</v>
      </c>
      <c r="W195" s="30"/>
      <c r="X195" s="29" t="s">
        <v>38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ht="21" customHeight="1" x14ac:dyDescent="0.3">
      <c r="A196" s="22">
        <v>192</v>
      </c>
      <c r="B196" s="23">
        <v>1</v>
      </c>
      <c r="C196" s="23" t="s">
        <v>127</v>
      </c>
      <c r="D196" s="23" t="str">
        <f>VLOOKUP(C196,'[1]1.CUADRO RESUMEN DE SITIOS '!$C$5:$L$1052,2,FALSE())</f>
        <v>PUT_05114</v>
      </c>
      <c r="E196" s="24">
        <f>VLOOKUP(C196,'[1]1.CUADRO RESUMEN DE SITIOS '!$C$5:$L$1052,3,FALSE())</f>
        <v>46003</v>
      </c>
      <c r="F196" s="23">
        <f>VLOOKUP(C196,'[1]1.CUADRO RESUMEN DE SITIOS '!$C$5:$L$1052,4,FALSE())</f>
        <v>0.34286</v>
      </c>
      <c r="G196" s="23">
        <f>VLOOKUP(C196,'[1]1.CUADRO RESUMEN DE SITIOS '!$C$5:$L$1052,5,FALSE())</f>
        <v>-76.911799999999999</v>
      </c>
      <c r="H196" s="23" t="str">
        <f>VLOOKUP(C196,'[1]1.CUADRO RESUMEN DE SITIOS '!$C$5:$L$1052,6,FALSE())</f>
        <v>Putumayo</v>
      </c>
      <c r="I196" s="23" t="str">
        <f>VLOOKUP(C196,'[1]1.CUADRO RESUMEN DE SITIOS '!$C$5:$L$1052,7,FALSE())</f>
        <v>WOM-HUAWEI</v>
      </c>
      <c r="J196" s="25" t="str">
        <f>VLOOKUP(C196,'[1]1.CUADRO RESUMEN DE SITIOS '!$C$5:$L$1052,8,FALSE())</f>
        <v>SUROCCIDENTE</v>
      </c>
      <c r="K196" s="23" t="str">
        <f>VLOOKUP(C196,'[1]1.CUADRO RESUMEN DE SITIOS '!$C$5:$L$1052,9,FALSE())</f>
        <v>Maria Camila Torres</v>
      </c>
      <c r="L196" s="26" t="str">
        <f>VLOOKUP(C196,'[1]1.CUADRO RESUMEN DE SITIOS '!$C$5:$L$1052,10,FALSE())</f>
        <v>Terminado</v>
      </c>
      <c r="M196" s="26">
        <v>8828120037</v>
      </c>
      <c r="N196" s="26">
        <f>VLOOKUP(M196,[1]LPU!$A$2:$G$1512,2,FALSE())</f>
        <v>174</v>
      </c>
      <c r="O196" s="26" t="str">
        <f>VLOOKUP(M196,[1]LPU!$A$2:$G$1512,3,FALSE)</f>
        <v>Suministro candados intemperie marca YALE o MEDECO</v>
      </c>
      <c r="P196" s="26" t="str">
        <f>VLOOKUP(M196,[1]LPU!$A$2:$G$1512,4,FALSE())</f>
        <v>LOCATIVO</v>
      </c>
      <c r="Q196" s="26" t="str">
        <f>VLOOKUP(M196,[1]LPU!$A$2:$G$1512,5,FALSE())</f>
        <v>U</v>
      </c>
      <c r="R196" s="27">
        <f>VLOOKUP(M196,[1]LPU!$A$2:$G$1512,6,FALSE())</f>
        <v>47703</v>
      </c>
      <c r="S196" s="27" t="str">
        <f>VLOOKUP(M196,[1]LPU!$A$2:$G$1512,7,FALSE())</f>
        <v>LPU FLM</v>
      </c>
      <c r="T196" s="28">
        <v>1</v>
      </c>
      <c r="U196" s="29">
        <f t="shared" si="3"/>
        <v>47703</v>
      </c>
      <c r="V196" s="29" t="s">
        <v>122</v>
      </c>
      <c r="W196" s="30"/>
      <c r="X196" s="29" t="s">
        <v>38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ht="21" customHeight="1" x14ac:dyDescent="0.3">
      <c r="A197" s="22">
        <v>193</v>
      </c>
      <c r="B197" s="23">
        <v>1</v>
      </c>
      <c r="C197" s="23" t="s">
        <v>83</v>
      </c>
      <c r="D197" s="23" t="str">
        <f>VLOOKUP(C197,'[1]1.CUADRO RESUMEN DE SITIOS '!$C$5:$L$1052,2,FALSE())</f>
        <v>JCOR_00246</v>
      </c>
      <c r="E197" s="24">
        <f>VLOOKUP(C197,'[1]1.CUADRO RESUMEN DE SITIOS '!$C$5:$L$1052,3,FALSE())</f>
        <v>45950</v>
      </c>
      <c r="F197" s="23">
        <f>VLOOKUP(C197,'[1]1.CUADRO RESUMEN DE SITIOS '!$C$5:$L$1052,4,FALSE())</f>
        <v>8.2468730000000008</v>
      </c>
      <c r="G197" s="23">
        <f>VLOOKUP(C197,'[1]1.CUADRO RESUMEN DE SITIOS '!$C$5:$L$1052,5,FALSE())</f>
        <v>-75.362761000000006</v>
      </c>
      <c r="H197" s="23" t="str">
        <f>VLOOKUP(C197,'[1]1.CUADRO RESUMEN DE SITIOS '!$C$5:$L$1052,6,FALSE())</f>
        <v>Córdoba</v>
      </c>
      <c r="I197" s="23" t="str">
        <f>VLOOKUP(C197,'[1]1.CUADRO RESUMEN DE SITIOS '!$C$5:$L$1052,7,FALSE())</f>
        <v>WOM</v>
      </c>
      <c r="J197" s="25" t="str">
        <f>VLOOKUP(C197,'[1]1.CUADRO RESUMEN DE SITIOS '!$C$5:$L$1052,8,FALSE())</f>
        <v>COSTA</v>
      </c>
      <c r="K197" s="23" t="str">
        <f>VLOOKUP(C197,'[1]1.CUADRO RESUMEN DE SITIOS '!$C$5:$L$1052,9,FALSE())</f>
        <v>Alfredo de la Cruz</v>
      </c>
      <c r="L197" s="26" t="str">
        <f>VLOOKUP(C197,'[1]1.CUADRO RESUMEN DE SITIOS '!$C$5:$L$1052,10,FALSE())</f>
        <v>Terminado</v>
      </c>
      <c r="M197" s="26">
        <v>8828119788</v>
      </c>
      <c r="N197" s="26">
        <f>VLOOKUP(M197,[1]LPU!$A$2:$G$1512,2,FALSE())</f>
        <v>2.02</v>
      </c>
      <c r="O197" s="26" t="str">
        <f>VLOOKUP(M197,[1]LPU!$A$2:$G$1512,3,FALSE)</f>
        <v>Protocolo de verticalidad torre hasta 100 m de altura, Incluye protocolo previo y posterior a la actividad a realizar. Incluye documentación e informe de protocolo.</v>
      </c>
      <c r="P197" s="26" t="str">
        <f>VLOOKUP(M197,[1]LPU!$A$2:$G$1512,4,FALSE())</f>
        <v>Mantenimiento CW</v>
      </c>
      <c r="Q197" s="26" t="str">
        <f>VLOOKUP(M197,[1]LPU!$A$2:$G$1512,5,FALSE())</f>
        <v>GL</v>
      </c>
      <c r="R197" s="27">
        <f>VLOOKUP(M197,[1]LPU!$A$2:$G$1512,6,FALSE())</f>
        <v>974025.2</v>
      </c>
      <c r="S197" s="27" t="str">
        <f>VLOOKUP(M197,[1]LPU!$A$2:$G$1512,7,FALSE())</f>
        <v>Mantenimiento CW</v>
      </c>
      <c r="T197" s="28">
        <v>1</v>
      </c>
      <c r="U197" s="29">
        <f t="shared" si="3"/>
        <v>974025.2</v>
      </c>
      <c r="V197" s="29" t="s">
        <v>47</v>
      </c>
      <c r="W197" s="30"/>
      <c r="X197" s="29" t="s">
        <v>38</v>
      </c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ht="21" customHeight="1" x14ac:dyDescent="0.3">
      <c r="A198" s="22">
        <v>194</v>
      </c>
      <c r="B198" s="23">
        <v>1</v>
      </c>
      <c r="C198" s="23" t="s">
        <v>83</v>
      </c>
      <c r="D198" s="23" t="str">
        <f>VLOOKUP(C198,'[1]1.CUADRO RESUMEN DE SITIOS '!$C$5:$L$1052,2,FALSE())</f>
        <v>JCOR_00246</v>
      </c>
      <c r="E198" s="24">
        <f>VLOOKUP(C198,'[1]1.CUADRO RESUMEN DE SITIOS '!$C$5:$L$1052,3,FALSE())</f>
        <v>45950</v>
      </c>
      <c r="F198" s="23">
        <f>VLOOKUP(C198,'[1]1.CUADRO RESUMEN DE SITIOS '!$C$5:$L$1052,4,FALSE())</f>
        <v>8.2468730000000008</v>
      </c>
      <c r="G198" s="23">
        <f>VLOOKUP(C198,'[1]1.CUADRO RESUMEN DE SITIOS '!$C$5:$L$1052,5,FALSE())</f>
        <v>-75.362761000000006</v>
      </c>
      <c r="H198" s="23" t="str">
        <f>VLOOKUP(C198,'[1]1.CUADRO RESUMEN DE SITIOS '!$C$5:$L$1052,6,FALSE())</f>
        <v>Córdoba</v>
      </c>
      <c r="I198" s="23" t="str">
        <f>VLOOKUP(C198,'[1]1.CUADRO RESUMEN DE SITIOS '!$C$5:$L$1052,7,FALSE())</f>
        <v>WOM</v>
      </c>
      <c r="J198" s="25" t="str">
        <f>VLOOKUP(C198,'[1]1.CUADRO RESUMEN DE SITIOS '!$C$5:$L$1052,8,FALSE())</f>
        <v>COSTA</v>
      </c>
      <c r="K198" s="23" t="str">
        <f>VLOOKUP(C198,'[1]1.CUADRO RESUMEN DE SITIOS '!$C$5:$L$1052,9,FALSE())</f>
        <v>Alfredo de la Cruz</v>
      </c>
      <c r="L198" s="26" t="str">
        <f>VLOOKUP(C198,'[1]1.CUADRO RESUMEN DE SITIOS '!$C$5:$L$1052,10,FALSE())</f>
        <v>Terminado</v>
      </c>
      <c r="M198" s="26">
        <v>8828119807</v>
      </c>
      <c r="N198" s="26">
        <f>VLOOKUP(M198,[1]LPU!$A$2:$G$1512,2,FALSE())</f>
        <v>2.0299999999999998</v>
      </c>
      <c r="O198" s="26" t="str">
        <f>VLOOKUP(M198,[1]LPU!$A$2:$G$1512,3,FALSE)</f>
        <v>Ajuste de tensión de riendas acorde con la norma EIA/TIA222F - EIA/TIA222G. Incluye todos los elementos y equipos necesarios para la realización. De acuerdo a la altura de la torre.</v>
      </c>
      <c r="P198" s="26" t="str">
        <f>VLOOKUP(M198,[1]LPU!$A$2:$G$1512,4,FALSE())</f>
        <v>Mantenimiento CW</v>
      </c>
      <c r="Q198" s="26" t="str">
        <f>VLOOKUP(M198,[1]LPU!$A$2:$G$1512,5,FALSE())</f>
        <v>UN</v>
      </c>
      <c r="R198" s="27">
        <f>VLOOKUP(M198,[1]LPU!$A$2:$G$1512,6,FALSE())</f>
        <v>318112.5</v>
      </c>
      <c r="S198" s="27" t="str">
        <f>VLOOKUP(M198,[1]LPU!$A$2:$G$1512,7,FALSE())</f>
        <v>Mantenimiento CW</v>
      </c>
      <c r="T198" s="28">
        <v>4</v>
      </c>
      <c r="U198" s="29">
        <f t="shared" si="3"/>
        <v>1272450</v>
      </c>
      <c r="V198" s="29" t="s">
        <v>47</v>
      </c>
      <c r="W198" s="30"/>
      <c r="X198" s="29" t="s">
        <v>38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ht="21" customHeight="1" x14ac:dyDescent="0.3">
      <c r="A199" s="22">
        <v>195</v>
      </c>
      <c r="B199" s="23">
        <v>1</v>
      </c>
      <c r="C199" s="23" t="s">
        <v>83</v>
      </c>
      <c r="D199" s="23" t="str">
        <f>VLOOKUP(C199,'[1]1.CUADRO RESUMEN DE SITIOS '!$C$5:$L$1052,2,FALSE())</f>
        <v>JCOR_00246</v>
      </c>
      <c r="E199" s="24">
        <f>VLOOKUP(C199,'[1]1.CUADRO RESUMEN DE SITIOS '!$C$5:$L$1052,3,FALSE())</f>
        <v>45950</v>
      </c>
      <c r="F199" s="23">
        <f>VLOOKUP(C199,'[1]1.CUADRO RESUMEN DE SITIOS '!$C$5:$L$1052,4,FALSE())</f>
        <v>8.2468730000000008</v>
      </c>
      <c r="G199" s="23">
        <f>VLOOKUP(C199,'[1]1.CUADRO RESUMEN DE SITIOS '!$C$5:$L$1052,5,FALSE())</f>
        <v>-75.362761000000006</v>
      </c>
      <c r="H199" s="23" t="str">
        <f>VLOOKUP(C199,'[1]1.CUADRO RESUMEN DE SITIOS '!$C$5:$L$1052,6,FALSE())</f>
        <v>Córdoba</v>
      </c>
      <c r="I199" s="23" t="str">
        <f>VLOOKUP(C199,'[1]1.CUADRO RESUMEN DE SITIOS '!$C$5:$L$1052,7,FALSE())</f>
        <v>WOM</v>
      </c>
      <c r="J199" s="25" t="str">
        <f>VLOOKUP(C199,'[1]1.CUADRO RESUMEN DE SITIOS '!$C$5:$L$1052,8,FALSE())</f>
        <v>COSTA</v>
      </c>
      <c r="K199" s="23" t="str">
        <f>VLOOKUP(C199,'[1]1.CUADRO RESUMEN DE SITIOS '!$C$5:$L$1052,9,FALSE())</f>
        <v>Alfredo de la Cruz</v>
      </c>
      <c r="L199" s="26" t="str">
        <f>VLOOKUP(C199,'[1]1.CUADRO RESUMEN DE SITIOS '!$C$5:$L$1052,10,FALSE())</f>
        <v>Terminado</v>
      </c>
      <c r="M199" s="26">
        <v>8828119815</v>
      </c>
      <c r="N199" s="26">
        <f>VLOOKUP(M199,[1]LPU!$A$2:$G$1512,2,FALSE())</f>
        <v>2.04</v>
      </c>
      <c r="O199" s="26" t="str">
        <f>VLOOKUP(M199,[1]LPU!$A$2:$G$1512,3,FALSE)</f>
        <v>Torqueo tornillería torre acorde con la norma EIA/TIA222F - EIA/TIA222G. Incluye protocolo de torque, todos los elementos y equipos necesarios para la realización. De acuerdo a la altura de la torre</v>
      </c>
      <c r="P199" s="26" t="str">
        <f>VLOOKUP(M199,[1]LPU!$A$2:$G$1512,4,FALSE())</f>
        <v>Mantenimiento CW</v>
      </c>
      <c r="Q199" s="26" t="str">
        <f>VLOOKUP(M199,[1]LPU!$A$2:$G$1512,5,FALSE())</f>
        <v>UN</v>
      </c>
      <c r="R199" s="27">
        <f>VLOOKUP(M199,[1]LPU!$A$2:$G$1512,6,FALSE())</f>
        <v>1277092.7</v>
      </c>
      <c r="S199" s="27" t="str">
        <f>VLOOKUP(M199,[1]LPU!$A$2:$G$1512,7,FALSE())</f>
        <v>Mantenimiento CW</v>
      </c>
      <c r="T199" s="28">
        <v>1</v>
      </c>
      <c r="U199" s="29">
        <f t="shared" si="3"/>
        <v>1277092.7</v>
      </c>
      <c r="V199" s="29" t="s">
        <v>47</v>
      </c>
      <c r="W199" s="30"/>
      <c r="X199" s="29" t="s">
        <v>38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ht="21" customHeight="1" x14ac:dyDescent="0.3">
      <c r="A200" s="22">
        <v>196</v>
      </c>
      <c r="B200" s="23">
        <v>1</v>
      </c>
      <c r="C200" s="23" t="s">
        <v>83</v>
      </c>
      <c r="D200" s="23" t="str">
        <f>VLOOKUP(C200,'[1]1.CUADRO RESUMEN DE SITIOS '!$C$5:$L$1052,2,FALSE())</f>
        <v>JCOR_00246</v>
      </c>
      <c r="E200" s="24">
        <f>VLOOKUP(C200,'[1]1.CUADRO RESUMEN DE SITIOS '!$C$5:$L$1052,3,FALSE())</f>
        <v>45950</v>
      </c>
      <c r="F200" s="23">
        <f>VLOOKUP(C200,'[1]1.CUADRO RESUMEN DE SITIOS '!$C$5:$L$1052,4,FALSE())</f>
        <v>8.2468730000000008</v>
      </c>
      <c r="G200" s="23">
        <f>VLOOKUP(C200,'[1]1.CUADRO RESUMEN DE SITIOS '!$C$5:$L$1052,5,FALSE())</f>
        <v>-75.362761000000006</v>
      </c>
      <c r="H200" s="23" t="str">
        <f>VLOOKUP(C200,'[1]1.CUADRO RESUMEN DE SITIOS '!$C$5:$L$1052,6,FALSE())</f>
        <v>Córdoba</v>
      </c>
      <c r="I200" s="23" t="str">
        <f>VLOOKUP(C200,'[1]1.CUADRO RESUMEN DE SITIOS '!$C$5:$L$1052,7,FALSE())</f>
        <v>WOM</v>
      </c>
      <c r="J200" s="25" t="str">
        <f>VLOOKUP(C200,'[1]1.CUADRO RESUMEN DE SITIOS '!$C$5:$L$1052,8,FALSE())</f>
        <v>COSTA</v>
      </c>
      <c r="K200" s="23" t="str">
        <f>VLOOKUP(C200,'[1]1.CUADRO RESUMEN DE SITIOS '!$C$5:$L$1052,9,FALSE())</f>
        <v>Alfredo de la Cruz</v>
      </c>
      <c r="L200" s="26" t="str">
        <f>VLOOKUP(C200,'[1]1.CUADRO RESUMEN DE SITIOS '!$C$5:$L$1052,10,FALSE())</f>
        <v>Terminado</v>
      </c>
      <c r="M200" s="26">
        <v>8828120281</v>
      </c>
      <c r="N200" s="26">
        <f>VLOOKUP(M200,[1]LPU!$A$2:$G$1512,2,FALSE())</f>
        <v>5.24</v>
      </c>
      <c r="O200" s="26" t="str">
        <f>VLOOKUP(M200,[1]LPU!$A$2:$G$1512,3,FALSE)</f>
        <v>Cambio de perros de sujeción para riendas de guaya 1/2" galvanizado. Incluye suministro e instalación.</v>
      </c>
      <c r="P200" s="26" t="str">
        <f>VLOOKUP(M200,[1]LPU!$A$2:$G$1512,4,FALSE())</f>
        <v>Mantenimiento CW</v>
      </c>
      <c r="Q200" s="26" t="str">
        <f>VLOOKUP(M200,[1]LPU!$A$2:$G$1512,5,FALSE())</f>
        <v>UND</v>
      </c>
      <c r="R200" s="27">
        <f>VLOOKUP(M200,[1]LPU!$A$2:$G$1512,6,FALSE())</f>
        <v>20898.099999999999</v>
      </c>
      <c r="S200" s="27" t="str">
        <f>VLOOKUP(M200,[1]LPU!$A$2:$G$1512,7,FALSE())</f>
        <v>Mantenimiento CW</v>
      </c>
      <c r="T200" s="28">
        <v>54</v>
      </c>
      <c r="U200" s="29">
        <f t="shared" si="3"/>
        <v>1128497.3999999999</v>
      </c>
      <c r="V200" s="29" t="s">
        <v>47</v>
      </c>
      <c r="W200" s="30"/>
      <c r="X200" s="29" t="s">
        <v>38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ht="21" customHeight="1" x14ac:dyDescent="0.3">
      <c r="A201" s="22">
        <v>197</v>
      </c>
      <c r="B201" s="23">
        <v>1</v>
      </c>
      <c r="C201" s="23" t="s">
        <v>83</v>
      </c>
      <c r="D201" s="23" t="str">
        <f>VLOOKUP(C201,'[1]1.CUADRO RESUMEN DE SITIOS '!$C$5:$L$1052,2,FALSE())</f>
        <v>JCOR_00246</v>
      </c>
      <c r="E201" s="24">
        <f>VLOOKUP(C201,'[1]1.CUADRO RESUMEN DE SITIOS '!$C$5:$L$1052,3,FALSE())</f>
        <v>45950</v>
      </c>
      <c r="F201" s="23">
        <f>VLOOKUP(C201,'[1]1.CUADRO RESUMEN DE SITIOS '!$C$5:$L$1052,4,FALSE())</f>
        <v>8.2468730000000008</v>
      </c>
      <c r="G201" s="23">
        <f>VLOOKUP(C201,'[1]1.CUADRO RESUMEN DE SITIOS '!$C$5:$L$1052,5,FALSE())</f>
        <v>-75.362761000000006</v>
      </c>
      <c r="H201" s="23" t="str">
        <f>VLOOKUP(C201,'[1]1.CUADRO RESUMEN DE SITIOS '!$C$5:$L$1052,6,FALSE())</f>
        <v>Córdoba</v>
      </c>
      <c r="I201" s="23" t="str">
        <f>VLOOKUP(C201,'[1]1.CUADRO RESUMEN DE SITIOS '!$C$5:$L$1052,7,FALSE())</f>
        <v>WOM</v>
      </c>
      <c r="J201" s="25" t="str">
        <f>VLOOKUP(C201,'[1]1.CUADRO RESUMEN DE SITIOS '!$C$5:$L$1052,8,FALSE())</f>
        <v>COSTA</v>
      </c>
      <c r="K201" s="23" t="str">
        <f>VLOOKUP(C201,'[1]1.CUADRO RESUMEN DE SITIOS '!$C$5:$L$1052,9,FALSE())</f>
        <v>Alfredo de la Cruz</v>
      </c>
      <c r="L201" s="26" t="str">
        <f>VLOOKUP(C201,'[1]1.CUADRO RESUMEN DE SITIOS '!$C$5:$L$1052,10,FALSE())</f>
        <v>Terminado</v>
      </c>
      <c r="M201" s="26">
        <v>8828119941</v>
      </c>
      <c r="N201" s="26">
        <f>VLOOKUP(M201,[1]LPU!$A$2:$G$1512,2,FALSE())</f>
        <v>165</v>
      </c>
      <c r="O201" s="26" t="str">
        <f>VLOOKUP(M201,[1]LPU!$A$2:$G$1512,3,FALSE)</f>
        <v>Transporte tipo C, zona de dificil acceso</v>
      </c>
      <c r="P201" s="26" t="str">
        <f>VLOOKUP(M201,[1]LPU!$A$2:$G$1512,4,FALSE())</f>
        <v>LOCATIVO</v>
      </c>
      <c r="Q201" s="26" t="str">
        <f>VLOOKUP(M201,[1]LPU!$A$2:$G$1512,5,FALSE())</f>
        <v>Global</v>
      </c>
      <c r="R201" s="27">
        <f>VLOOKUP(M201,[1]LPU!$A$2:$G$1512,6,FALSE())</f>
        <v>388801.05</v>
      </c>
      <c r="S201" s="27" t="str">
        <f>VLOOKUP(M201,[1]LPU!$A$2:$G$1512,7,FALSE())</f>
        <v>LPU FLM</v>
      </c>
      <c r="T201" s="28">
        <v>1</v>
      </c>
      <c r="U201" s="29">
        <f t="shared" si="3"/>
        <v>388801.05</v>
      </c>
      <c r="V201" s="29" t="s">
        <v>47</v>
      </c>
      <c r="W201" s="30"/>
      <c r="X201" s="29" t="s">
        <v>38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ht="21" customHeight="1" x14ac:dyDescent="0.3">
      <c r="A202" s="22">
        <v>198</v>
      </c>
      <c r="B202" s="23">
        <v>1</v>
      </c>
      <c r="C202" s="23" t="s">
        <v>93</v>
      </c>
      <c r="D202" s="23" t="str">
        <f>VLOOKUP(C202,'[1]1.CUADRO RESUMEN DE SITIOS '!$C$5:$L$1052,2,FALSE())</f>
        <v>JCOR 00118</v>
      </c>
      <c r="E202" s="24">
        <f>VLOOKUP(C202,'[1]1.CUADRO RESUMEN DE SITIOS '!$C$5:$L$1052,3,FALSE())</f>
        <v>45912</v>
      </c>
      <c r="F202" s="23">
        <f>VLOOKUP(C202,'[1]1.CUADRO RESUMEN DE SITIOS '!$C$5:$L$1052,4,FALSE())</f>
        <v>7.8415900000000001</v>
      </c>
      <c r="G202" s="23">
        <f>VLOOKUP(C202,'[1]1.CUADRO RESUMEN DE SITIOS '!$C$5:$L$1052,5,FALSE())</f>
        <v>-75.523120000000006</v>
      </c>
      <c r="H202" s="23" t="str">
        <f>VLOOKUP(C202,'[1]1.CUADRO RESUMEN DE SITIOS '!$C$5:$L$1052,6,FALSE())</f>
        <v>Córdoba</v>
      </c>
      <c r="I202" s="23" t="str">
        <f>VLOOKUP(C202,'[1]1.CUADRO RESUMEN DE SITIOS '!$C$5:$L$1052,7,FALSE())</f>
        <v>WOM</v>
      </c>
      <c r="J202" s="25" t="str">
        <f>VLOOKUP(C202,'[1]1.CUADRO RESUMEN DE SITIOS '!$C$5:$L$1052,8,FALSE())</f>
        <v>COSTA</v>
      </c>
      <c r="K202" s="23" t="str">
        <f>VLOOKUP(C202,'[1]1.CUADRO RESUMEN DE SITIOS '!$C$5:$L$1052,9,FALSE())</f>
        <v>Alfredo de la Cruz</v>
      </c>
      <c r="L202" s="26" t="str">
        <f>VLOOKUP(C202,'[1]1.CUADRO RESUMEN DE SITIOS '!$C$5:$L$1052,10,FALSE())</f>
        <v>Terminado</v>
      </c>
      <c r="M202" s="26">
        <v>8828119788</v>
      </c>
      <c r="N202" s="26">
        <f>VLOOKUP(M202,[1]LPU!$A$2:$G$1512,2,FALSE())</f>
        <v>2.02</v>
      </c>
      <c r="O202" s="26" t="str">
        <f>VLOOKUP(M202,[1]LPU!$A$2:$G$1512,3,FALSE)</f>
        <v>Protocolo de verticalidad torre hasta 100 m de altura, Incluye protocolo previo y posterior a la actividad a realizar. Incluye documentación e informe de protocolo.</v>
      </c>
      <c r="P202" s="26" t="str">
        <f>VLOOKUP(M202,[1]LPU!$A$2:$G$1512,4,FALSE())</f>
        <v>Mantenimiento CW</v>
      </c>
      <c r="Q202" s="26" t="str">
        <f>VLOOKUP(M202,[1]LPU!$A$2:$G$1512,5,FALSE())</f>
        <v>GL</v>
      </c>
      <c r="R202" s="27">
        <f>VLOOKUP(M202,[1]LPU!$A$2:$G$1512,6,FALSE())</f>
        <v>974025.2</v>
      </c>
      <c r="S202" s="27" t="str">
        <f>VLOOKUP(M202,[1]LPU!$A$2:$G$1512,7,FALSE())</f>
        <v>Mantenimiento CW</v>
      </c>
      <c r="T202" s="28">
        <v>1</v>
      </c>
      <c r="U202" s="29">
        <f t="shared" si="3"/>
        <v>974025.2</v>
      </c>
      <c r="V202" s="29" t="s">
        <v>47</v>
      </c>
      <c r="W202" s="30"/>
      <c r="X202" s="29" t="s">
        <v>38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ht="21" customHeight="1" x14ac:dyDescent="0.3">
      <c r="A203" s="22">
        <v>199</v>
      </c>
      <c r="B203" s="23">
        <v>1</v>
      </c>
      <c r="C203" s="23" t="s">
        <v>93</v>
      </c>
      <c r="D203" s="23" t="str">
        <f>VLOOKUP(C203,'[1]1.CUADRO RESUMEN DE SITIOS '!$C$5:$L$1052,2,FALSE())</f>
        <v>JCOR 00118</v>
      </c>
      <c r="E203" s="24">
        <f>VLOOKUP(C203,'[1]1.CUADRO RESUMEN DE SITIOS '!$C$5:$L$1052,3,FALSE())</f>
        <v>45912</v>
      </c>
      <c r="F203" s="23">
        <f>VLOOKUP(C203,'[1]1.CUADRO RESUMEN DE SITIOS '!$C$5:$L$1052,4,FALSE())</f>
        <v>7.8415900000000001</v>
      </c>
      <c r="G203" s="23">
        <f>VLOOKUP(C203,'[1]1.CUADRO RESUMEN DE SITIOS '!$C$5:$L$1052,5,FALSE())</f>
        <v>-75.523120000000006</v>
      </c>
      <c r="H203" s="23" t="str">
        <f>VLOOKUP(C203,'[1]1.CUADRO RESUMEN DE SITIOS '!$C$5:$L$1052,6,FALSE())</f>
        <v>Córdoba</v>
      </c>
      <c r="I203" s="23" t="str">
        <f>VLOOKUP(C203,'[1]1.CUADRO RESUMEN DE SITIOS '!$C$5:$L$1052,7,FALSE())</f>
        <v>WOM</v>
      </c>
      <c r="J203" s="25" t="str">
        <f>VLOOKUP(C203,'[1]1.CUADRO RESUMEN DE SITIOS '!$C$5:$L$1052,8,FALSE())</f>
        <v>COSTA</v>
      </c>
      <c r="K203" s="23" t="str">
        <f>VLOOKUP(C203,'[1]1.CUADRO RESUMEN DE SITIOS '!$C$5:$L$1052,9,FALSE())</f>
        <v>Alfredo de la Cruz</v>
      </c>
      <c r="L203" s="26" t="str">
        <f>VLOOKUP(C203,'[1]1.CUADRO RESUMEN DE SITIOS '!$C$5:$L$1052,10,FALSE())</f>
        <v>Terminado</v>
      </c>
      <c r="M203" s="26">
        <v>8828119807</v>
      </c>
      <c r="N203" s="26">
        <f>VLOOKUP(M203,[1]LPU!$A$2:$G$1512,2,FALSE())</f>
        <v>2.0299999999999998</v>
      </c>
      <c r="O203" s="26" t="str">
        <f>VLOOKUP(M203,[1]LPU!$A$2:$G$1512,3,FALSE)</f>
        <v>Ajuste de tensión de riendas acorde con la norma EIA/TIA222F - EIA/TIA222G. Incluye todos los elementos y equipos necesarios para la realización. De acuerdo a la altura de la torre.</v>
      </c>
      <c r="P203" s="26" t="str">
        <f>VLOOKUP(M203,[1]LPU!$A$2:$G$1512,4,FALSE())</f>
        <v>Mantenimiento CW</v>
      </c>
      <c r="Q203" s="26" t="str">
        <f>VLOOKUP(M203,[1]LPU!$A$2:$G$1512,5,FALSE())</f>
        <v>UN</v>
      </c>
      <c r="R203" s="27">
        <f>VLOOKUP(M203,[1]LPU!$A$2:$G$1512,6,FALSE())</f>
        <v>318112.5</v>
      </c>
      <c r="S203" s="27" t="str">
        <f>VLOOKUP(M203,[1]LPU!$A$2:$G$1512,7,FALSE())</f>
        <v>Mantenimiento CW</v>
      </c>
      <c r="T203" s="28">
        <v>4</v>
      </c>
      <c r="U203" s="29">
        <f t="shared" si="3"/>
        <v>1272450</v>
      </c>
      <c r="V203" s="29" t="s">
        <v>47</v>
      </c>
      <c r="W203" s="30"/>
      <c r="X203" s="29" t="s">
        <v>38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ht="21" customHeight="1" x14ac:dyDescent="0.3">
      <c r="A204" s="22">
        <v>200</v>
      </c>
      <c r="B204" s="23">
        <v>1</v>
      </c>
      <c r="C204" s="23" t="s">
        <v>93</v>
      </c>
      <c r="D204" s="23" t="str">
        <f>VLOOKUP(C204,'[1]1.CUADRO RESUMEN DE SITIOS '!$C$5:$L$1052,2,FALSE())</f>
        <v>JCOR 00118</v>
      </c>
      <c r="E204" s="24">
        <f>VLOOKUP(C204,'[1]1.CUADRO RESUMEN DE SITIOS '!$C$5:$L$1052,3,FALSE())</f>
        <v>45912</v>
      </c>
      <c r="F204" s="23">
        <f>VLOOKUP(C204,'[1]1.CUADRO RESUMEN DE SITIOS '!$C$5:$L$1052,4,FALSE())</f>
        <v>7.8415900000000001</v>
      </c>
      <c r="G204" s="23">
        <f>VLOOKUP(C204,'[1]1.CUADRO RESUMEN DE SITIOS '!$C$5:$L$1052,5,FALSE())</f>
        <v>-75.523120000000006</v>
      </c>
      <c r="H204" s="23" t="str">
        <f>VLOOKUP(C204,'[1]1.CUADRO RESUMEN DE SITIOS '!$C$5:$L$1052,6,FALSE())</f>
        <v>Córdoba</v>
      </c>
      <c r="I204" s="23" t="str">
        <f>VLOOKUP(C204,'[1]1.CUADRO RESUMEN DE SITIOS '!$C$5:$L$1052,7,FALSE())</f>
        <v>WOM</v>
      </c>
      <c r="J204" s="25" t="str">
        <f>VLOOKUP(C204,'[1]1.CUADRO RESUMEN DE SITIOS '!$C$5:$L$1052,8,FALSE())</f>
        <v>COSTA</v>
      </c>
      <c r="K204" s="23" t="str">
        <f>VLOOKUP(C204,'[1]1.CUADRO RESUMEN DE SITIOS '!$C$5:$L$1052,9,FALSE())</f>
        <v>Alfredo de la Cruz</v>
      </c>
      <c r="L204" s="26" t="str">
        <f>VLOOKUP(C204,'[1]1.CUADRO RESUMEN DE SITIOS '!$C$5:$L$1052,10,FALSE())</f>
        <v>Terminado</v>
      </c>
      <c r="M204" s="26">
        <v>8828119815</v>
      </c>
      <c r="N204" s="26">
        <f>VLOOKUP(M204,[1]LPU!$A$2:$G$1512,2,FALSE())</f>
        <v>2.04</v>
      </c>
      <c r="O204" s="26" t="str">
        <f>VLOOKUP(M204,[1]LPU!$A$2:$G$1512,3,FALSE)</f>
        <v>Torqueo tornillería torre acorde con la norma EIA/TIA222F - EIA/TIA222G. Incluye protocolo de torque, todos los elementos y equipos necesarios para la realización. De acuerdo a la altura de la torre</v>
      </c>
      <c r="P204" s="26" t="str">
        <f>VLOOKUP(M204,[1]LPU!$A$2:$G$1512,4,FALSE())</f>
        <v>Mantenimiento CW</v>
      </c>
      <c r="Q204" s="26" t="str">
        <f>VLOOKUP(M204,[1]LPU!$A$2:$G$1512,5,FALSE())</f>
        <v>UN</v>
      </c>
      <c r="R204" s="27">
        <f>VLOOKUP(M204,[1]LPU!$A$2:$G$1512,6,FALSE())</f>
        <v>1277092.7</v>
      </c>
      <c r="S204" s="27" t="str">
        <f>VLOOKUP(M204,[1]LPU!$A$2:$G$1512,7,FALSE())</f>
        <v>Mantenimiento CW</v>
      </c>
      <c r="T204" s="28">
        <v>1</v>
      </c>
      <c r="U204" s="29">
        <f t="shared" si="3"/>
        <v>1277092.7</v>
      </c>
      <c r="V204" s="29" t="s">
        <v>47</v>
      </c>
      <c r="W204" s="30"/>
      <c r="X204" s="29" t="s">
        <v>38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ht="21" customHeight="1" x14ac:dyDescent="0.3">
      <c r="A205" s="22">
        <v>201</v>
      </c>
      <c r="B205" s="23">
        <v>1</v>
      </c>
      <c r="C205" s="23" t="s">
        <v>93</v>
      </c>
      <c r="D205" s="23" t="str">
        <f>VLOOKUP(C205,'[1]1.CUADRO RESUMEN DE SITIOS '!$C$5:$L$1052,2,FALSE())</f>
        <v>JCOR 00118</v>
      </c>
      <c r="E205" s="24">
        <f>VLOOKUP(C205,'[1]1.CUADRO RESUMEN DE SITIOS '!$C$5:$L$1052,3,FALSE())</f>
        <v>45912</v>
      </c>
      <c r="F205" s="23">
        <f>VLOOKUP(C205,'[1]1.CUADRO RESUMEN DE SITIOS '!$C$5:$L$1052,4,FALSE())</f>
        <v>7.8415900000000001</v>
      </c>
      <c r="G205" s="23">
        <f>VLOOKUP(C205,'[1]1.CUADRO RESUMEN DE SITIOS '!$C$5:$L$1052,5,FALSE())</f>
        <v>-75.523120000000006</v>
      </c>
      <c r="H205" s="23" t="str">
        <f>VLOOKUP(C205,'[1]1.CUADRO RESUMEN DE SITIOS '!$C$5:$L$1052,6,FALSE())</f>
        <v>Córdoba</v>
      </c>
      <c r="I205" s="23" t="str">
        <f>VLOOKUP(C205,'[1]1.CUADRO RESUMEN DE SITIOS '!$C$5:$L$1052,7,FALSE())</f>
        <v>WOM</v>
      </c>
      <c r="J205" s="25" t="str">
        <f>VLOOKUP(C205,'[1]1.CUADRO RESUMEN DE SITIOS '!$C$5:$L$1052,8,FALSE())</f>
        <v>COSTA</v>
      </c>
      <c r="K205" s="23" t="str">
        <f>VLOOKUP(C205,'[1]1.CUADRO RESUMEN DE SITIOS '!$C$5:$L$1052,9,FALSE())</f>
        <v>Alfredo de la Cruz</v>
      </c>
      <c r="L205" s="26" t="str">
        <f>VLOOKUP(C205,'[1]1.CUADRO RESUMEN DE SITIOS '!$C$5:$L$1052,10,FALSE())</f>
        <v>Terminado</v>
      </c>
      <c r="M205" s="26">
        <v>8828120281</v>
      </c>
      <c r="N205" s="26">
        <f>VLOOKUP(M205,[1]LPU!$A$2:$G$1512,2,FALSE())</f>
        <v>5.24</v>
      </c>
      <c r="O205" s="26" t="str">
        <f>VLOOKUP(M205,[1]LPU!$A$2:$G$1512,3,FALSE)</f>
        <v>Cambio de perros de sujeción para riendas de guaya 1/2" galvanizado. Incluye suministro e instalación.</v>
      </c>
      <c r="P205" s="26" t="str">
        <f>VLOOKUP(M205,[1]LPU!$A$2:$G$1512,4,FALSE())</f>
        <v>Mantenimiento CW</v>
      </c>
      <c r="Q205" s="26" t="str">
        <f>VLOOKUP(M205,[1]LPU!$A$2:$G$1512,5,FALSE())</f>
        <v>UND</v>
      </c>
      <c r="R205" s="27">
        <f>VLOOKUP(M205,[1]LPU!$A$2:$G$1512,6,FALSE())</f>
        <v>20898.099999999999</v>
      </c>
      <c r="S205" s="27" t="str">
        <f>VLOOKUP(M205,[1]LPU!$A$2:$G$1512,7,FALSE())</f>
        <v>Mantenimiento CW</v>
      </c>
      <c r="T205" s="28">
        <v>54</v>
      </c>
      <c r="U205" s="29">
        <f t="shared" si="3"/>
        <v>1128497.3999999999</v>
      </c>
      <c r="V205" s="29" t="s">
        <v>47</v>
      </c>
      <c r="W205" s="30"/>
      <c r="X205" s="29" t="s">
        <v>38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ht="21" customHeight="1" x14ac:dyDescent="0.3">
      <c r="A206" s="22">
        <v>202</v>
      </c>
      <c r="B206" s="23">
        <v>1</v>
      </c>
      <c r="C206" s="23" t="s">
        <v>93</v>
      </c>
      <c r="D206" s="23" t="str">
        <f>VLOOKUP(C206,'[1]1.CUADRO RESUMEN DE SITIOS '!$C$5:$L$1052,2,FALSE())</f>
        <v>JCOR 00118</v>
      </c>
      <c r="E206" s="24">
        <f>VLOOKUP(C206,'[1]1.CUADRO RESUMEN DE SITIOS '!$C$5:$L$1052,3,FALSE())</f>
        <v>45912</v>
      </c>
      <c r="F206" s="23">
        <f>VLOOKUP(C206,'[1]1.CUADRO RESUMEN DE SITIOS '!$C$5:$L$1052,4,FALSE())</f>
        <v>7.8415900000000001</v>
      </c>
      <c r="G206" s="23">
        <f>VLOOKUP(C206,'[1]1.CUADRO RESUMEN DE SITIOS '!$C$5:$L$1052,5,FALSE())</f>
        <v>-75.523120000000006</v>
      </c>
      <c r="H206" s="23" t="str">
        <f>VLOOKUP(C206,'[1]1.CUADRO RESUMEN DE SITIOS '!$C$5:$L$1052,6,FALSE())</f>
        <v>Córdoba</v>
      </c>
      <c r="I206" s="23" t="str">
        <f>VLOOKUP(C206,'[1]1.CUADRO RESUMEN DE SITIOS '!$C$5:$L$1052,7,FALSE())</f>
        <v>WOM</v>
      </c>
      <c r="J206" s="25" t="str">
        <f>VLOOKUP(C206,'[1]1.CUADRO RESUMEN DE SITIOS '!$C$5:$L$1052,8,FALSE())</f>
        <v>COSTA</v>
      </c>
      <c r="K206" s="23" t="str">
        <f>VLOOKUP(C206,'[1]1.CUADRO RESUMEN DE SITIOS '!$C$5:$L$1052,9,FALSE())</f>
        <v>Alfredo de la Cruz</v>
      </c>
      <c r="L206" s="26" t="str">
        <f>VLOOKUP(C206,'[1]1.CUADRO RESUMEN DE SITIOS '!$C$5:$L$1052,10,FALSE())</f>
        <v>Terminado</v>
      </c>
      <c r="M206" s="26">
        <v>8828119941</v>
      </c>
      <c r="N206" s="26">
        <f>VLOOKUP(M206,[1]LPU!$A$2:$G$1512,2,FALSE())</f>
        <v>165</v>
      </c>
      <c r="O206" s="26" t="str">
        <f>VLOOKUP(M206,[1]LPU!$A$2:$G$1512,3,FALSE)</f>
        <v>Transporte tipo C, zona de dificil acceso</v>
      </c>
      <c r="P206" s="26" t="str">
        <f>VLOOKUP(M206,[1]LPU!$A$2:$G$1512,4,FALSE())</f>
        <v>LOCATIVO</v>
      </c>
      <c r="Q206" s="26" t="str">
        <f>VLOOKUP(M206,[1]LPU!$A$2:$G$1512,5,FALSE())</f>
        <v>Global</v>
      </c>
      <c r="R206" s="27">
        <f>VLOOKUP(M206,[1]LPU!$A$2:$G$1512,6,FALSE())</f>
        <v>388801.05</v>
      </c>
      <c r="S206" s="27" t="str">
        <f>VLOOKUP(M206,[1]LPU!$A$2:$G$1512,7,FALSE())</f>
        <v>LPU FLM</v>
      </c>
      <c r="T206" s="28">
        <v>1</v>
      </c>
      <c r="U206" s="29">
        <f t="shared" si="3"/>
        <v>388801.05</v>
      </c>
      <c r="V206" s="29" t="s">
        <v>47</v>
      </c>
      <c r="W206" s="30"/>
      <c r="X206" s="29" t="s">
        <v>38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ht="21" customHeight="1" x14ac:dyDescent="0.3">
      <c r="A207" s="22">
        <v>203</v>
      </c>
      <c r="B207" s="23">
        <v>1</v>
      </c>
      <c r="C207" s="23" t="s">
        <v>128</v>
      </c>
      <c r="D207" s="23" t="str">
        <f>VLOOKUP(C207,'[1]1.CUADRO RESUMEN DE SITIOS '!$C$5:$L$1052,2,FALSE())</f>
        <v>JCOR_00145</v>
      </c>
      <c r="E207" s="24">
        <f>VLOOKUP(C207,'[1]1.CUADRO RESUMEN DE SITIOS '!$C$5:$L$1052,3,FALSE())</f>
        <v>45928</v>
      </c>
      <c r="F207" s="23">
        <f>VLOOKUP(C207,'[1]1.CUADRO RESUMEN DE SITIOS '!$C$5:$L$1052,4,FALSE())</f>
        <v>7.7544665000000004</v>
      </c>
      <c r="G207" s="23">
        <f>VLOOKUP(C207,'[1]1.CUADRO RESUMEN DE SITIOS '!$C$5:$L$1052,5,FALSE())</f>
        <v>-75.839269999999999</v>
      </c>
      <c r="H207" s="23" t="str">
        <f>VLOOKUP(C207,'[1]1.CUADRO RESUMEN DE SITIOS '!$C$5:$L$1052,6,FALSE())</f>
        <v>Sucre</v>
      </c>
      <c r="I207" s="23" t="str">
        <f>VLOOKUP(C207,'[1]1.CUADRO RESUMEN DE SITIOS '!$C$5:$L$1052,7,FALSE())</f>
        <v>WOM</v>
      </c>
      <c r="J207" s="25" t="str">
        <f>VLOOKUP(C207,'[1]1.CUADRO RESUMEN DE SITIOS '!$C$5:$L$1052,8,FALSE())</f>
        <v>COSTA</v>
      </c>
      <c r="K207" s="23" t="str">
        <f>VLOOKUP(C207,'[1]1.CUADRO RESUMEN DE SITIOS '!$C$5:$L$1052,9,FALSE())</f>
        <v>Alfredo de la Cruz</v>
      </c>
      <c r="L207" s="26" t="str">
        <f>VLOOKUP(C207,'[1]1.CUADRO RESUMEN DE SITIOS '!$C$5:$L$1052,10,FALSE())</f>
        <v>Terminado</v>
      </c>
      <c r="M207" s="26">
        <v>8828119788</v>
      </c>
      <c r="N207" s="26">
        <f>VLOOKUP(M207,[1]LPU!$A$2:$G$1512,2,FALSE())</f>
        <v>2.02</v>
      </c>
      <c r="O207" s="26" t="str">
        <f>VLOOKUP(M207,[1]LPU!$A$2:$G$1512,3,FALSE)</f>
        <v>Protocolo de verticalidad torre hasta 100 m de altura, Incluye protocolo previo y posterior a la actividad a realizar. Incluye documentación e informe de protocolo.</v>
      </c>
      <c r="P207" s="26" t="str">
        <f>VLOOKUP(M207,[1]LPU!$A$2:$G$1512,4,FALSE())</f>
        <v>Mantenimiento CW</v>
      </c>
      <c r="Q207" s="26" t="str">
        <f>VLOOKUP(M207,[1]LPU!$A$2:$G$1512,5,FALSE())</f>
        <v>GL</v>
      </c>
      <c r="R207" s="27">
        <f>VLOOKUP(M207,[1]LPU!$A$2:$G$1512,6,FALSE())</f>
        <v>974025.2</v>
      </c>
      <c r="S207" s="27" t="str">
        <f>VLOOKUP(M207,[1]LPU!$A$2:$G$1512,7,FALSE())</f>
        <v>Mantenimiento CW</v>
      </c>
      <c r="T207" s="28">
        <v>1</v>
      </c>
      <c r="U207" s="29">
        <f t="shared" si="3"/>
        <v>974025.2</v>
      </c>
      <c r="V207" s="29" t="s">
        <v>47</v>
      </c>
      <c r="W207" s="30"/>
      <c r="X207" s="29" t="s">
        <v>38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ht="21" customHeight="1" x14ac:dyDescent="0.3">
      <c r="A208" s="22">
        <v>204</v>
      </c>
      <c r="B208" s="23">
        <v>1</v>
      </c>
      <c r="C208" s="23" t="s">
        <v>128</v>
      </c>
      <c r="D208" s="23" t="str">
        <f>VLOOKUP(C208,'[1]1.CUADRO RESUMEN DE SITIOS '!$C$5:$L$1052,2,FALSE())</f>
        <v>JCOR_00145</v>
      </c>
      <c r="E208" s="24">
        <f>VLOOKUP(C208,'[1]1.CUADRO RESUMEN DE SITIOS '!$C$5:$L$1052,3,FALSE())</f>
        <v>45928</v>
      </c>
      <c r="F208" s="23">
        <f>VLOOKUP(C208,'[1]1.CUADRO RESUMEN DE SITIOS '!$C$5:$L$1052,4,FALSE())</f>
        <v>7.7544665000000004</v>
      </c>
      <c r="G208" s="23">
        <f>VLOOKUP(C208,'[1]1.CUADRO RESUMEN DE SITIOS '!$C$5:$L$1052,5,FALSE())</f>
        <v>-75.839269999999999</v>
      </c>
      <c r="H208" s="23" t="str">
        <f>VLOOKUP(C208,'[1]1.CUADRO RESUMEN DE SITIOS '!$C$5:$L$1052,6,FALSE())</f>
        <v>Sucre</v>
      </c>
      <c r="I208" s="23" t="str">
        <f>VLOOKUP(C208,'[1]1.CUADRO RESUMEN DE SITIOS '!$C$5:$L$1052,7,FALSE())</f>
        <v>WOM</v>
      </c>
      <c r="J208" s="25" t="str">
        <f>VLOOKUP(C208,'[1]1.CUADRO RESUMEN DE SITIOS '!$C$5:$L$1052,8,FALSE())</f>
        <v>COSTA</v>
      </c>
      <c r="K208" s="23" t="str">
        <f>VLOOKUP(C208,'[1]1.CUADRO RESUMEN DE SITIOS '!$C$5:$L$1052,9,FALSE())</f>
        <v>Alfredo de la Cruz</v>
      </c>
      <c r="L208" s="26" t="str">
        <f>VLOOKUP(C208,'[1]1.CUADRO RESUMEN DE SITIOS '!$C$5:$L$1052,10,FALSE())</f>
        <v>Terminado</v>
      </c>
      <c r="M208" s="26">
        <v>8828119807</v>
      </c>
      <c r="N208" s="26">
        <f>VLOOKUP(M208,[1]LPU!$A$2:$G$1512,2,FALSE())</f>
        <v>2.0299999999999998</v>
      </c>
      <c r="O208" s="26" t="str">
        <f>VLOOKUP(M208,[1]LPU!$A$2:$G$1512,3,FALSE)</f>
        <v>Ajuste de tensión de riendas acorde con la norma EIA/TIA222F - EIA/TIA222G. Incluye todos los elementos y equipos necesarios para la realización. De acuerdo a la altura de la torre.</v>
      </c>
      <c r="P208" s="26" t="str">
        <f>VLOOKUP(M208,[1]LPU!$A$2:$G$1512,4,FALSE())</f>
        <v>Mantenimiento CW</v>
      </c>
      <c r="Q208" s="26" t="str">
        <f>VLOOKUP(M208,[1]LPU!$A$2:$G$1512,5,FALSE())</f>
        <v>UN</v>
      </c>
      <c r="R208" s="27">
        <f>VLOOKUP(M208,[1]LPU!$A$2:$G$1512,6,FALSE())</f>
        <v>318112.5</v>
      </c>
      <c r="S208" s="27" t="str">
        <f>VLOOKUP(M208,[1]LPU!$A$2:$G$1512,7,FALSE())</f>
        <v>Mantenimiento CW</v>
      </c>
      <c r="T208" s="28">
        <v>4</v>
      </c>
      <c r="U208" s="29">
        <f t="shared" si="3"/>
        <v>1272450</v>
      </c>
      <c r="V208" s="29" t="s">
        <v>47</v>
      </c>
      <c r="W208" s="30"/>
      <c r="X208" s="29" t="s">
        <v>38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ht="21" customHeight="1" x14ac:dyDescent="0.3">
      <c r="A209" s="22">
        <v>205</v>
      </c>
      <c r="B209" s="23">
        <v>1</v>
      </c>
      <c r="C209" s="23" t="s">
        <v>128</v>
      </c>
      <c r="D209" s="23" t="str">
        <f>VLOOKUP(C209,'[1]1.CUADRO RESUMEN DE SITIOS '!$C$5:$L$1052,2,FALSE())</f>
        <v>JCOR_00145</v>
      </c>
      <c r="E209" s="24">
        <f>VLOOKUP(C209,'[1]1.CUADRO RESUMEN DE SITIOS '!$C$5:$L$1052,3,FALSE())</f>
        <v>45928</v>
      </c>
      <c r="F209" s="23">
        <f>VLOOKUP(C209,'[1]1.CUADRO RESUMEN DE SITIOS '!$C$5:$L$1052,4,FALSE())</f>
        <v>7.7544665000000004</v>
      </c>
      <c r="G209" s="23">
        <f>VLOOKUP(C209,'[1]1.CUADRO RESUMEN DE SITIOS '!$C$5:$L$1052,5,FALSE())</f>
        <v>-75.839269999999999</v>
      </c>
      <c r="H209" s="23" t="str">
        <f>VLOOKUP(C209,'[1]1.CUADRO RESUMEN DE SITIOS '!$C$5:$L$1052,6,FALSE())</f>
        <v>Sucre</v>
      </c>
      <c r="I209" s="23" t="str">
        <f>VLOOKUP(C209,'[1]1.CUADRO RESUMEN DE SITIOS '!$C$5:$L$1052,7,FALSE())</f>
        <v>WOM</v>
      </c>
      <c r="J209" s="25" t="str">
        <f>VLOOKUP(C209,'[1]1.CUADRO RESUMEN DE SITIOS '!$C$5:$L$1052,8,FALSE())</f>
        <v>COSTA</v>
      </c>
      <c r="K209" s="23" t="str">
        <f>VLOOKUP(C209,'[1]1.CUADRO RESUMEN DE SITIOS '!$C$5:$L$1052,9,FALSE())</f>
        <v>Alfredo de la Cruz</v>
      </c>
      <c r="L209" s="26" t="str">
        <f>VLOOKUP(C209,'[1]1.CUADRO RESUMEN DE SITIOS '!$C$5:$L$1052,10,FALSE())</f>
        <v>Terminado</v>
      </c>
      <c r="M209" s="26">
        <v>8828119815</v>
      </c>
      <c r="N209" s="26">
        <f>VLOOKUP(M209,[1]LPU!$A$2:$G$1512,2,FALSE())</f>
        <v>2.04</v>
      </c>
      <c r="O209" s="26" t="str">
        <f>VLOOKUP(M209,[1]LPU!$A$2:$G$1512,3,FALSE)</f>
        <v>Torqueo tornillería torre acorde con la norma EIA/TIA222F - EIA/TIA222G. Incluye protocolo de torque, todos los elementos y equipos necesarios para la realización. De acuerdo a la altura de la torre</v>
      </c>
      <c r="P209" s="26" t="str">
        <f>VLOOKUP(M209,[1]LPU!$A$2:$G$1512,4,FALSE())</f>
        <v>Mantenimiento CW</v>
      </c>
      <c r="Q209" s="26" t="str">
        <f>VLOOKUP(M209,[1]LPU!$A$2:$G$1512,5,FALSE())</f>
        <v>UN</v>
      </c>
      <c r="R209" s="27">
        <f>VLOOKUP(M209,[1]LPU!$A$2:$G$1512,6,FALSE())</f>
        <v>1277092.7</v>
      </c>
      <c r="S209" s="27" t="str">
        <f>VLOOKUP(M209,[1]LPU!$A$2:$G$1512,7,FALSE())</f>
        <v>Mantenimiento CW</v>
      </c>
      <c r="T209" s="28">
        <v>1</v>
      </c>
      <c r="U209" s="29">
        <f t="shared" si="3"/>
        <v>1277092.7</v>
      </c>
      <c r="V209" s="29" t="s">
        <v>47</v>
      </c>
      <c r="W209" s="30"/>
      <c r="X209" s="29" t="s">
        <v>38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ht="21" customHeight="1" x14ac:dyDescent="0.3">
      <c r="A210" s="22">
        <v>206</v>
      </c>
      <c r="B210" s="23">
        <v>1</v>
      </c>
      <c r="C210" s="23" t="s">
        <v>128</v>
      </c>
      <c r="D210" s="23" t="str">
        <f>VLOOKUP(C210,'[1]1.CUADRO RESUMEN DE SITIOS '!$C$5:$L$1052,2,FALSE())</f>
        <v>JCOR_00145</v>
      </c>
      <c r="E210" s="24">
        <f>VLOOKUP(C210,'[1]1.CUADRO RESUMEN DE SITIOS '!$C$5:$L$1052,3,FALSE())</f>
        <v>45928</v>
      </c>
      <c r="F210" s="23">
        <f>VLOOKUP(C210,'[1]1.CUADRO RESUMEN DE SITIOS '!$C$5:$L$1052,4,FALSE())</f>
        <v>7.7544665000000004</v>
      </c>
      <c r="G210" s="23">
        <f>VLOOKUP(C210,'[1]1.CUADRO RESUMEN DE SITIOS '!$C$5:$L$1052,5,FALSE())</f>
        <v>-75.839269999999999</v>
      </c>
      <c r="H210" s="23" t="str">
        <f>VLOOKUP(C210,'[1]1.CUADRO RESUMEN DE SITIOS '!$C$5:$L$1052,6,FALSE())</f>
        <v>Sucre</v>
      </c>
      <c r="I210" s="23" t="str">
        <f>VLOOKUP(C210,'[1]1.CUADRO RESUMEN DE SITIOS '!$C$5:$L$1052,7,FALSE())</f>
        <v>WOM</v>
      </c>
      <c r="J210" s="25" t="str">
        <f>VLOOKUP(C210,'[1]1.CUADRO RESUMEN DE SITIOS '!$C$5:$L$1052,8,FALSE())</f>
        <v>COSTA</v>
      </c>
      <c r="K210" s="23" t="str">
        <f>VLOOKUP(C210,'[1]1.CUADRO RESUMEN DE SITIOS '!$C$5:$L$1052,9,FALSE())</f>
        <v>Alfredo de la Cruz</v>
      </c>
      <c r="L210" s="26" t="str">
        <f>VLOOKUP(C210,'[1]1.CUADRO RESUMEN DE SITIOS '!$C$5:$L$1052,10,FALSE())</f>
        <v>Terminado</v>
      </c>
      <c r="M210" s="26">
        <v>8828120281</v>
      </c>
      <c r="N210" s="26">
        <f>VLOOKUP(M210,[1]LPU!$A$2:$G$1512,2,FALSE())</f>
        <v>5.24</v>
      </c>
      <c r="O210" s="26" t="str">
        <f>VLOOKUP(M210,[1]LPU!$A$2:$G$1512,3,FALSE)</f>
        <v>Cambio de perros de sujeción para riendas de guaya 1/2" galvanizado. Incluye suministro e instalación.</v>
      </c>
      <c r="P210" s="26" t="str">
        <f>VLOOKUP(M210,[1]LPU!$A$2:$G$1512,4,FALSE())</f>
        <v>Mantenimiento CW</v>
      </c>
      <c r="Q210" s="26" t="str">
        <f>VLOOKUP(M210,[1]LPU!$A$2:$G$1512,5,FALSE())</f>
        <v>UND</v>
      </c>
      <c r="R210" s="27">
        <f>VLOOKUP(M210,[1]LPU!$A$2:$G$1512,6,FALSE())</f>
        <v>20898.099999999999</v>
      </c>
      <c r="S210" s="27" t="str">
        <f>VLOOKUP(M210,[1]LPU!$A$2:$G$1512,7,FALSE())</f>
        <v>Mantenimiento CW</v>
      </c>
      <c r="T210" s="28">
        <v>4</v>
      </c>
      <c r="U210" s="29">
        <f t="shared" si="3"/>
        <v>83592.399999999994</v>
      </c>
      <c r="V210" s="29" t="s">
        <v>47</v>
      </c>
      <c r="W210" s="30"/>
      <c r="X210" s="29" t="s">
        <v>38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ht="21" customHeight="1" x14ac:dyDescent="0.3">
      <c r="A211" s="22">
        <v>207</v>
      </c>
      <c r="B211" s="23">
        <v>1</v>
      </c>
      <c r="C211" s="23" t="s">
        <v>128</v>
      </c>
      <c r="D211" s="23" t="str">
        <f>VLOOKUP(C211,'[1]1.CUADRO RESUMEN DE SITIOS '!$C$5:$L$1052,2,FALSE())</f>
        <v>JCOR_00145</v>
      </c>
      <c r="E211" s="24">
        <f>VLOOKUP(C211,'[1]1.CUADRO RESUMEN DE SITIOS '!$C$5:$L$1052,3,FALSE())</f>
        <v>45928</v>
      </c>
      <c r="F211" s="23">
        <f>VLOOKUP(C211,'[1]1.CUADRO RESUMEN DE SITIOS '!$C$5:$L$1052,4,FALSE())</f>
        <v>7.7544665000000004</v>
      </c>
      <c r="G211" s="23">
        <f>VLOOKUP(C211,'[1]1.CUADRO RESUMEN DE SITIOS '!$C$5:$L$1052,5,FALSE())</f>
        <v>-75.839269999999999</v>
      </c>
      <c r="H211" s="23" t="str">
        <f>VLOOKUP(C211,'[1]1.CUADRO RESUMEN DE SITIOS '!$C$5:$L$1052,6,FALSE())</f>
        <v>Sucre</v>
      </c>
      <c r="I211" s="23" t="str">
        <f>VLOOKUP(C211,'[1]1.CUADRO RESUMEN DE SITIOS '!$C$5:$L$1052,7,FALSE())</f>
        <v>WOM</v>
      </c>
      <c r="J211" s="25" t="str">
        <f>VLOOKUP(C211,'[1]1.CUADRO RESUMEN DE SITIOS '!$C$5:$L$1052,8,FALSE())</f>
        <v>COSTA</v>
      </c>
      <c r="K211" s="23" t="str">
        <f>VLOOKUP(C211,'[1]1.CUADRO RESUMEN DE SITIOS '!$C$5:$L$1052,9,FALSE())</f>
        <v>Alfredo de la Cruz</v>
      </c>
      <c r="L211" s="26" t="str">
        <f>VLOOKUP(C211,'[1]1.CUADRO RESUMEN DE SITIOS '!$C$5:$L$1052,10,FALSE())</f>
        <v>Terminado</v>
      </c>
      <c r="M211" s="26">
        <v>8828120068</v>
      </c>
      <c r="N211" s="26">
        <f>VLOOKUP(M211,[1]LPU!$A$2:$G$1512,2,FALSE())</f>
        <v>37</v>
      </c>
      <c r="O211" s="26" t="str">
        <f>VLOOKUP(M211,[1]LPU!$A$2:$G$1512,3,FALSE)</f>
        <v>Transporte con Acemila, Mula, Burro u otro animal con cualquier pendiente del terreno.</v>
      </c>
      <c r="P211" s="26" t="str">
        <f>VLOOKUP(M211,[1]LPU!$A$2:$G$1512,4,FALSE())</f>
        <v>ACCESO</v>
      </c>
      <c r="Q211" s="26" t="str">
        <f>VLOOKUP(M211,[1]LPU!$A$2:$G$1512,5,FALSE())</f>
        <v>U</v>
      </c>
      <c r="R211" s="27">
        <f>VLOOKUP(M211,[1]LPU!$A$2:$G$1512,6,FALSE())</f>
        <v>73372</v>
      </c>
      <c r="S211" s="27" t="str">
        <f>VLOOKUP(M211,[1]LPU!$A$2:$G$1512,7,FALSE())</f>
        <v>LPU FLM</v>
      </c>
      <c r="T211" s="28">
        <v>9</v>
      </c>
      <c r="U211" s="29">
        <f t="shared" si="3"/>
        <v>660348</v>
      </c>
      <c r="V211" s="29" t="s">
        <v>47</v>
      </c>
      <c r="W211" s="30"/>
      <c r="X211" s="29" t="s">
        <v>38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ht="21" customHeight="1" x14ac:dyDescent="0.3">
      <c r="A212" s="22">
        <v>208</v>
      </c>
      <c r="B212" s="23">
        <v>1</v>
      </c>
      <c r="C212" s="23" t="s">
        <v>128</v>
      </c>
      <c r="D212" s="23" t="str">
        <f>VLOOKUP(C212,'[1]1.CUADRO RESUMEN DE SITIOS '!$C$5:$L$1052,2,FALSE())</f>
        <v>JCOR_00145</v>
      </c>
      <c r="E212" s="24">
        <f>VLOOKUP(C212,'[1]1.CUADRO RESUMEN DE SITIOS '!$C$5:$L$1052,3,FALSE())</f>
        <v>45928</v>
      </c>
      <c r="F212" s="23">
        <f>VLOOKUP(C212,'[1]1.CUADRO RESUMEN DE SITIOS '!$C$5:$L$1052,4,FALSE())</f>
        <v>7.7544665000000004</v>
      </c>
      <c r="G212" s="23">
        <f>VLOOKUP(C212,'[1]1.CUADRO RESUMEN DE SITIOS '!$C$5:$L$1052,5,FALSE())</f>
        <v>-75.839269999999999</v>
      </c>
      <c r="H212" s="23" t="str">
        <f>VLOOKUP(C212,'[1]1.CUADRO RESUMEN DE SITIOS '!$C$5:$L$1052,6,FALSE())</f>
        <v>Sucre</v>
      </c>
      <c r="I212" s="23" t="str">
        <f>VLOOKUP(C212,'[1]1.CUADRO RESUMEN DE SITIOS '!$C$5:$L$1052,7,FALSE())</f>
        <v>WOM</v>
      </c>
      <c r="J212" s="25" t="str">
        <f>VLOOKUP(C212,'[1]1.CUADRO RESUMEN DE SITIOS '!$C$5:$L$1052,8,FALSE())</f>
        <v>COSTA</v>
      </c>
      <c r="K212" s="23" t="str">
        <f>VLOOKUP(C212,'[1]1.CUADRO RESUMEN DE SITIOS '!$C$5:$L$1052,9,FALSE())</f>
        <v>Alfredo de la Cruz</v>
      </c>
      <c r="L212" s="26" t="str">
        <f>VLOOKUP(C212,'[1]1.CUADRO RESUMEN DE SITIOS '!$C$5:$L$1052,10,FALSE())</f>
        <v>Terminado</v>
      </c>
      <c r="M212" s="26">
        <v>8828119941</v>
      </c>
      <c r="N212" s="26">
        <f>VLOOKUP(M212,[1]LPU!$A$2:$G$1512,2,FALSE())</f>
        <v>165</v>
      </c>
      <c r="O212" s="26" t="str">
        <f>VLOOKUP(M212,[1]LPU!$A$2:$G$1512,3,FALSE)</f>
        <v>Transporte tipo C, zona de dificil acceso</v>
      </c>
      <c r="P212" s="26" t="str">
        <f>VLOOKUP(M212,[1]LPU!$A$2:$G$1512,4,FALSE())</f>
        <v>LOCATIVO</v>
      </c>
      <c r="Q212" s="26" t="str">
        <f>VLOOKUP(M212,[1]LPU!$A$2:$G$1512,5,FALSE())</f>
        <v>Global</v>
      </c>
      <c r="R212" s="27">
        <f>VLOOKUP(M212,[1]LPU!$A$2:$G$1512,6,FALSE())</f>
        <v>388801.05</v>
      </c>
      <c r="S212" s="27" t="str">
        <f>VLOOKUP(M212,[1]LPU!$A$2:$G$1512,7,FALSE())</f>
        <v>LPU FLM</v>
      </c>
      <c r="T212" s="28">
        <v>1</v>
      </c>
      <c r="U212" s="29">
        <f t="shared" si="3"/>
        <v>388801.05</v>
      </c>
      <c r="V212" s="29" t="s">
        <v>47</v>
      </c>
      <c r="W212" s="30"/>
      <c r="X212" s="29" t="s">
        <v>38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ht="21" customHeight="1" x14ac:dyDescent="0.3">
      <c r="A213" s="22">
        <v>209</v>
      </c>
      <c r="B213" s="23">
        <v>1</v>
      </c>
      <c r="C213" s="23" t="s">
        <v>129</v>
      </c>
      <c r="D213" s="23" t="str">
        <f>VLOOKUP(C213,'[1]1.CUADRO RESUMEN DE SITIOS '!$C$5:$L$1052,2,FALSE())</f>
        <v>JANT_00101</v>
      </c>
      <c r="E213" s="24">
        <f>VLOOKUP(C213,'[1]1.CUADRO RESUMEN DE SITIOS '!$C$5:$L$1052,3,FALSE())</f>
        <v>46012</v>
      </c>
      <c r="F213" s="23">
        <f>VLOOKUP(C213,'[1]1.CUADRO RESUMEN DE SITIOS '!$C$5:$L$1052,4,FALSE())</f>
        <v>6.5645559999999996</v>
      </c>
      <c r="G213" s="23">
        <f>VLOOKUP(C213,'[1]1.CUADRO RESUMEN DE SITIOS '!$C$5:$L$1052,5,FALSE())</f>
        <v>-75.328299999999999</v>
      </c>
      <c r="H213" s="23" t="str">
        <f>VLOOKUP(C213,'[1]1.CUADRO RESUMEN DE SITIOS '!$C$5:$L$1052,6,FALSE())</f>
        <v>Antioquia</v>
      </c>
      <c r="I213" s="23" t="str">
        <f>VLOOKUP(C213,'[1]1.CUADRO RESUMEN DE SITIOS '!$C$5:$L$1052,7,FALSE())</f>
        <v>WOM-HUAWEI</v>
      </c>
      <c r="J213" s="25" t="str">
        <f>VLOOKUP(C213,'[1]1.CUADRO RESUMEN DE SITIOS '!$C$5:$L$1052,8,FALSE())</f>
        <v>NOROCCIDENTE</v>
      </c>
      <c r="K213" s="23" t="str">
        <f>VLOOKUP(C213,'[1]1.CUADRO RESUMEN DE SITIOS '!$C$5:$L$1052,9,FALSE())</f>
        <v>Alejandro Sanchez</v>
      </c>
      <c r="L213" s="26" t="str">
        <f>VLOOKUP(C213,'[1]1.CUADRO RESUMEN DE SITIOS '!$C$5:$L$1052,10,FALSE())</f>
        <v>Terminado</v>
      </c>
      <c r="M213" s="26">
        <v>8828119788</v>
      </c>
      <c r="N213" s="26">
        <f>VLOOKUP(M213,[1]LPU!$A$2:$G$1512,2,FALSE())</f>
        <v>2.02</v>
      </c>
      <c r="O213" s="26" t="str">
        <f>VLOOKUP(M213,[1]LPU!$A$2:$G$1512,3,FALSE)</f>
        <v>Protocolo de verticalidad torre hasta 100 m de altura, Incluye protocolo previo y posterior a la actividad a realizar. Incluye documentación e informe de protocolo.</v>
      </c>
      <c r="P213" s="26" t="str">
        <f>VLOOKUP(M213,[1]LPU!$A$2:$G$1512,4,FALSE())</f>
        <v>Mantenimiento CW</v>
      </c>
      <c r="Q213" s="26" t="str">
        <f>VLOOKUP(M213,[1]LPU!$A$2:$G$1512,5,FALSE())</f>
        <v>GL</v>
      </c>
      <c r="R213" s="27">
        <f>VLOOKUP(M213,[1]LPU!$A$2:$G$1512,6,FALSE())</f>
        <v>974025.2</v>
      </c>
      <c r="S213" s="27" t="str">
        <f>VLOOKUP(M213,[1]LPU!$A$2:$G$1512,7,FALSE())</f>
        <v>Mantenimiento CW</v>
      </c>
      <c r="T213" s="28">
        <v>1</v>
      </c>
      <c r="U213" s="29">
        <f t="shared" si="3"/>
        <v>974025.2</v>
      </c>
      <c r="V213" s="29" t="s">
        <v>47</v>
      </c>
      <c r="W213" s="30"/>
      <c r="X213" s="29" t="s">
        <v>38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ht="21" customHeight="1" x14ac:dyDescent="0.3">
      <c r="A214" s="22">
        <v>210</v>
      </c>
      <c r="B214" s="23">
        <v>1</v>
      </c>
      <c r="C214" s="23" t="s">
        <v>129</v>
      </c>
      <c r="D214" s="23" t="str">
        <f>VLOOKUP(C214,'[1]1.CUADRO RESUMEN DE SITIOS '!$C$5:$L$1052,2,FALSE())</f>
        <v>JANT_00101</v>
      </c>
      <c r="E214" s="24">
        <f>VLOOKUP(C214,'[1]1.CUADRO RESUMEN DE SITIOS '!$C$5:$L$1052,3,FALSE())</f>
        <v>46012</v>
      </c>
      <c r="F214" s="23">
        <f>VLOOKUP(C214,'[1]1.CUADRO RESUMEN DE SITIOS '!$C$5:$L$1052,4,FALSE())</f>
        <v>6.5645559999999996</v>
      </c>
      <c r="G214" s="23">
        <f>VLOOKUP(C214,'[1]1.CUADRO RESUMEN DE SITIOS '!$C$5:$L$1052,5,FALSE())</f>
        <v>-75.328299999999999</v>
      </c>
      <c r="H214" s="23" t="str">
        <f>VLOOKUP(C214,'[1]1.CUADRO RESUMEN DE SITIOS '!$C$5:$L$1052,6,FALSE())</f>
        <v>Antioquia</v>
      </c>
      <c r="I214" s="23" t="str">
        <f>VLOOKUP(C214,'[1]1.CUADRO RESUMEN DE SITIOS '!$C$5:$L$1052,7,FALSE())</f>
        <v>WOM-HUAWEI</v>
      </c>
      <c r="J214" s="25" t="str">
        <f>VLOOKUP(C214,'[1]1.CUADRO RESUMEN DE SITIOS '!$C$5:$L$1052,8,FALSE())</f>
        <v>NOROCCIDENTE</v>
      </c>
      <c r="K214" s="23" t="str">
        <f>VLOOKUP(C214,'[1]1.CUADRO RESUMEN DE SITIOS '!$C$5:$L$1052,9,FALSE())</f>
        <v>Alejandro Sanchez</v>
      </c>
      <c r="L214" s="26" t="str">
        <f>VLOOKUP(C214,'[1]1.CUADRO RESUMEN DE SITIOS '!$C$5:$L$1052,10,FALSE())</f>
        <v>Terminado</v>
      </c>
      <c r="M214" s="26">
        <v>8828119807</v>
      </c>
      <c r="N214" s="26">
        <f>VLOOKUP(M214,[1]LPU!$A$2:$G$1512,2,FALSE())</f>
        <v>2.0299999999999998</v>
      </c>
      <c r="O214" s="26" t="str">
        <f>VLOOKUP(M214,[1]LPU!$A$2:$G$1512,3,FALSE)</f>
        <v>Ajuste de tensión de riendas acorde con la norma EIA/TIA222F - EIA/TIA222G. Incluye todos los elementos y equipos necesarios para la realización. De acuerdo a la altura de la torre.</v>
      </c>
      <c r="P214" s="26" t="str">
        <f>VLOOKUP(M214,[1]LPU!$A$2:$G$1512,4,FALSE())</f>
        <v>Mantenimiento CW</v>
      </c>
      <c r="Q214" s="26" t="str">
        <f>VLOOKUP(M214,[1]LPU!$A$2:$G$1512,5,FALSE())</f>
        <v>UN</v>
      </c>
      <c r="R214" s="27">
        <f>VLOOKUP(M214,[1]LPU!$A$2:$G$1512,6,FALSE())</f>
        <v>318112.5</v>
      </c>
      <c r="S214" s="27" t="str">
        <f>VLOOKUP(M214,[1]LPU!$A$2:$G$1512,7,FALSE())</f>
        <v>Mantenimiento CW</v>
      </c>
      <c r="T214" s="28">
        <v>4</v>
      </c>
      <c r="U214" s="29">
        <f t="shared" si="3"/>
        <v>1272450</v>
      </c>
      <c r="V214" s="29" t="s">
        <v>47</v>
      </c>
      <c r="W214" s="30"/>
      <c r="X214" s="29" t="s">
        <v>38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ht="21" customHeight="1" x14ac:dyDescent="0.3">
      <c r="A215" s="22">
        <v>211</v>
      </c>
      <c r="B215" s="23">
        <v>1</v>
      </c>
      <c r="C215" s="23" t="s">
        <v>129</v>
      </c>
      <c r="D215" s="23" t="str">
        <f>VLOOKUP(C215,'[1]1.CUADRO RESUMEN DE SITIOS '!$C$5:$L$1052,2,FALSE())</f>
        <v>JANT_00101</v>
      </c>
      <c r="E215" s="24">
        <f>VLOOKUP(C215,'[1]1.CUADRO RESUMEN DE SITIOS '!$C$5:$L$1052,3,FALSE())</f>
        <v>46012</v>
      </c>
      <c r="F215" s="23">
        <f>VLOOKUP(C215,'[1]1.CUADRO RESUMEN DE SITIOS '!$C$5:$L$1052,4,FALSE())</f>
        <v>6.5645559999999996</v>
      </c>
      <c r="G215" s="23">
        <f>VLOOKUP(C215,'[1]1.CUADRO RESUMEN DE SITIOS '!$C$5:$L$1052,5,FALSE())</f>
        <v>-75.328299999999999</v>
      </c>
      <c r="H215" s="23" t="str">
        <f>VLOOKUP(C215,'[1]1.CUADRO RESUMEN DE SITIOS '!$C$5:$L$1052,6,FALSE())</f>
        <v>Antioquia</v>
      </c>
      <c r="I215" s="23" t="str">
        <f>VLOOKUP(C215,'[1]1.CUADRO RESUMEN DE SITIOS '!$C$5:$L$1052,7,FALSE())</f>
        <v>WOM-HUAWEI</v>
      </c>
      <c r="J215" s="25" t="str">
        <f>VLOOKUP(C215,'[1]1.CUADRO RESUMEN DE SITIOS '!$C$5:$L$1052,8,FALSE())</f>
        <v>NOROCCIDENTE</v>
      </c>
      <c r="K215" s="23" t="str">
        <f>VLOOKUP(C215,'[1]1.CUADRO RESUMEN DE SITIOS '!$C$5:$L$1052,9,FALSE())</f>
        <v>Alejandro Sanchez</v>
      </c>
      <c r="L215" s="26" t="str">
        <f>VLOOKUP(C215,'[1]1.CUADRO RESUMEN DE SITIOS '!$C$5:$L$1052,10,FALSE())</f>
        <v>Terminado</v>
      </c>
      <c r="M215" s="26">
        <v>8828119815</v>
      </c>
      <c r="N215" s="26">
        <f>VLOOKUP(M215,[1]LPU!$A$2:$G$1512,2,FALSE())</f>
        <v>2.04</v>
      </c>
      <c r="O215" s="26" t="str">
        <f>VLOOKUP(M215,[1]LPU!$A$2:$G$1512,3,FALSE)</f>
        <v>Torqueo tornillería torre acorde con la norma EIA/TIA222F - EIA/TIA222G. Incluye protocolo de torque, todos los elementos y equipos necesarios para la realización. De acuerdo a la altura de la torre</v>
      </c>
      <c r="P215" s="26" t="str">
        <f>VLOOKUP(M215,[1]LPU!$A$2:$G$1512,4,FALSE())</f>
        <v>Mantenimiento CW</v>
      </c>
      <c r="Q215" s="26" t="str">
        <f>VLOOKUP(M215,[1]LPU!$A$2:$G$1512,5,FALSE())</f>
        <v>UN</v>
      </c>
      <c r="R215" s="27">
        <f>VLOOKUP(M215,[1]LPU!$A$2:$G$1512,6,FALSE())</f>
        <v>1277092.7</v>
      </c>
      <c r="S215" s="27" t="str">
        <f>VLOOKUP(M215,[1]LPU!$A$2:$G$1512,7,FALSE())</f>
        <v>Mantenimiento CW</v>
      </c>
      <c r="T215" s="28">
        <v>1</v>
      </c>
      <c r="U215" s="29">
        <f t="shared" si="3"/>
        <v>1277092.7</v>
      </c>
      <c r="V215" s="29" t="s">
        <v>47</v>
      </c>
      <c r="W215" s="30"/>
      <c r="X215" s="29" t="s">
        <v>38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ht="21" customHeight="1" x14ac:dyDescent="0.3">
      <c r="A216" s="22">
        <v>212</v>
      </c>
      <c r="B216" s="23">
        <v>1</v>
      </c>
      <c r="C216" s="23" t="s">
        <v>129</v>
      </c>
      <c r="D216" s="23" t="str">
        <f>VLOOKUP(C216,'[1]1.CUADRO RESUMEN DE SITIOS '!$C$5:$L$1052,2,FALSE())</f>
        <v>JANT_00101</v>
      </c>
      <c r="E216" s="24">
        <f>VLOOKUP(C216,'[1]1.CUADRO RESUMEN DE SITIOS '!$C$5:$L$1052,3,FALSE())</f>
        <v>46012</v>
      </c>
      <c r="F216" s="23">
        <f>VLOOKUP(C216,'[1]1.CUADRO RESUMEN DE SITIOS '!$C$5:$L$1052,4,FALSE())</f>
        <v>6.5645559999999996</v>
      </c>
      <c r="G216" s="23">
        <f>VLOOKUP(C216,'[1]1.CUADRO RESUMEN DE SITIOS '!$C$5:$L$1052,5,FALSE())</f>
        <v>-75.328299999999999</v>
      </c>
      <c r="H216" s="23" t="str">
        <f>VLOOKUP(C216,'[1]1.CUADRO RESUMEN DE SITIOS '!$C$5:$L$1052,6,FALSE())</f>
        <v>Antioquia</v>
      </c>
      <c r="I216" s="23" t="str">
        <f>VLOOKUP(C216,'[1]1.CUADRO RESUMEN DE SITIOS '!$C$5:$L$1052,7,FALSE())</f>
        <v>WOM-HUAWEI</v>
      </c>
      <c r="J216" s="25" t="str">
        <f>VLOOKUP(C216,'[1]1.CUADRO RESUMEN DE SITIOS '!$C$5:$L$1052,8,FALSE())</f>
        <v>NOROCCIDENTE</v>
      </c>
      <c r="K216" s="23" t="str">
        <f>VLOOKUP(C216,'[1]1.CUADRO RESUMEN DE SITIOS '!$C$5:$L$1052,9,FALSE())</f>
        <v>Alejandro Sanchez</v>
      </c>
      <c r="L216" s="26" t="str">
        <f>VLOOKUP(C216,'[1]1.CUADRO RESUMEN DE SITIOS '!$C$5:$L$1052,10,FALSE())</f>
        <v>Terminado</v>
      </c>
      <c r="M216" s="26">
        <v>8828120281</v>
      </c>
      <c r="N216" s="26">
        <f>VLOOKUP(M216,[1]LPU!$A$2:$G$1512,2,FALSE())</f>
        <v>5.24</v>
      </c>
      <c r="O216" s="26" t="str">
        <f>VLOOKUP(M216,[1]LPU!$A$2:$G$1512,3,FALSE)</f>
        <v>Cambio de perros de sujeción para riendas de guaya 1/2" galvanizado. Incluye suministro e instalación.</v>
      </c>
      <c r="P216" s="26" t="str">
        <f>VLOOKUP(M216,[1]LPU!$A$2:$G$1512,4,FALSE())</f>
        <v>Mantenimiento CW</v>
      </c>
      <c r="Q216" s="26" t="str">
        <f>VLOOKUP(M216,[1]LPU!$A$2:$G$1512,5,FALSE())</f>
        <v>UND</v>
      </c>
      <c r="R216" s="27">
        <f>VLOOKUP(M216,[1]LPU!$A$2:$G$1512,6,FALSE())</f>
        <v>20898.099999999999</v>
      </c>
      <c r="S216" s="27" t="str">
        <f>VLOOKUP(M216,[1]LPU!$A$2:$G$1512,7,FALSE())</f>
        <v>Mantenimiento CW</v>
      </c>
      <c r="T216" s="28">
        <v>75</v>
      </c>
      <c r="U216" s="29">
        <f t="shared" si="3"/>
        <v>1567357.5</v>
      </c>
      <c r="V216" s="29" t="s">
        <v>47</v>
      </c>
      <c r="W216" s="30"/>
      <c r="X216" s="29" t="s">
        <v>38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ht="21" customHeight="1" x14ac:dyDescent="0.3">
      <c r="A217" s="22">
        <v>213</v>
      </c>
      <c r="B217" s="23">
        <v>1</v>
      </c>
      <c r="C217" s="23" t="s">
        <v>129</v>
      </c>
      <c r="D217" s="23" t="str">
        <f>VLOOKUP(C217,'[1]1.CUADRO RESUMEN DE SITIOS '!$C$5:$L$1052,2,FALSE())</f>
        <v>JANT_00101</v>
      </c>
      <c r="E217" s="24">
        <f>VLOOKUP(C217,'[1]1.CUADRO RESUMEN DE SITIOS '!$C$5:$L$1052,3,FALSE())</f>
        <v>46012</v>
      </c>
      <c r="F217" s="23">
        <f>VLOOKUP(C217,'[1]1.CUADRO RESUMEN DE SITIOS '!$C$5:$L$1052,4,FALSE())</f>
        <v>6.5645559999999996</v>
      </c>
      <c r="G217" s="23">
        <f>VLOOKUP(C217,'[1]1.CUADRO RESUMEN DE SITIOS '!$C$5:$L$1052,5,FALSE())</f>
        <v>-75.328299999999999</v>
      </c>
      <c r="H217" s="23" t="str">
        <f>VLOOKUP(C217,'[1]1.CUADRO RESUMEN DE SITIOS '!$C$5:$L$1052,6,FALSE())</f>
        <v>Antioquia</v>
      </c>
      <c r="I217" s="23" t="str">
        <f>VLOOKUP(C217,'[1]1.CUADRO RESUMEN DE SITIOS '!$C$5:$L$1052,7,FALSE())</f>
        <v>WOM-HUAWEI</v>
      </c>
      <c r="J217" s="25" t="str">
        <f>VLOOKUP(C217,'[1]1.CUADRO RESUMEN DE SITIOS '!$C$5:$L$1052,8,FALSE())</f>
        <v>NOROCCIDENTE</v>
      </c>
      <c r="K217" s="23" t="str">
        <f>VLOOKUP(C217,'[1]1.CUADRO RESUMEN DE SITIOS '!$C$5:$L$1052,9,FALSE())</f>
        <v>Alejandro Sanchez</v>
      </c>
      <c r="L217" s="26" t="str">
        <f>VLOOKUP(C217,'[1]1.CUADRO RESUMEN DE SITIOS '!$C$5:$L$1052,10,FALSE())</f>
        <v>Terminado</v>
      </c>
      <c r="M217" s="26">
        <v>8828119941</v>
      </c>
      <c r="N217" s="26">
        <f>VLOOKUP(M217,[1]LPU!$A$2:$G$1512,2,FALSE())</f>
        <v>165</v>
      </c>
      <c r="O217" s="26" t="str">
        <f>VLOOKUP(M217,[1]LPU!$A$2:$G$1512,3,FALSE)</f>
        <v>Transporte tipo C, zona de dificil acceso</v>
      </c>
      <c r="P217" s="26" t="str">
        <f>VLOOKUP(M217,[1]LPU!$A$2:$G$1512,4,FALSE())</f>
        <v>LOCATIVO</v>
      </c>
      <c r="Q217" s="26" t="str">
        <f>VLOOKUP(M217,[1]LPU!$A$2:$G$1512,5,FALSE())</f>
        <v>Global</v>
      </c>
      <c r="R217" s="27">
        <f>VLOOKUP(M217,[1]LPU!$A$2:$G$1512,6,FALSE())</f>
        <v>388801.05</v>
      </c>
      <c r="S217" s="27" t="str">
        <f>VLOOKUP(M217,[1]LPU!$A$2:$G$1512,7,FALSE())</f>
        <v>LPU FLM</v>
      </c>
      <c r="T217" s="28">
        <v>1</v>
      </c>
      <c r="U217" s="29">
        <f t="shared" si="3"/>
        <v>388801.05</v>
      </c>
      <c r="V217" s="29" t="s">
        <v>47</v>
      </c>
      <c r="W217" s="30"/>
      <c r="X217" s="29" t="s">
        <v>38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ht="21" customHeight="1" x14ac:dyDescent="0.3">
      <c r="A218" s="22">
        <v>214</v>
      </c>
      <c r="B218" s="23">
        <v>1</v>
      </c>
      <c r="C218" s="23" t="s">
        <v>130</v>
      </c>
      <c r="D218" s="23" t="str">
        <f>VLOOKUP(C218,'[1]1.CUADRO RESUMEN DE SITIOS '!$C$5:$L$1052,2,FALSE())</f>
        <v>JANT_00095</v>
      </c>
      <c r="E218" s="24">
        <f>VLOOKUP(C218,'[1]1.CUADRO RESUMEN DE SITIOS '!$C$5:$L$1052,3,FALSE())</f>
        <v>46013</v>
      </c>
      <c r="F218" s="23">
        <f>VLOOKUP(C218,'[1]1.CUADRO RESUMEN DE SITIOS '!$C$5:$L$1052,4,FALSE())</f>
        <v>6.9219609999999996</v>
      </c>
      <c r="G218" s="23">
        <f>VLOOKUP(C218,'[1]1.CUADRO RESUMEN DE SITIOS '!$C$5:$L$1052,5,FALSE())</f>
        <v>-74.760999999999996</v>
      </c>
      <c r="H218" s="23" t="str">
        <f>VLOOKUP(C218,'[1]1.CUADRO RESUMEN DE SITIOS '!$C$5:$L$1052,6,FALSE())</f>
        <v>Antioquia</v>
      </c>
      <c r="I218" s="23" t="str">
        <f>VLOOKUP(C218,'[1]1.CUADRO RESUMEN DE SITIOS '!$C$5:$L$1052,7,FALSE())</f>
        <v>WOM-HUAWEI</v>
      </c>
      <c r="J218" s="25" t="str">
        <f>VLOOKUP(C218,'[1]1.CUADRO RESUMEN DE SITIOS '!$C$5:$L$1052,8,FALSE())</f>
        <v>NOROCCIDENTE</v>
      </c>
      <c r="K218" s="23" t="str">
        <f>VLOOKUP(C218,'[1]1.CUADRO RESUMEN DE SITIOS '!$C$5:$L$1052,9,FALSE())</f>
        <v>Alejandro Sanchez</v>
      </c>
      <c r="L218" s="26" t="str">
        <f>VLOOKUP(C218,'[1]1.CUADRO RESUMEN DE SITIOS '!$C$5:$L$1052,10,FALSE())</f>
        <v>Terminado</v>
      </c>
      <c r="M218" s="26">
        <v>8828119788</v>
      </c>
      <c r="N218" s="26">
        <f>VLOOKUP(M218,[1]LPU!$A$2:$G$1512,2,FALSE())</f>
        <v>2.02</v>
      </c>
      <c r="O218" s="26" t="str">
        <f>VLOOKUP(M218,[1]LPU!$A$2:$G$1512,3,FALSE)</f>
        <v>Protocolo de verticalidad torre hasta 100 m de altura, Incluye protocolo previo y posterior a la actividad a realizar. Incluye documentación e informe de protocolo.</v>
      </c>
      <c r="P218" s="26" t="str">
        <f>VLOOKUP(M218,[1]LPU!$A$2:$G$1512,4,FALSE())</f>
        <v>Mantenimiento CW</v>
      </c>
      <c r="Q218" s="26" t="str">
        <f>VLOOKUP(M218,[1]LPU!$A$2:$G$1512,5,FALSE())</f>
        <v>GL</v>
      </c>
      <c r="R218" s="27">
        <f>VLOOKUP(M218,[1]LPU!$A$2:$G$1512,6,FALSE())</f>
        <v>974025.2</v>
      </c>
      <c r="S218" s="27" t="str">
        <f>VLOOKUP(M218,[1]LPU!$A$2:$G$1512,7,FALSE())</f>
        <v>Mantenimiento CW</v>
      </c>
      <c r="T218" s="28">
        <v>1</v>
      </c>
      <c r="U218" s="29">
        <f t="shared" si="3"/>
        <v>974025.2</v>
      </c>
      <c r="V218" s="29" t="s">
        <v>47</v>
      </c>
      <c r="W218" s="30"/>
      <c r="X218" s="29" t="s">
        <v>38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ht="21" customHeight="1" x14ac:dyDescent="0.3">
      <c r="A219" s="22">
        <v>215</v>
      </c>
      <c r="B219" s="23">
        <v>1</v>
      </c>
      <c r="C219" s="23" t="s">
        <v>130</v>
      </c>
      <c r="D219" s="23" t="str">
        <f>VLOOKUP(C219,'[1]1.CUADRO RESUMEN DE SITIOS '!$C$5:$L$1052,2,FALSE())</f>
        <v>JANT_00095</v>
      </c>
      <c r="E219" s="24">
        <f>VLOOKUP(C219,'[1]1.CUADRO RESUMEN DE SITIOS '!$C$5:$L$1052,3,FALSE())</f>
        <v>46013</v>
      </c>
      <c r="F219" s="23">
        <f>VLOOKUP(C219,'[1]1.CUADRO RESUMEN DE SITIOS '!$C$5:$L$1052,4,FALSE())</f>
        <v>6.9219609999999996</v>
      </c>
      <c r="G219" s="23">
        <f>VLOOKUP(C219,'[1]1.CUADRO RESUMEN DE SITIOS '!$C$5:$L$1052,5,FALSE())</f>
        <v>-74.760999999999996</v>
      </c>
      <c r="H219" s="23" t="str">
        <f>VLOOKUP(C219,'[1]1.CUADRO RESUMEN DE SITIOS '!$C$5:$L$1052,6,FALSE())</f>
        <v>Antioquia</v>
      </c>
      <c r="I219" s="23" t="str">
        <f>VLOOKUP(C219,'[1]1.CUADRO RESUMEN DE SITIOS '!$C$5:$L$1052,7,FALSE())</f>
        <v>WOM-HUAWEI</v>
      </c>
      <c r="J219" s="25" t="str">
        <f>VLOOKUP(C219,'[1]1.CUADRO RESUMEN DE SITIOS '!$C$5:$L$1052,8,FALSE())</f>
        <v>NOROCCIDENTE</v>
      </c>
      <c r="K219" s="23" t="str">
        <f>VLOOKUP(C219,'[1]1.CUADRO RESUMEN DE SITIOS '!$C$5:$L$1052,9,FALSE())</f>
        <v>Alejandro Sanchez</v>
      </c>
      <c r="L219" s="26" t="str">
        <f>VLOOKUP(C219,'[1]1.CUADRO RESUMEN DE SITIOS '!$C$5:$L$1052,10,FALSE())</f>
        <v>Terminado</v>
      </c>
      <c r="M219" s="26">
        <v>8828119807</v>
      </c>
      <c r="N219" s="26">
        <f>VLOOKUP(M219,[1]LPU!$A$2:$G$1512,2,FALSE())</f>
        <v>2.0299999999999998</v>
      </c>
      <c r="O219" s="26" t="str">
        <f>VLOOKUP(M219,[1]LPU!$A$2:$G$1512,3,FALSE)</f>
        <v>Ajuste de tensión de riendas acorde con la norma EIA/TIA222F - EIA/TIA222G. Incluye todos los elementos y equipos necesarios para la realización. De acuerdo a la altura de la torre.</v>
      </c>
      <c r="P219" s="26" t="str">
        <f>VLOOKUP(M219,[1]LPU!$A$2:$G$1512,4,FALSE())</f>
        <v>Mantenimiento CW</v>
      </c>
      <c r="Q219" s="26" t="str">
        <f>VLOOKUP(M219,[1]LPU!$A$2:$G$1512,5,FALSE())</f>
        <v>UN</v>
      </c>
      <c r="R219" s="27">
        <f>VLOOKUP(M219,[1]LPU!$A$2:$G$1512,6,FALSE())</f>
        <v>318112.5</v>
      </c>
      <c r="S219" s="27" t="str">
        <f>VLOOKUP(M219,[1]LPU!$A$2:$G$1512,7,FALSE())</f>
        <v>Mantenimiento CW</v>
      </c>
      <c r="T219" s="28">
        <v>4</v>
      </c>
      <c r="U219" s="29">
        <f t="shared" si="3"/>
        <v>1272450</v>
      </c>
      <c r="V219" s="29" t="s">
        <v>47</v>
      </c>
      <c r="W219" s="30"/>
      <c r="X219" s="29" t="s">
        <v>38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ht="21" customHeight="1" x14ac:dyDescent="0.3">
      <c r="A220" s="22">
        <v>216</v>
      </c>
      <c r="B220" s="23">
        <v>1</v>
      </c>
      <c r="C220" s="23" t="s">
        <v>130</v>
      </c>
      <c r="D220" s="23" t="str">
        <f>VLOOKUP(C220,'[1]1.CUADRO RESUMEN DE SITIOS '!$C$5:$L$1052,2,FALSE())</f>
        <v>JANT_00095</v>
      </c>
      <c r="E220" s="24">
        <f>VLOOKUP(C220,'[1]1.CUADRO RESUMEN DE SITIOS '!$C$5:$L$1052,3,FALSE())</f>
        <v>46013</v>
      </c>
      <c r="F220" s="23">
        <f>VLOOKUP(C220,'[1]1.CUADRO RESUMEN DE SITIOS '!$C$5:$L$1052,4,FALSE())</f>
        <v>6.9219609999999996</v>
      </c>
      <c r="G220" s="23">
        <f>VLOOKUP(C220,'[1]1.CUADRO RESUMEN DE SITIOS '!$C$5:$L$1052,5,FALSE())</f>
        <v>-74.760999999999996</v>
      </c>
      <c r="H220" s="23" t="str">
        <f>VLOOKUP(C220,'[1]1.CUADRO RESUMEN DE SITIOS '!$C$5:$L$1052,6,FALSE())</f>
        <v>Antioquia</v>
      </c>
      <c r="I220" s="23" t="str">
        <f>VLOOKUP(C220,'[1]1.CUADRO RESUMEN DE SITIOS '!$C$5:$L$1052,7,FALSE())</f>
        <v>WOM-HUAWEI</v>
      </c>
      <c r="J220" s="25" t="str">
        <f>VLOOKUP(C220,'[1]1.CUADRO RESUMEN DE SITIOS '!$C$5:$L$1052,8,FALSE())</f>
        <v>NOROCCIDENTE</v>
      </c>
      <c r="K220" s="23" t="str">
        <f>VLOOKUP(C220,'[1]1.CUADRO RESUMEN DE SITIOS '!$C$5:$L$1052,9,FALSE())</f>
        <v>Alejandro Sanchez</v>
      </c>
      <c r="L220" s="26" t="str">
        <f>VLOOKUP(C220,'[1]1.CUADRO RESUMEN DE SITIOS '!$C$5:$L$1052,10,FALSE())</f>
        <v>Terminado</v>
      </c>
      <c r="M220" s="26">
        <v>8828119815</v>
      </c>
      <c r="N220" s="26">
        <f>VLOOKUP(M220,[1]LPU!$A$2:$G$1512,2,FALSE())</f>
        <v>2.04</v>
      </c>
      <c r="O220" s="26" t="str">
        <f>VLOOKUP(M220,[1]LPU!$A$2:$G$1512,3,FALSE)</f>
        <v>Torqueo tornillería torre acorde con la norma EIA/TIA222F - EIA/TIA222G. Incluye protocolo de torque, todos los elementos y equipos necesarios para la realización. De acuerdo a la altura de la torre</v>
      </c>
      <c r="P220" s="26" t="str">
        <f>VLOOKUP(M220,[1]LPU!$A$2:$G$1512,4,FALSE())</f>
        <v>Mantenimiento CW</v>
      </c>
      <c r="Q220" s="26" t="str">
        <f>VLOOKUP(M220,[1]LPU!$A$2:$G$1512,5,FALSE())</f>
        <v>UN</v>
      </c>
      <c r="R220" s="27">
        <f>VLOOKUP(M220,[1]LPU!$A$2:$G$1512,6,FALSE())</f>
        <v>1277092.7</v>
      </c>
      <c r="S220" s="27" t="str">
        <f>VLOOKUP(M220,[1]LPU!$A$2:$G$1512,7,FALSE())</f>
        <v>Mantenimiento CW</v>
      </c>
      <c r="T220" s="28">
        <v>1</v>
      </c>
      <c r="U220" s="29">
        <f t="shared" si="3"/>
        <v>1277092.7</v>
      </c>
      <c r="V220" s="29" t="s">
        <v>47</v>
      </c>
      <c r="W220" s="30"/>
      <c r="X220" s="29" t="s">
        <v>38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ht="21" customHeight="1" x14ac:dyDescent="0.3">
      <c r="A221" s="22">
        <v>217</v>
      </c>
      <c r="B221" s="23">
        <v>1</v>
      </c>
      <c r="C221" s="23" t="s">
        <v>130</v>
      </c>
      <c r="D221" s="23" t="str">
        <f>VLOOKUP(C221,'[1]1.CUADRO RESUMEN DE SITIOS '!$C$5:$L$1052,2,FALSE())</f>
        <v>JANT_00095</v>
      </c>
      <c r="E221" s="24">
        <f>VLOOKUP(C221,'[1]1.CUADRO RESUMEN DE SITIOS '!$C$5:$L$1052,3,FALSE())</f>
        <v>46013</v>
      </c>
      <c r="F221" s="23">
        <f>VLOOKUP(C221,'[1]1.CUADRO RESUMEN DE SITIOS '!$C$5:$L$1052,4,FALSE())</f>
        <v>6.9219609999999996</v>
      </c>
      <c r="G221" s="23">
        <f>VLOOKUP(C221,'[1]1.CUADRO RESUMEN DE SITIOS '!$C$5:$L$1052,5,FALSE())</f>
        <v>-74.760999999999996</v>
      </c>
      <c r="H221" s="23" t="str">
        <f>VLOOKUP(C221,'[1]1.CUADRO RESUMEN DE SITIOS '!$C$5:$L$1052,6,FALSE())</f>
        <v>Antioquia</v>
      </c>
      <c r="I221" s="23" t="str">
        <f>VLOOKUP(C221,'[1]1.CUADRO RESUMEN DE SITIOS '!$C$5:$L$1052,7,FALSE())</f>
        <v>WOM-HUAWEI</v>
      </c>
      <c r="J221" s="25" t="str">
        <f>VLOOKUP(C221,'[1]1.CUADRO RESUMEN DE SITIOS '!$C$5:$L$1052,8,FALSE())</f>
        <v>NOROCCIDENTE</v>
      </c>
      <c r="K221" s="23" t="str">
        <f>VLOOKUP(C221,'[1]1.CUADRO RESUMEN DE SITIOS '!$C$5:$L$1052,9,FALSE())</f>
        <v>Alejandro Sanchez</v>
      </c>
      <c r="L221" s="26" t="str">
        <f>VLOOKUP(C221,'[1]1.CUADRO RESUMEN DE SITIOS '!$C$5:$L$1052,10,FALSE())</f>
        <v>Terminado</v>
      </c>
      <c r="M221" s="26">
        <v>8828120281</v>
      </c>
      <c r="N221" s="26">
        <f>VLOOKUP(M221,[1]LPU!$A$2:$G$1512,2,FALSE())</f>
        <v>5.24</v>
      </c>
      <c r="O221" s="26" t="str">
        <f>VLOOKUP(M221,[1]LPU!$A$2:$G$1512,3,FALSE)</f>
        <v>Cambio de perros de sujeción para riendas de guaya 1/2" galvanizado. Incluye suministro e instalación.</v>
      </c>
      <c r="P221" s="26" t="str">
        <f>VLOOKUP(M221,[1]LPU!$A$2:$G$1512,4,FALSE())</f>
        <v>Mantenimiento CW</v>
      </c>
      <c r="Q221" s="26" t="str">
        <f>VLOOKUP(M221,[1]LPU!$A$2:$G$1512,5,FALSE())</f>
        <v>UND</v>
      </c>
      <c r="R221" s="27">
        <f>VLOOKUP(M221,[1]LPU!$A$2:$G$1512,6,FALSE())</f>
        <v>20898.099999999999</v>
      </c>
      <c r="S221" s="27" t="str">
        <f>VLOOKUP(M221,[1]LPU!$A$2:$G$1512,7,FALSE())</f>
        <v>Mantenimiento CW</v>
      </c>
      <c r="T221" s="28">
        <v>9</v>
      </c>
      <c r="U221" s="29">
        <f t="shared" si="3"/>
        <v>188082.9</v>
      </c>
      <c r="V221" s="29" t="s">
        <v>47</v>
      </c>
      <c r="W221" s="30"/>
      <c r="X221" s="29" t="s">
        <v>38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ht="21" customHeight="1" x14ac:dyDescent="0.3">
      <c r="A222" s="22">
        <v>218</v>
      </c>
      <c r="B222" s="23">
        <v>1</v>
      </c>
      <c r="C222" s="23" t="s">
        <v>130</v>
      </c>
      <c r="D222" s="23" t="str">
        <f>VLOOKUP(C222,'[1]1.CUADRO RESUMEN DE SITIOS '!$C$5:$L$1052,2,FALSE())</f>
        <v>JANT_00095</v>
      </c>
      <c r="E222" s="24">
        <f>VLOOKUP(C222,'[1]1.CUADRO RESUMEN DE SITIOS '!$C$5:$L$1052,3,FALSE())</f>
        <v>46013</v>
      </c>
      <c r="F222" s="23">
        <f>VLOOKUP(C222,'[1]1.CUADRO RESUMEN DE SITIOS '!$C$5:$L$1052,4,FALSE())</f>
        <v>6.9219609999999996</v>
      </c>
      <c r="G222" s="23">
        <f>VLOOKUP(C222,'[1]1.CUADRO RESUMEN DE SITIOS '!$C$5:$L$1052,5,FALSE())</f>
        <v>-74.760999999999996</v>
      </c>
      <c r="H222" s="23" t="str">
        <f>VLOOKUP(C222,'[1]1.CUADRO RESUMEN DE SITIOS '!$C$5:$L$1052,6,FALSE())</f>
        <v>Antioquia</v>
      </c>
      <c r="I222" s="23" t="str">
        <f>VLOOKUP(C222,'[1]1.CUADRO RESUMEN DE SITIOS '!$C$5:$L$1052,7,FALSE())</f>
        <v>WOM-HUAWEI</v>
      </c>
      <c r="J222" s="25" t="str">
        <f>VLOOKUP(C222,'[1]1.CUADRO RESUMEN DE SITIOS '!$C$5:$L$1052,8,FALSE())</f>
        <v>NOROCCIDENTE</v>
      </c>
      <c r="K222" s="23" t="str">
        <f>VLOOKUP(C222,'[1]1.CUADRO RESUMEN DE SITIOS '!$C$5:$L$1052,9,FALSE())</f>
        <v>Alejandro Sanchez</v>
      </c>
      <c r="L222" s="26" t="str">
        <f>VLOOKUP(C222,'[1]1.CUADRO RESUMEN DE SITIOS '!$C$5:$L$1052,10,FALSE())</f>
        <v>Terminado</v>
      </c>
      <c r="M222" s="26">
        <v>8828119941</v>
      </c>
      <c r="N222" s="26">
        <f>VLOOKUP(M222,[1]LPU!$A$2:$G$1512,2,FALSE())</f>
        <v>165</v>
      </c>
      <c r="O222" s="26" t="str">
        <f>VLOOKUP(M222,[1]LPU!$A$2:$G$1512,3,FALSE)</f>
        <v>Transporte tipo C, zona de dificil acceso</v>
      </c>
      <c r="P222" s="26" t="str">
        <f>VLOOKUP(M222,[1]LPU!$A$2:$G$1512,4,FALSE())</f>
        <v>LOCATIVO</v>
      </c>
      <c r="Q222" s="26" t="str">
        <f>VLOOKUP(M222,[1]LPU!$A$2:$G$1512,5,FALSE())</f>
        <v>Global</v>
      </c>
      <c r="R222" s="27">
        <f>VLOOKUP(M222,[1]LPU!$A$2:$G$1512,6,FALSE())</f>
        <v>388801.05</v>
      </c>
      <c r="S222" s="27" t="str">
        <f>VLOOKUP(M222,[1]LPU!$A$2:$G$1512,7,FALSE())</f>
        <v>LPU FLM</v>
      </c>
      <c r="T222" s="28">
        <v>1</v>
      </c>
      <c r="U222" s="29">
        <f t="shared" si="3"/>
        <v>388801.05</v>
      </c>
      <c r="V222" s="29" t="s">
        <v>47</v>
      </c>
      <c r="W222" s="30"/>
      <c r="X222" s="29" t="s">
        <v>38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ht="21" customHeight="1" x14ac:dyDescent="0.3">
      <c r="A223" s="22">
        <v>219</v>
      </c>
      <c r="B223" s="23">
        <v>1</v>
      </c>
      <c r="C223" s="23" t="s">
        <v>131</v>
      </c>
      <c r="D223" s="23" t="str">
        <f>VLOOKUP(C223,'[1]1.CUADRO RESUMEN DE SITIOS '!$C$5:$L$1052,2,FALSE())</f>
        <v>JANT_00074</v>
      </c>
      <c r="E223" s="24">
        <f>VLOOKUP(C223,'[1]1.CUADRO RESUMEN DE SITIOS '!$C$5:$L$1052,3,FALSE())</f>
        <v>46014</v>
      </c>
      <c r="F223" s="23">
        <f>VLOOKUP(C223,'[1]1.CUADRO RESUMEN DE SITIOS '!$C$5:$L$1052,4,FALSE())</f>
        <v>6.1503899999999998</v>
      </c>
      <c r="G223" s="23">
        <f>VLOOKUP(C223,'[1]1.CUADRO RESUMEN DE SITIOS '!$C$5:$L$1052,5,FALSE())</f>
        <v>-75.064909999999998</v>
      </c>
      <c r="H223" s="23" t="str">
        <f>VLOOKUP(C223,'[1]1.CUADRO RESUMEN DE SITIOS '!$C$5:$L$1052,6,FALSE())</f>
        <v>Antioquia</v>
      </c>
      <c r="I223" s="23" t="str">
        <f>VLOOKUP(C223,'[1]1.CUADRO RESUMEN DE SITIOS '!$C$5:$L$1052,7,FALSE())</f>
        <v>WOM-HUAWEI</v>
      </c>
      <c r="J223" s="25" t="str">
        <f>VLOOKUP(C223,'[1]1.CUADRO RESUMEN DE SITIOS '!$C$5:$L$1052,8,FALSE())</f>
        <v>NOROCCIDENTE</v>
      </c>
      <c r="K223" s="23" t="str">
        <f>VLOOKUP(C223,'[1]1.CUADRO RESUMEN DE SITIOS '!$C$5:$L$1052,9,FALSE())</f>
        <v>Alejandro Sanchez</v>
      </c>
      <c r="L223" s="26" t="str">
        <f>VLOOKUP(C223,'[1]1.CUADRO RESUMEN DE SITIOS '!$C$5:$L$1052,10,FALSE())</f>
        <v>Terminado</v>
      </c>
      <c r="M223" s="26">
        <v>8828119788</v>
      </c>
      <c r="N223" s="26">
        <f>VLOOKUP(M223,[1]LPU!$A$2:$G$1512,2,FALSE())</f>
        <v>2.02</v>
      </c>
      <c r="O223" s="26" t="str">
        <f>VLOOKUP(M223,[1]LPU!$A$2:$G$1512,3,FALSE)</f>
        <v>Protocolo de verticalidad torre hasta 100 m de altura, Incluye protocolo previo y posterior a la actividad a realizar. Incluye documentación e informe de protocolo.</v>
      </c>
      <c r="P223" s="26" t="str">
        <f>VLOOKUP(M223,[1]LPU!$A$2:$G$1512,4,FALSE())</f>
        <v>Mantenimiento CW</v>
      </c>
      <c r="Q223" s="26" t="str">
        <f>VLOOKUP(M223,[1]LPU!$A$2:$G$1512,5,FALSE())</f>
        <v>GL</v>
      </c>
      <c r="R223" s="27">
        <f>VLOOKUP(M223,[1]LPU!$A$2:$G$1512,6,FALSE())</f>
        <v>974025.2</v>
      </c>
      <c r="S223" s="27" t="str">
        <f>VLOOKUP(M223,[1]LPU!$A$2:$G$1512,7,FALSE())</f>
        <v>Mantenimiento CW</v>
      </c>
      <c r="T223" s="28">
        <v>1</v>
      </c>
      <c r="U223" s="29">
        <f t="shared" si="3"/>
        <v>974025.2</v>
      </c>
      <c r="V223" s="29" t="s">
        <v>47</v>
      </c>
      <c r="W223" s="30"/>
      <c r="X223" s="29" t="s">
        <v>38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ht="21" customHeight="1" x14ac:dyDescent="0.3">
      <c r="A224" s="22">
        <v>220</v>
      </c>
      <c r="B224" s="23">
        <v>1</v>
      </c>
      <c r="C224" s="23" t="s">
        <v>131</v>
      </c>
      <c r="D224" s="23" t="str">
        <f>VLOOKUP(C224,'[1]1.CUADRO RESUMEN DE SITIOS '!$C$5:$L$1052,2,FALSE())</f>
        <v>JANT_00074</v>
      </c>
      <c r="E224" s="24">
        <f>VLOOKUP(C224,'[1]1.CUADRO RESUMEN DE SITIOS '!$C$5:$L$1052,3,FALSE())</f>
        <v>46014</v>
      </c>
      <c r="F224" s="23">
        <f>VLOOKUP(C224,'[1]1.CUADRO RESUMEN DE SITIOS '!$C$5:$L$1052,4,FALSE())</f>
        <v>6.1503899999999998</v>
      </c>
      <c r="G224" s="23">
        <f>VLOOKUP(C224,'[1]1.CUADRO RESUMEN DE SITIOS '!$C$5:$L$1052,5,FALSE())</f>
        <v>-75.064909999999998</v>
      </c>
      <c r="H224" s="23" t="str">
        <f>VLOOKUP(C224,'[1]1.CUADRO RESUMEN DE SITIOS '!$C$5:$L$1052,6,FALSE())</f>
        <v>Antioquia</v>
      </c>
      <c r="I224" s="23" t="str">
        <f>VLOOKUP(C224,'[1]1.CUADRO RESUMEN DE SITIOS '!$C$5:$L$1052,7,FALSE())</f>
        <v>WOM-HUAWEI</v>
      </c>
      <c r="J224" s="25" t="str">
        <f>VLOOKUP(C224,'[1]1.CUADRO RESUMEN DE SITIOS '!$C$5:$L$1052,8,FALSE())</f>
        <v>NOROCCIDENTE</v>
      </c>
      <c r="K224" s="23" t="str">
        <f>VLOOKUP(C224,'[1]1.CUADRO RESUMEN DE SITIOS '!$C$5:$L$1052,9,FALSE())</f>
        <v>Alejandro Sanchez</v>
      </c>
      <c r="L224" s="26" t="str">
        <f>VLOOKUP(C224,'[1]1.CUADRO RESUMEN DE SITIOS '!$C$5:$L$1052,10,FALSE())</f>
        <v>Terminado</v>
      </c>
      <c r="M224" s="26">
        <v>8828119807</v>
      </c>
      <c r="N224" s="26">
        <f>VLOOKUP(M224,[1]LPU!$A$2:$G$1512,2,FALSE())</f>
        <v>2.0299999999999998</v>
      </c>
      <c r="O224" s="26" t="str">
        <f>VLOOKUP(M224,[1]LPU!$A$2:$G$1512,3,FALSE)</f>
        <v>Ajuste de tensión de riendas acorde con la norma EIA/TIA222F - EIA/TIA222G. Incluye todos los elementos y equipos necesarios para la realización. De acuerdo a la altura de la torre.</v>
      </c>
      <c r="P224" s="26" t="str">
        <f>VLOOKUP(M224,[1]LPU!$A$2:$G$1512,4,FALSE())</f>
        <v>Mantenimiento CW</v>
      </c>
      <c r="Q224" s="26" t="str">
        <f>VLOOKUP(M224,[1]LPU!$A$2:$G$1512,5,FALSE())</f>
        <v>UN</v>
      </c>
      <c r="R224" s="27">
        <f>VLOOKUP(M224,[1]LPU!$A$2:$G$1512,6,FALSE())</f>
        <v>318112.5</v>
      </c>
      <c r="S224" s="27" t="str">
        <f>VLOOKUP(M224,[1]LPU!$A$2:$G$1512,7,FALSE())</f>
        <v>Mantenimiento CW</v>
      </c>
      <c r="T224" s="28">
        <v>4</v>
      </c>
      <c r="U224" s="29">
        <f t="shared" si="3"/>
        <v>1272450</v>
      </c>
      <c r="V224" s="29" t="s">
        <v>47</v>
      </c>
      <c r="W224" s="30"/>
      <c r="X224" s="29" t="s">
        <v>38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ht="21" customHeight="1" x14ac:dyDescent="0.3">
      <c r="A225" s="22">
        <v>221</v>
      </c>
      <c r="B225" s="23">
        <v>1</v>
      </c>
      <c r="C225" s="23" t="s">
        <v>131</v>
      </c>
      <c r="D225" s="23" t="str">
        <f>VLOOKUP(C225,'[1]1.CUADRO RESUMEN DE SITIOS '!$C$5:$L$1052,2,FALSE())</f>
        <v>JANT_00074</v>
      </c>
      <c r="E225" s="24">
        <f>VLOOKUP(C225,'[1]1.CUADRO RESUMEN DE SITIOS '!$C$5:$L$1052,3,FALSE())</f>
        <v>46014</v>
      </c>
      <c r="F225" s="23">
        <f>VLOOKUP(C225,'[1]1.CUADRO RESUMEN DE SITIOS '!$C$5:$L$1052,4,FALSE())</f>
        <v>6.1503899999999998</v>
      </c>
      <c r="G225" s="23">
        <f>VLOOKUP(C225,'[1]1.CUADRO RESUMEN DE SITIOS '!$C$5:$L$1052,5,FALSE())</f>
        <v>-75.064909999999998</v>
      </c>
      <c r="H225" s="23" t="str">
        <f>VLOOKUP(C225,'[1]1.CUADRO RESUMEN DE SITIOS '!$C$5:$L$1052,6,FALSE())</f>
        <v>Antioquia</v>
      </c>
      <c r="I225" s="23" t="str">
        <f>VLOOKUP(C225,'[1]1.CUADRO RESUMEN DE SITIOS '!$C$5:$L$1052,7,FALSE())</f>
        <v>WOM-HUAWEI</v>
      </c>
      <c r="J225" s="25" t="str">
        <f>VLOOKUP(C225,'[1]1.CUADRO RESUMEN DE SITIOS '!$C$5:$L$1052,8,FALSE())</f>
        <v>NOROCCIDENTE</v>
      </c>
      <c r="K225" s="23" t="str">
        <f>VLOOKUP(C225,'[1]1.CUADRO RESUMEN DE SITIOS '!$C$5:$L$1052,9,FALSE())</f>
        <v>Alejandro Sanchez</v>
      </c>
      <c r="L225" s="26" t="str">
        <f>VLOOKUP(C225,'[1]1.CUADRO RESUMEN DE SITIOS '!$C$5:$L$1052,10,FALSE())</f>
        <v>Terminado</v>
      </c>
      <c r="M225" s="26">
        <v>8828119815</v>
      </c>
      <c r="N225" s="26">
        <f>VLOOKUP(M225,[1]LPU!$A$2:$G$1512,2,FALSE())</f>
        <v>2.04</v>
      </c>
      <c r="O225" s="26" t="str">
        <f>VLOOKUP(M225,[1]LPU!$A$2:$G$1512,3,FALSE)</f>
        <v>Torqueo tornillería torre acorde con la norma EIA/TIA222F - EIA/TIA222G. Incluye protocolo de torque, todos los elementos y equipos necesarios para la realización. De acuerdo a la altura de la torre</v>
      </c>
      <c r="P225" s="26" t="str">
        <f>VLOOKUP(M225,[1]LPU!$A$2:$G$1512,4,FALSE())</f>
        <v>Mantenimiento CW</v>
      </c>
      <c r="Q225" s="26" t="str">
        <f>VLOOKUP(M225,[1]LPU!$A$2:$G$1512,5,FALSE())</f>
        <v>UN</v>
      </c>
      <c r="R225" s="27">
        <f>VLOOKUP(M225,[1]LPU!$A$2:$G$1512,6,FALSE())</f>
        <v>1277092.7</v>
      </c>
      <c r="S225" s="27" t="str">
        <f>VLOOKUP(M225,[1]LPU!$A$2:$G$1512,7,FALSE())</f>
        <v>Mantenimiento CW</v>
      </c>
      <c r="T225" s="28">
        <v>1</v>
      </c>
      <c r="U225" s="29">
        <f t="shared" si="3"/>
        <v>1277092.7</v>
      </c>
      <c r="V225" s="29" t="s">
        <v>47</v>
      </c>
      <c r="W225" s="30"/>
      <c r="X225" s="29" t="s">
        <v>38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ht="21" customHeight="1" x14ac:dyDescent="0.3">
      <c r="A226" s="22">
        <v>222</v>
      </c>
      <c r="B226" s="23">
        <v>1</v>
      </c>
      <c r="C226" s="23" t="s">
        <v>131</v>
      </c>
      <c r="D226" s="23" t="str">
        <f>VLOOKUP(C226,'[1]1.CUADRO RESUMEN DE SITIOS '!$C$5:$L$1052,2,FALSE())</f>
        <v>JANT_00074</v>
      </c>
      <c r="E226" s="24">
        <f>VLOOKUP(C226,'[1]1.CUADRO RESUMEN DE SITIOS '!$C$5:$L$1052,3,FALSE())</f>
        <v>46014</v>
      </c>
      <c r="F226" s="23">
        <f>VLOOKUP(C226,'[1]1.CUADRO RESUMEN DE SITIOS '!$C$5:$L$1052,4,FALSE())</f>
        <v>6.1503899999999998</v>
      </c>
      <c r="G226" s="23">
        <f>VLOOKUP(C226,'[1]1.CUADRO RESUMEN DE SITIOS '!$C$5:$L$1052,5,FALSE())</f>
        <v>-75.064909999999998</v>
      </c>
      <c r="H226" s="23" t="str">
        <f>VLOOKUP(C226,'[1]1.CUADRO RESUMEN DE SITIOS '!$C$5:$L$1052,6,FALSE())</f>
        <v>Antioquia</v>
      </c>
      <c r="I226" s="23" t="str">
        <f>VLOOKUP(C226,'[1]1.CUADRO RESUMEN DE SITIOS '!$C$5:$L$1052,7,FALSE())</f>
        <v>WOM-HUAWEI</v>
      </c>
      <c r="J226" s="25" t="str">
        <f>VLOOKUP(C226,'[1]1.CUADRO RESUMEN DE SITIOS '!$C$5:$L$1052,8,FALSE())</f>
        <v>NOROCCIDENTE</v>
      </c>
      <c r="K226" s="23" t="str">
        <f>VLOOKUP(C226,'[1]1.CUADRO RESUMEN DE SITIOS '!$C$5:$L$1052,9,FALSE())</f>
        <v>Alejandro Sanchez</v>
      </c>
      <c r="L226" s="26" t="str">
        <f>VLOOKUP(C226,'[1]1.CUADRO RESUMEN DE SITIOS '!$C$5:$L$1052,10,FALSE())</f>
        <v>Terminado</v>
      </c>
      <c r="M226" s="26">
        <v>8828120281</v>
      </c>
      <c r="N226" s="26">
        <f>VLOOKUP(M226,[1]LPU!$A$2:$G$1512,2,FALSE())</f>
        <v>5.24</v>
      </c>
      <c r="O226" s="26" t="str">
        <f>VLOOKUP(M226,[1]LPU!$A$2:$G$1512,3,FALSE)</f>
        <v>Cambio de perros de sujeción para riendas de guaya 1/2" galvanizado. Incluye suministro e instalación.</v>
      </c>
      <c r="P226" s="26" t="str">
        <f>VLOOKUP(M226,[1]LPU!$A$2:$G$1512,4,FALSE())</f>
        <v>Mantenimiento CW</v>
      </c>
      <c r="Q226" s="26" t="str">
        <f>VLOOKUP(M226,[1]LPU!$A$2:$G$1512,5,FALSE())</f>
        <v>UND</v>
      </c>
      <c r="R226" s="27">
        <f>VLOOKUP(M226,[1]LPU!$A$2:$G$1512,6,FALSE())</f>
        <v>20898.099999999999</v>
      </c>
      <c r="S226" s="27" t="str">
        <f>VLOOKUP(M226,[1]LPU!$A$2:$G$1512,7,FALSE())</f>
        <v>Mantenimiento CW</v>
      </c>
      <c r="T226" s="28">
        <v>63</v>
      </c>
      <c r="U226" s="29">
        <f t="shared" si="3"/>
        <v>1316580.2999999998</v>
      </c>
      <c r="V226" s="29" t="s">
        <v>47</v>
      </c>
      <c r="W226" s="30"/>
      <c r="X226" s="29" t="s">
        <v>38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ht="21" customHeight="1" x14ac:dyDescent="0.3">
      <c r="A227" s="22">
        <v>223</v>
      </c>
      <c r="B227" s="23">
        <v>1</v>
      </c>
      <c r="C227" s="23" t="s">
        <v>131</v>
      </c>
      <c r="D227" s="23" t="str">
        <f>VLOOKUP(C227,'[1]1.CUADRO RESUMEN DE SITIOS '!$C$5:$L$1052,2,FALSE())</f>
        <v>JANT_00074</v>
      </c>
      <c r="E227" s="24">
        <f>VLOOKUP(C227,'[1]1.CUADRO RESUMEN DE SITIOS '!$C$5:$L$1052,3,FALSE())</f>
        <v>46014</v>
      </c>
      <c r="F227" s="23">
        <f>VLOOKUP(C227,'[1]1.CUADRO RESUMEN DE SITIOS '!$C$5:$L$1052,4,FALSE())</f>
        <v>6.1503899999999998</v>
      </c>
      <c r="G227" s="23">
        <f>VLOOKUP(C227,'[1]1.CUADRO RESUMEN DE SITIOS '!$C$5:$L$1052,5,FALSE())</f>
        <v>-75.064909999999998</v>
      </c>
      <c r="H227" s="23" t="str">
        <f>VLOOKUP(C227,'[1]1.CUADRO RESUMEN DE SITIOS '!$C$5:$L$1052,6,FALSE())</f>
        <v>Antioquia</v>
      </c>
      <c r="I227" s="23" t="str">
        <f>VLOOKUP(C227,'[1]1.CUADRO RESUMEN DE SITIOS '!$C$5:$L$1052,7,FALSE())</f>
        <v>WOM-HUAWEI</v>
      </c>
      <c r="J227" s="25" t="str">
        <f>VLOOKUP(C227,'[1]1.CUADRO RESUMEN DE SITIOS '!$C$5:$L$1052,8,FALSE())</f>
        <v>NOROCCIDENTE</v>
      </c>
      <c r="K227" s="23" t="str">
        <f>VLOOKUP(C227,'[1]1.CUADRO RESUMEN DE SITIOS '!$C$5:$L$1052,9,FALSE())</f>
        <v>Alejandro Sanchez</v>
      </c>
      <c r="L227" s="26" t="str">
        <f>VLOOKUP(C227,'[1]1.CUADRO RESUMEN DE SITIOS '!$C$5:$L$1052,10,FALSE())</f>
        <v>Terminado</v>
      </c>
      <c r="M227" s="26">
        <v>8828119941</v>
      </c>
      <c r="N227" s="26">
        <f>VLOOKUP(M227,[1]LPU!$A$2:$G$1512,2,FALSE())</f>
        <v>165</v>
      </c>
      <c r="O227" s="26" t="str">
        <f>VLOOKUP(M227,[1]LPU!$A$2:$G$1512,3,FALSE)</f>
        <v>Transporte tipo C, zona de dificil acceso</v>
      </c>
      <c r="P227" s="26" t="str">
        <f>VLOOKUP(M227,[1]LPU!$A$2:$G$1512,4,FALSE())</f>
        <v>LOCATIVO</v>
      </c>
      <c r="Q227" s="26" t="str">
        <f>VLOOKUP(M227,[1]LPU!$A$2:$G$1512,5,FALSE())</f>
        <v>Global</v>
      </c>
      <c r="R227" s="27">
        <f>VLOOKUP(M227,[1]LPU!$A$2:$G$1512,6,FALSE())</f>
        <v>388801.05</v>
      </c>
      <c r="S227" s="27" t="str">
        <f>VLOOKUP(M227,[1]LPU!$A$2:$G$1512,7,FALSE())</f>
        <v>LPU FLM</v>
      </c>
      <c r="T227" s="28">
        <v>1</v>
      </c>
      <c r="U227" s="29">
        <f t="shared" si="3"/>
        <v>388801.05</v>
      </c>
      <c r="V227" s="29" t="s">
        <v>47</v>
      </c>
      <c r="W227" s="30"/>
      <c r="X227" s="29" t="s">
        <v>38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ht="21" customHeight="1" x14ac:dyDescent="0.3">
      <c r="A228" s="22">
        <v>224</v>
      </c>
      <c r="B228" s="23">
        <v>1</v>
      </c>
      <c r="C228" s="23" t="s">
        <v>132</v>
      </c>
      <c r="D228" s="23" t="str">
        <f>VLOOKUP(C228,'[1]1.CUADRO RESUMEN DE SITIOS '!$C$5:$L$1052,2,FALSE())</f>
        <v>JPUT_00432</v>
      </c>
      <c r="E228" s="24">
        <f>VLOOKUP(C228,'[1]1.CUADRO RESUMEN DE SITIOS '!$C$5:$L$1052,3,FALSE())</f>
        <v>45904</v>
      </c>
      <c r="F228" s="23">
        <f>VLOOKUP(C228,'[1]1.CUADRO RESUMEN DE SITIOS '!$C$5:$L$1052,4,FALSE())</f>
        <v>0.63834999999999997</v>
      </c>
      <c r="G228" s="23">
        <f>VLOOKUP(C228,'[1]1.CUADRO RESUMEN DE SITIOS '!$C$5:$L$1052,5,FALSE())</f>
        <v>-77.040930000000003</v>
      </c>
      <c r="H228" s="23" t="str">
        <f>VLOOKUP(C228,'[1]1.CUADRO RESUMEN DE SITIOS '!$C$5:$L$1052,6,FALSE())</f>
        <v>Putumayo</v>
      </c>
      <c r="I228" s="23" t="str">
        <f>VLOOKUP(C228,'[1]1.CUADRO RESUMEN DE SITIOS '!$C$5:$L$1052,7,FALSE())</f>
        <v>WOM</v>
      </c>
      <c r="J228" s="25" t="str">
        <f>VLOOKUP(C228,'[1]1.CUADRO RESUMEN DE SITIOS '!$C$5:$L$1052,8,FALSE())</f>
        <v>CENTRO SUR/ NORTE</v>
      </c>
      <c r="K228" s="23" t="str">
        <f>VLOOKUP(C228,'[1]1.CUADRO RESUMEN DE SITIOS '!$C$5:$L$1052,9,FALSE())</f>
        <v>Ivan Basto</v>
      </c>
      <c r="L228" s="26" t="str">
        <f>VLOOKUP(C228,'[1]1.CUADRO RESUMEN DE SITIOS '!$C$5:$L$1052,10,FALSE())</f>
        <v>Terminado</v>
      </c>
      <c r="M228" s="26">
        <v>8828118943</v>
      </c>
      <c r="N228" s="26">
        <f>VLOOKUP(M228,[1]LPU!$A$2:$G$1512,2,FALSE())</f>
        <v>2.09</v>
      </c>
      <c r="O228" s="26" t="str">
        <f>VLOOKUP(M228,[1]LPU!$A$2:$G$1512,3,FALSE)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228" s="26" t="str">
        <f>VLOOKUP(M228,[1]LPU!$A$2:$G$1512,4,FALSE())</f>
        <v>Mantenimiento Electrico</v>
      </c>
      <c r="Q228" s="26" t="str">
        <f>VLOOKUP(M228,[1]LPU!$A$2:$G$1512,5,FALSE())</f>
        <v>Global</v>
      </c>
      <c r="R228" s="27">
        <f>VLOOKUP(M228,[1]LPU!$A$2:$G$1512,6,FALSE())</f>
        <v>1086294.8999999999</v>
      </c>
      <c r="S228" s="27" t="str">
        <f>VLOOKUP(M228,[1]LPU!$A$2:$G$1512,7,FALSE())</f>
        <v>Mantenimiento Electrico</v>
      </c>
      <c r="T228" s="28">
        <v>1</v>
      </c>
      <c r="U228" s="29">
        <f t="shared" si="3"/>
        <v>1086294.8999999999</v>
      </c>
      <c r="V228" s="29" t="s">
        <v>133</v>
      </c>
      <c r="W228" s="30"/>
      <c r="X228" s="29" t="s">
        <v>27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ht="21" customHeight="1" x14ac:dyDescent="0.3">
      <c r="A229" s="22">
        <v>225</v>
      </c>
      <c r="B229" s="23">
        <v>1</v>
      </c>
      <c r="C229" s="23" t="s">
        <v>132</v>
      </c>
      <c r="D229" s="23" t="str">
        <f>VLOOKUP(C229,'[1]1.CUADRO RESUMEN DE SITIOS '!$C$5:$L$1052,2,FALSE())</f>
        <v>JPUT_00432</v>
      </c>
      <c r="E229" s="24">
        <f>VLOOKUP(C229,'[1]1.CUADRO RESUMEN DE SITIOS '!$C$5:$L$1052,3,FALSE())</f>
        <v>45904</v>
      </c>
      <c r="F229" s="23">
        <f>VLOOKUP(C229,'[1]1.CUADRO RESUMEN DE SITIOS '!$C$5:$L$1052,4,FALSE())</f>
        <v>0.63834999999999997</v>
      </c>
      <c r="G229" s="23">
        <f>VLOOKUP(C229,'[1]1.CUADRO RESUMEN DE SITIOS '!$C$5:$L$1052,5,FALSE())</f>
        <v>-77.040930000000003</v>
      </c>
      <c r="H229" s="23" t="str">
        <f>VLOOKUP(C229,'[1]1.CUADRO RESUMEN DE SITIOS '!$C$5:$L$1052,6,FALSE())</f>
        <v>Putumayo</v>
      </c>
      <c r="I229" s="23" t="str">
        <f>VLOOKUP(C229,'[1]1.CUADRO RESUMEN DE SITIOS '!$C$5:$L$1052,7,FALSE())</f>
        <v>WOM</v>
      </c>
      <c r="J229" s="25" t="str">
        <f>VLOOKUP(C229,'[1]1.CUADRO RESUMEN DE SITIOS '!$C$5:$L$1052,8,FALSE())</f>
        <v>CENTRO SUR/ NORTE</v>
      </c>
      <c r="K229" s="23" t="str">
        <f>VLOOKUP(C229,'[1]1.CUADRO RESUMEN DE SITIOS '!$C$5:$L$1052,9,FALSE())</f>
        <v>Ivan Basto</v>
      </c>
      <c r="L229" s="26" t="str">
        <f>VLOOKUP(C229,'[1]1.CUADRO RESUMEN DE SITIOS '!$C$5:$L$1052,10,FALSE())</f>
        <v>Terminado</v>
      </c>
      <c r="M229" s="26">
        <v>8828119214</v>
      </c>
      <c r="N229" s="26">
        <f>VLOOKUP(M229,[1]LPU!$A$2:$G$1512,2,FALSE())</f>
        <v>2.41</v>
      </c>
      <c r="O229" s="26" t="str">
        <f>VLOOKUP(M229,[1]LPU!$A$2:$G$1512,3,FALSE)</f>
        <v>Coraza Tipo Americano 1", Incluye canalización, uniones, terminales, curvas y accesorios de fijación. (1 curva equivale a 1 ml). Incluye retiro de escombros.</v>
      </c>
      <c r="P229" s="26" t="str">
        <f>VLOOKUP(M229,[1]LPU!$A$2:$G$1512,4,FALSE())</f>
        <v>Mantenimiento Electrico</v>
      </c>
      <c r="Q229" s="26" t="str">
        <f>VLOOKUP(M229,[1]LPU!$A$2:$G$1512,5,FALSE())</f>
        <v>ML</v>
      </c>
      <c r="R229" s="27">
        <f>VLOOKUP(M229,[1]LPU!$A$2:$G$1512,6,FALSE())</f>
        <v>21564.5</v>
      </c>
      <c r="S229" s="27" t="str">
        <f>VLOOKUP(M229,[1]LPU!$A$2:$G$1512,7,FALSE())</f>
        <v>Mantenimiento Electrico</v>
      </c>
      <c r="T229" s="28">
        <v>3</v>
      </c>
      <c r="U229" s="29">
        <f t="shared" si="3"/>
        <v>64693.5</v>
      </c>
      <c r="V229" s="29" t="s">
        <v>133</v>
      </c>
      <c r="W229" s="30"/>
      <c r="X229" s="29" t="s">
        <v>27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ht="21" customHeight="1" x14ac:dyDescent="0.3">
      <c r="A230" s="22">
        <v>226</v>
      </c>
      <c r="B230" s="23">
        <v>1</v>
      </c>
      <c r="C230" s="23" t="s">
        <v>132</v>
      </c>
      <c r="D230" s="23" t="str">
        <f>VLOOKUP(C230,'[1]1.CUADRO RESUMEN DE SITIOS '!$C$5:$L$1052,2,FALSE())</f>
        <v>JPUT_00432</v>
      </c>
      <c r="E230" s="24">
        <f>VLOOKUP(C230,'[1]1.CUADRO RESUMEN DE SITIOS '!$C$5:$L$1052,3,FALSE())</f>
        <v>45904</v>
      </c>
      <c r="F230" s="23">
        <f>VLOOKUP(C230,'[1]1.CUADRO RESUMEN DE SITIOS '!$C$5:$L$1052,4,FALSE())</f>
        <v>0.63834999999999997</v>
      </c>
      <c r="G230" s="23">
        <f>VLOOKUP(C230,'[1]1.CUADRO RESUMEN DE SITIOS '!$C$5:$L$1052,5,FALSE())</f>
        <v>-77.040930000000003</v>
      </c>
      <c r="H230" s="23" t="str">
        <f>VLOOKUP(C230,'[1]1.CUADRO RESUMEN DE SITIOS '!$C$5:$L$1052,6,FALSE())</f>
        <v>Putumayo</v>
      </c>
      <c r="I230" s="23" t="str">
        <f>VLOOKUP(C230,'[1]1.CUADRO RESUMEN DE SITIOS '!$C$5:$L$1052,7,FALSE())</f>
        <v>WOM</v>
      </c>
      <c r="J230" s="25" t="str">
        <f>VLOOKUP(C230,'[1]1.CUADRO RESUMEN DE SITIOS '!$C$5:$L$1052,8,FALSE())</f>
        <v>CENTRO SUR/ NORTE</v>
      </c>
      <c r="K230" s="23" t="str">
        <f>VLOOKUP(C230,'[1]1.CUADRO RESUMEN DE SITIOS '!$C$5:$L$1052,9,FALSE())</f>
        <v>Ivan Basto</v>
      </c>
      <c r="L230" s="26" t="str">
        <f>VLOOKUP(C230,'[1]1.CUADRO RESUMEN DE SITIOS '!$C$5:$L$1052,10,FALSE())</f>
        <v>Terminado</v>
      </c>
      <c r="M230" s="26">
        <v>8828119625</v>
      </c>
      <c r="N230" s="26">
        <f>VLOOKUP(M230,[1]LPU!$A$2:$G$1512,2,FALSE())</f>
        <v>69</v>
      </c>
      <c r="O230" s="26" t="str">
        <f>VLOOKUP(M230,[1]LPU!$A$2:$G$1512,3,FALSE)</f>
        <v>Suministro y cambio Breaker 50-63 A Bipolar (C/U)</v>
      </c>
      <c r="P230" s="26" t="str">
        <f>VLOOKUP(M230,[1]LPU!$A$2:$G$1512,4,FALSE())</f>
        <v>ENERGÍA</v>
      </c>
      <c r="Q230" s="26" t="str">
        <f>VLOOKUP(M230,[1]LPU!$A$2:$G$1512,5,FALSE())</f>
        <v>U</v>
      </c>
      <c r="R230" s="27">
        <f>VLOOKUP(M230,[1]LPU!$A$2:$G$1512,6,FALSE())</f>
        <v>170000</v>
      </c>
      <c r="S230" s="27" t="str">
        <f>VLOOKUP(M230,[1]LPU!$A$2:$G$1512,7,FALSE())</f>
        <v>LPU FLM</v>
      </c>
      <c r="T230" s="28">
        <v>1</v>
      </c>
      <c r="U230" s="29">
        <f t="shared" si="3"/>
        <v>170000</v>
      </c>
      <c r="V230" s="29" t="s">
        <v>133</v>
      </c>
      <c r="W230" s="30"/>
      <c r="X230" s="29" t="s">
        <v>27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ht="21" customHeight="1" x14ac:dyDescent="0.3">
      <c r="A231" s="22">
        <v>227</v>
      </c>
      <c r="B231" s="23">
        <v>1</v>
      </c>
      <c r="C231" s="23" t="s">
        <v>132</v>
      </c>
      <c r="D231" s="23" t="str">
        <f>VLOOKUP(C231,'[1]1.CUADRO RESUMEN DE SITIOS '!$C$5:$L$1052,2,FALSE())</f>
        <v>JPUT_00432</v>
      </c>
      <c r="E231" s="24">
        <f>VLOOKUP(C231,'[1]1.CUADRO RESUMEN DE SITIOS '!$C$5:$L$1052,3,FALSE())</f>
        <v>45904</v>
      </c>
      <c r="F231" s="23">
        <f>VLOOKUP(C231,'[1]1.CUADRO RESUMEN DE SITIOS '!$C$5:$L$1052,4,FALSE())</f>
        <v>0.63834999999999997</v>
      </c>
      <c r="G231" s="23">
        <f>VLOOKUP(C231,'[1]1.CUADRO RESUMEN DE SITIOS '!$C$5:$L$1052,5,FALSE())</f>
        <v>-77.040930000000003</v>
      </c>
      <c r="H231" s="23" t="str">
        <f>VLOOKUP(C231,'[1]1.CUADRO RESUMEN DE SITIOS '!$C$5:$L$1052,6,FALSE())</f>
        <v>Putumayo</v>
      </c>
      <c r="I231" s="23" t="str">
        <f>VLOOKUP(C231,'[1]1.CUADRO RESUMEN DE SITIOS '!$C$5:$L$1052,7,FALSE())</f>
        <v>WOM</v>
      </c>
      <c r="J231" s="25" t="str">
        <f>VLOOKUP(C231,'[1]1.CUADRO RESUMEN DE SITIOS '!$C$5:$L$1052,8,FALSE())</f>
        <v>CENTRO SUR/ NORTE</v>
      </c>
      <c r="K231" s="23" t="str">
        <f>VLOOKUP(C231,'[1]1.CUADRO RESUMEN DE SITIOS '!$C$5:$L$1052,9,FALSE())</f>
        <v>Ivan Basto</v>
      </c>
      <c r="L231" s="26" t="str">
        <f>VLOOKUP(C231,'[1]1.CUADRO RESUMEN DE SITIOS '!$C$5:$L$1052,10,FALSE())</f>
        <v>Terminado</v>
      </c>
      <c r="M231" s="26">
        <v>8828118939</v>
      </c>
      <c r="N231" s="26">
        <f>VLOOKUP(M231,[1]LPU!$A$2:$G$1512,2,FALSE())</f>
        <v>111</v>
      </c>
      <c r="O231" s="26" t="str">
        <f>VLOOKUP(M231,[1]LPU!$A$2:$G$1512,3,FALSE)</f>
        <v>HEBILLA CINTA BANDIT 1/2" N2 23</v>
      </c>
      <c r="P231" s="26" t="str">
        <f>VLOOKUP(M231,[1]LPU!$A$2:$G$1512,4,FALSE())</f>
        <v>Nivel 2</v>
      </c>
      <c r="Q231" s="26" t="str">
        <f>VLOOKUP(M231,[1]LPU!$A$2:$G$1512,5,FALSE())</f>
        <v>Uni</v>
      </c>
      <c r="R231" s="27">
        <f>VLOOKUP(M231,[1]LPU!$A$2:$G$1512,6,FALSE())</f>
        <v>626</v>
      </c>
      <c r="S231" s="27" t="str">
        <f>VLOOKUP(M231,[1]LPU!$A$2:$G$1512,7,FALSE())</f>
        <v>N2</v>
      </c>
      <c r="T231" s="28">
        <v>1</v>
      </c>
      <c r="U231" s="29">
        <f t="shared" si="3"/>
        <v>626</v>
      </c>
      <c r="V231" s="29" t="s">
        <v>133</v>
      </c>
      <c r="W231" s="30"/>
      <c r="X231" s="29" t="s">
        <v>27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ht="21" customHeight="1" x14ac:dyDescent="0.3">
      <c r="A232" s="22">
        <v>228</v>
      </c>
      <c r="B232" s="23">
        <v>1</v>
      </c>
      <c r="C232" s="23" t="s">
        <v>132</v>
      </c>
      <c r="D232" s="23" t="str">
        <f>VLOOKUP(C232,'[1]1.CUADRO RESUMEN DE SITIOS '!$C$5:$L$1052,2,FALSE())</f>
        <v>JPUT_00432</v>
      </c>
      <c r="E232" s="24">
        <f>VLOOKUP(C232,'[1]1.CUADRO RESUMEN DE SITIOS '!$C$5:$L$1052,3,FALSE())</f>
        <v>45904</v>
      </c>
      <c r="F232" s="23">
        <f>VLOOKUP(C232,'[1]1.CUADRO RESUMEN DE SITIOS '!$C$5:$L$1052,4,FALSE())</f>
        <v>0.63834999999999997</v>
      </c>
      <c r="G232" s="23">
        <f>VLOOKUP(C232,'[1]1.CUADRO RESUMEN DE SITIOS '!$C$5:$L$1052,5,FALSE())</f>
        <v>-77.040930000000003</v>
      </c>
      <c r="H232" s="23" t="str">
        <f>VLOOKUP(C232,'[1]1.CUADRO RESUMEN DE SITIOS '!$C$5:$L$1052,6,FALSE())</f>
        <v>Putumayo</v>
      </c>
      <c r="I232" s="23" t="str">
        <f>VLOOKUP(C232,'[1]1.CUADRO RESUMEN DE SITIOS '!$C$5:$L$1052,7,FALSE())</f>
        <v>WOM</v>
      </c>
      <c r="J232" s="25" t="str">
        <f>VLOOKUP(C232,'[1]1.CUADRO RESUMEN DE SITIOS '!$C$5:$L$1052,8,FALSE())</f>
        <v>CENTRO SUR/ NORTE</v>
      </c>
      <c r="K232" s="23" t="str">
        <f>VLOOKUP(C232,'[1]1.CUADRO RESUMEN DE SITIOS '!$C$5:$L$1052,9,FALSE())</f>
        <v>Ivan Basto</v>
      </c>
      <c r="L232" s="26" t="str">
        <f>VLOOKUP(C232,'[1]1.CUADRO RESUMEN DE SITIOS '!$C$5:$L$1052,10,FALSE())</f>
        <v>Terminado</v>
      </c>
      <c r="M232" s="26">
        <v>8828119178</v>
      </c>
      <c r="N232" s="26">
        <f>VLOOKUP(M232,[1]LPU!$A$2:$G$1512,2,FALSE())</f>
        <v>516</v>
      </c>
      <c r="O232" s="26" t="str">
        <f>VLOOKUP(M232,[1]LPU!$A$2:$G$1512,3,FALSE)</f>
        <v>CINTA BANDIT 3/4” N2 23</v>
      </c>
      <c r="P232" s="26" t="str">
        <f>VLOOKUP(M232,[1]LPU!$A$2:$G$1512,4,FALSE())</f>
        <v>Nivel 2</v>
      </c>
      <c r="Q232" s="26" t="str">
        <f>VLOOKUP(M232,[1]LPU!$A$2:$G$1512,5,FALSE())</f>
        <v>Uni</v>
      </c>
      <c r="R232" s="27">
        <f>VLOOKUP(M232,[1]LPU!$A$2:$G$1512,6,FALSE())</f>
        <v>4997</v>
      </c>
      <c r="S232" s="27" t="str">
        <f>VLOOKUP(M232,[1]LPU!$A$2:$G$1512,7,FALSE())</f>
        <v>N2</v>
      </c>
      <c r="T232" s="28">
        <v>1</v>
      </c>
      <c r="U232" s="29">
        <f t="shared" si="3"/>
        <v>4997</v>
      </c>
      <c r="V232" s="29" t="s">
        <v>133</v>
      </c>
      <c r="W232" s="30"/>
      <c r="X232" s="29" t="s">
        <v>27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ht="21" customHeight="1" x14ac:dyDescent="0.3">
      <c r="A233" s="22">
        <v>229</v>
      </c>
      <c r="B233" s="23">
        <v>1</v>
      </c>
      <c r="C233" s="23" t="s">
        <v>132</v>
      </c>
      <c r="D233" s="23" t="str">
        <f>VLOOKUP(C233,'[1]1.CUADRO RESUMEN DE SITIOS '!$C$5:$L$1052,2,FALSE())</f>
        <v>JPUT_00432</v>
      </c>
      <c r="E233" s="24">
        <f>VLOOKUP(C233,'[1]1.CUADRO RESUMEN DE SITIOS '!$C$5:$L$1052,3,FALSE())</f>
        <v>45904</v>
      </c>
      <c r="F233" s="23">
        <f>VLOOKUP(C233,'[1]1.CUADRO RESUMEN DE SITIOS '!$C$5:$L$1052,4,FALSE())</f>
        <v>0.63834999999999997</v>
      </c>
      <c r="G233" s="23">
        <f>VLOOKUP(C233,'[1]1.CUADRO RESUMEN DE SITIOS '!$C$5:$L$1052,5,FALSE())</f>
        <v>-77.040930000000003</v>
      </c>
      <c r="H233" s="23" t="str">
        <f>VLOOKUP(C233,'[1]1.CUADRO RESUMEN DE SITIOS '!$C$5:$L$1052,6,FALSE())</f>
        <v>Putumayo</v>
      </c>
      <c r="I233" s="23" t="str">
        <f>VLOOKUP(C233,'[1]1.CUADRO RESUMEN DE SITIOS '!$C$5:$L$1052,7,FALSE())</f>
        <v>WOM</v>
      </c>
      <c r="J233" s="25" t="str">
        <f>VLOOKUP(C233,'[1]1.CUADRO RESUMEN DE SITIOS '!$C$5:$L$1052,8,FALSE())</f>
        <v>CENTRO SUR/ NORTE</v>
      </c>
      <c r="K233" s="23" t="str">
        <f>VLOOKUP(C233,'[1]1.CUADRO RESUMEN DE SITIOS '!$C$5:$L$1052,9,FALSE())</f>
        <v>Ivan Basto</v>
      </c>
      <c r="L233" s="26" t="str">
        <f>VLOOKUP(C233,'[1]1.CUADRO RESUMEN DE SITIOS '!$C$5:$L$1052,10,FALSE())</f>
        <v>Terminado</v>
      </c>
      <c r="M233" s="26">
        <v>8828119941</v>
      </c>
      <c r="N233" s="26">
        <f>VLOOKUP(M233,[1]LPU!$A$2:$G$1512,2,FALSE())</f>
        <v>165</v>
      </c>
      <c r="O233" s="26" t="str">
        <f>VLOOKUP(M233,[1]LPU!$A$2:$G$1512,3,FALSE)</f>
        <v>Transporte tipo C, zona de dificil acceso</v>
      </c>
      <c r="P233" s="26" t="str">
        <f>VLOOKUP(M233,[1]LPU!$A$2:$G$1512,4,FALSE())</f>
        <v>LOCATIVO</v>
      </c>
      <c r="Q233" s="26" t="str">
        <f>VLOOKUP(M233,[1]LPU!$A$2:$G$1512,5,FALSE())</f>
        <v>Global</v>
      </c>
      <c r="R233" s="27">
        <f>VLOOKUP(M233,[1]LPU!$A$2:$G$1512,6,FALSE())</f>
        <v>388801.05</v>
      </c>
      <c r="S233" s="27" t="str">
        <f>VLOOKUP(M233,[1]LPU!$A$2:$G$1512,7,FALSE())</f>
        <v>LPU FLM</v>
      </c>
      <c r="T233" s="28">
        <v>1</v>
      </c>
      <c r="U233" s="29">
        <f t="shared" si="3"/>
        <v>388801.05</v>
      </c>
      <c r="V233" s="29" t="s">
        <v>133</v>
      </c>
      <c r="W233" s="30"/>
      <c r="X233" s="29" t="s">
        <v>27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ht="21" customHeight="1" x14ac:dyDescent="0.3">
      <c r="A234" s="22">
        <v>230</v>
      </c>
      <c r="B234" s="23">
        <v>1</v>
      </c>
      <c r="C234" s="23" t="s">
        <v>132</v>
      </c>
      <c r="D234" s="23" t="str">
        <f>VLOOKUP(C234,'[1]1.CUADRO RESUMEN DE SITIOS '!$C$5:$L$1052,2,FALSE())</f>
        <v>JPUT_00432</v>
      </c>
      <c r="E234" s="24">
        <f>VLOOKUP(C234,'[1]1.CUADRO RESUMEN DE SITIOS '!$C$5:$L$1052,3,FALSE())</f>
        <v>45904</v>
      </c>
      <c r="F234" s="23">
        <f>VLOOKUP(C234,'[1]1.CUADRO RESUMEN DE SITIOS '!$C$5:$L$1052,4,FALSE())</f>
        <v>0.63834999999999997</v>
      </c>
      <c r="G234" s="23">
        <f>VLOOKUP(C234,'[1]1.CUADRO RESUMEN DE SITIOS '!$C$5:$L$1052,5,FALSE())</f>
        <v>-77.040930000000003</v>
      </c>
      <c r="H234" s="23" t="str">
        <f>VLOOKUP(C234,'[1]1.CUADRO RESUMEN DE SITIOS '!$C$5:$L$1052,6,FALSE())</f>
        <v>Putumayo</v>
      </c>
      <c r="I234" s="23" t="str">
        <f>VLOOKUP(C234,'[1]1.CUADRO RESUMEN DE SITIOS '!$C$5:$L$1052,7,FALSE())</f>
        <v>WOM</v>
      </c>
      <c r="J234" s="25" t="str">
        <f>VLOOKUP(C234,'[1]1.CUADRO RESUMEN DE SITIOS '!$C$5:$L$1052,8,FALSE())</f>
        <v>CENTRO SUR/ NORTE</v>
      </c>
      <c r="K234" s="23" t="str">
        <f>VLOOKUP(C234,'[1]1.CUADRO RESUMEN DE SITIOS '!$C$5:$L$1052,9,FALSE())</f>
        <v>Ivan Basto</v>
      </c>
      <c r="L234" s="26" t="str">
        <f>VLOOKUP(C234,'[1]1.CUADRO RESUMEN DE SITIOS '!$C$5:$L$1052,10,FALSE())</f>
        <v>Terminado</v>
      </c>
      <c r="M234" s="26">
        <v>8828119110</v>
      </c>
      <c r="N234" s="26">
        <f>VLOOKUP(M234,[1]LPU!$A$2:$G$1512,2,FALSE())</f>
        <v>107</v>
      </c>
      <c r="O234" s="26" t="str">
        <f>VLOOKUP(M234,[1]LPU!$A$2:$G$1512,3,FALSE)</f>
        <v>Mano de Obra Tecnico Electricista Certficado CONTE</v>
      </c>
      <c r="P234" s="26" t="str">
        <f>VLOOKUP(M234,[1]LPU!$A$2:$G$1512,4,FALSE())</f>
        <v>ENERGÍA</v>
      </c>
      <c r="Q234" s="26" t="str">
        <f>VLOOKUP(M234,[1]LPU!$A$2:$G$1512,5,FALSE())</f>
        <v>DIA</v>
      </c>
      <c r="R234" s="27">
        <f>VLOOKUP(M234,[1]LPU!$A$2:$G$1512,6,FALSE())</f>
        <v>136000</v>
      </c>
      <c r="S234" s="27" t="str">
        <f>VLOOKUP(M234,[1]LPU!$A$2:$G$1512,7,FALSE())</f>
        <v>LPU FLM</v>
      </c>
      <c r="T234" s="28">
        <v>1</v>
      </c>
      <c r="U234" s="29">
        <f t="shared" si="3"/>
        <v>136000</v>
      </c>
      <c r="V234" s="29" t="s">
        <v>133</v>
      </c>
      <c r="W234" s="30"/>
      <c r="X234" s="29" t="s">
        <v>27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ht="21" customHeight="1" x14ac:dyDescent="0.3">
      <c r="A235" s="22">
        <v>231</v>
      </c>
      <c r="B235" s="23">
        <v>1</v>
      </c>
      <c r="C235" s="23" t="s">
        <v>132</v>
      </c>
      <c r="D235" s="23" t="str">
        <f>VLOOKUP(C235,'[1]1.CUADRO RESUMEN DE SITIOS '!$C$5:$L$1052,2,FALSE())</f>
        <v>JPUT_00432</v>
      </c>
      <c r="E235" s="24">
        <f>VLOOKUP(C235,'[1]1.CUADRO RESUMEN DE SITIOS '!$C$5:$L$1052,3,FALSE())</f>
        <v>45904</v>
      </c>
      <c r="F235" s="23">
        <f>VLOOKUP(C235,'[1]1.CUADRO RESUMEN DE SITIOS '!$C$5:$L$1052,4,FALSE())</f>
        <v>0.63834999999999997</v>
      </c>
      <c r="G235" s="23">
        <f>VLOOKUP(C235,'[1]1.CUADRO RESUMEN DE SITIOS '!$C$5:$L$1052,5,FALSE())</f>
        <v>-77.040930000000003</v>
      </c>
      <c r="H235" s="23" t="str">
        <f>VLOOKUP(C235,'[1]1.CUADRO RESUMEN DE SITIOS '!$C$5:$L$1052,6,FALSE())</f>
        <v>Putumayo</v>
      </c>
      <c r="I235" s="23" t="str">
        <f>VLOOKUP(C235,'[1]1.CUADRO RESUMEN DE SITIOS '!$C$5:$L$1052,7,FALSE())</f>
        <v>WOM</v>
      </c>
      <c r="J235" s="25" t="str">
        <f>VLOOKUP(C235,'[1]1.CUADRO RESUMEN DE SITIOS '!$C$5:$L$1052,8,FALSE())</f>
        <v>CENTRO SUR/ NORTE</v>
      </c>
      <c r="K235" s="23" t="str">
        <f>VLOOKUP(C235,'[1]1.CUADRO RESUMEN DE SITIOS '!$C$5:$L$1052,9,FALSE())</f>
        <v>Ivan Basto</v>
      </c>
      <c r="L235" s="26" t="str">
        <f>VLOOKUP(C235,'[1]1.CUADRO RESUMEN DE SITIOS '!$C$5:$L$1052,10,FALSE())</f>
        <v>Terminado</v>
      </c>
      <c r="M235" s="26">
        <v>8828119393</v>
      </c>
      <c r="N235" s="26">
        <f>VLOOKUP(M235,[1]LPU!$A$2:$G$1512,2,FALSE())</f>
        <v>0</v>
      </c>
      <c r="O235" s="26" t="str">
        <f>VLOOKUP(M235,[1]LPU!$A$2:$G$1512,3,FALSE)</f>
        <v>Tuberia IMC de 2"</v>
      </c>
      <c r="P235" s="26" t="str">
        <f>VLOOKUP(M235,[1]LPU!$A$2:$G$1512,4,FALSE())</f>
        <v>Variables</v>
      </c>
      <c r="Q235" s="26" t="str">
        <f>VLOOKUP(M235,[1]LPU!$A$2:$G$1512,5,FALSE())</f>
        <v>ml</v>
      </c>
      <c r="R235" s="27">
        <f>VLOOKUP(M235,[1]LPU!$A$2:$G$1512,6,FALSE())</f>
        <v>47813</v>
      </c>
      <c r="S235" s="27" t="str">
        <f>VLOOKUP(M235,[1]LPU!$A$2:$G$1512,7,FALSE())</f>
        <v>LPU FO</v>
      </c>
      <c r="T235" s="28">
        <v>3</v>
      </c>
      <c r="U235" s="29">
        <f t="shared" si="3"/>
        <v>143439</v>
      </c>
      <c r="V235" s="29" t="s">
        <v>133</v>
      </c>
      <c r="W235" s="30"/>
      <c r="X235" s="29" t="s">
        <v>27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ht="21" customHeight="1" x14ac:dyDescent="0.3">
      <c r="A236" s="22">
        <v>232</v>
      </c>
      <c r="B236" s="23">
        <v>1</v>
      </c>
      <c r="C236" s="23" t="s">
        <v>134</v>
      </c>
      <c r="D236" s="23" t="str">
        <f>VLOOKUP(C236,'[1]1.CUADRO RESUMEN DE SITIOS '!$C$5:$L$1052,2,FALSE())</f>
        <v>JBOL_00486</v>
      </c>
      <c r="E236" s="24">
        <f>VLOOKUP(C236,'[1]1.CUADRO RESUMEN DE SITIOS '!$C$5:$L$1052,3,FALSE())</f>
        <v>45973</v>
      </c>
      <c r="F236" s="23">
        <f>VLOOKUP(C236,'[1]1.CUADRO RESUMEN DE SITIOS '!$C$5:$L$1052,4,FALSE())</f>
        <v>8.1135482999999997</v>
      </c>
      <c r="G236" s="23">
        <f>VLOOKUP(C236,'[1]1.CUADRO RESUMEN DE SITIOS '!$C$5:$L$1052,5,FALSE())</f>
        <v>-73.878749999999997</v>
      </c>
      <c r="H236" s="23" t="str">
        <f>VLOOKUP(C236,'[1]1.CUADRO RESUMEN DE SITIOS '!$C$5:$L$1052,6,FALSE())</f>
        <v>Bolívar</v>
      </c>
      <c r="I236" s="23" t="str">
        <f>VLOOKUP(C236,'[1]1.CUADRO RESUMEN DE SITIOS '!$C$5:$L$1052,7,FALSE())</f>
        <v>WOM-HUAWEI</v>
      </c>
      <c r="J236" s="25" t="str">
        <f>VLOOKUP(C236,'[1]1.CUADRO RESUMEN DE SITIOS '!$C$5:$L$1052,8,FALSE())</f>
        <v>COSTA</v>
      </c>
      <c r="K236" s="23" t="str">
        <f>VLOOKUP(C236,'[1]1.CUADRO RESUMEN DE SITIOS '!$C$5:$L$1052,9,FALSE())</f>
        <v>Cesar Osorio</v>
      </c>
      <c r="L236" s="26" t="str">
        <f>VLOOKUP(C236,'[1]1.CUADRO RESUMEN DE SITIOS '!$C$5:$L$1052,10,FALSE())</f>
        <v>Terminado</v>
      </c>
      <c r="M236" s="26">
        <v>8828120088</v>
      </c>
      <c r="N236" s="26">
        <f>VLOOKUP(M236,[1]LPU!$A$2:$G$1512,2,FALSE())</f>
        <v>180</v>
      </c>
      <c r="O236" s="26" t="str">
        <f>VLOOKUP(M236,[1]LPU!$A$2:$G$1512,3,FALSE)</f>
        <v>Limpieza de Estación Base y Disposición de Residuos.</v>
      </c>
      <c r="P236" s="26" t="str">
        <f>VLOOKUP(M236,[1]LPU!$A$2:$G$1512,4,FALSE())</f>
        <v>LOCATIVO</v>
      </c>
      <c r="Q236" s="26" t="str">
        <f>VLOOKUP(M236,[1]LPU!$A$2:$G$1512,5,FALSE())</f>
        <v>U</v>
      </c>
      <c r="R236" s="27">
        <f>VLOOKUP(M236,[1]LPU!$A$2:$G$1512,6,FALSE())</f>
        <v>167960</v>
      </c>
      <c r="S236" s="27" t="str">
        <f>VLOOKUP(M236,[1]LPU!$A$2:$G$1512,7,FALSE())</f>
        <v>LPU FLM</v>
      </c>
      <c r="T236" s="28">
        <v>1</v>
      </c>
      <c r="U236" s="29">
        <f t="shared" si="3"/>
        <v>167960</v>
      </c>
      <c r="V236" s="29" t="s">
        <v>135</v>
      </c>
      <c r="W236" s="30"/>
      <c r="X236" s="29" t="s">
        <v>136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ht="21" customHeight="1" x14ac:dyDescent="0.3">
      <c r="A237" s="22">
        <v>233</v>
      </c>
      <c r="B237" s="23">
        <v>1</v>
      </c>
      <c r="C237" s="23" t="s">
        <v>134</v>
      </c>
      <c r="D237" s="23" t="str">
        <f>VLOOKUP(C237,'[1]1.CUADRO RESUMEN DE SITIOS '!$C$5:$L$1052,2,FALSE())</f>
        <v>JBOL_00486</v>
      </c>
      <c r="E237" s="24">
        <f>VLOOKUP(C237,'[1]1.CUADRO RESUMEN DE SITIOS '!$C$5:$L$1052,3,FALSE())</f>
        <v>45973</v>
      </c>
      <c r="F237" s="23">
        <f>VLOOKUP(C237,'[1]1.CUADRO RESUMEN DE SITIOS '!$C$5:$L$1052,4,FALSE())</f>
        <v>8.1135482999999997</v>
      </c>
      <c r="G237" s="23">
        <f>VLOOKUP(C237,'[1]1.CUADRO RESUMEN DE SITIOS '!$C$5:$L$1052,5,FALSE())</f>
        <v>-73.878749999999997</v>
      </c>
      <c r="H237" s="23" t="str">
        <f>VLOOKUP(C237,'[1]1.CUADRO RESUMEN DE SITIOS '!$C$5:$L$1052,6,FALSE())</f>
        <v>Bolívar</v>
      </c>
      <c r="I237" s="23" t="str">
        <f>VLOOKUP(C237,'[1]1.CUADRO RESUMEN DE SITIOS '!$C$5:$L$1052,7,FALSE())</f>
        <v>WOM-HUAWEI</v>
      </c>
      <c r="J237" s="25" t="str">
        <f>VLOOKUP(C237,'[1]1.CUADRO RESUMEN DE SITIOS '!$C$5:$L$1052,8,FALSE())</f>
        <v>COSTA</v>
      </c>
      <c r="K237" s="23" t="str">
        <f>VLOOKUP(C237,'[1]1.CUADRO RESUMEN DE SITIOS '!$C$5:$L$1052,9,FALSE())</f>
        <v>Cesar Osorio</v>
      </c>
      <c r="L237" s="26" t="str">
        <f>VLOOKUP(C237,'[1]1.CUADRO RESUMEN DE SITIOS '!$C$5:$L$1052,10,FALSE())</f>
        <v>Terminado</v>
      </c>
      <c r="M237" s="26">
        <v>8828120073</v>
      </c>
      <c r="N237" s="26">
        <f>VLOOKUP(M237,[1]LPU!$A$2:$G$1512,2,FALSE())</f>
        <v>178</v>
      </c>
      <c r="O237" s="26" t="str">
        <f>VLOOKUP(M237,[1]LPU!$A$2:$G$1512,3,FALSE)</f>
        <v>Desmalezamiento (incluye poda y fumigación)</v>
      </c>
      <c r="P237" s="26" t="str">
        <f>VLOOKUP(M237,[1]LPU!$A$2:$G$1512,4,FALSE())</f>
        <v>LOCATIVO</v>
      </c>
      <c r="Q237" s="26" t="str">
        <f>VLOOKUP(M237,[1]LPU!$A$2:$G$1512,5,FALSE())</f>
        <v>Sitio</v>
      </c>
      <c r="R237" s="27">
        <f>VLOOKUP(M237,[1]LPU!$A$2:$G$1512,6,FALSE())</f>
        <v>88400</v>
      </c>
      <c r="S237" s="27" t="str">
        <f>VLOOKUP(M237,[1]LPU!$A$2:$G$1512,7,FALSE())</f>
        <v>LPU FLM</v>
      </c>
      <c r="T237" s="28">
        <v>1</v>
      </c>
      <c r="U237" s="29">
        <f t="shared" si="3"/>
        <v>88400</v>
      </c>
      <c r="V237" s="29" t="s">
        <v>135</v>
      </c>
      <c r="W237" s="30"/>
      <c r="X237" s="29" t="s">
        <v>136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ht="21" customHeight="1" x14ac:dyDescent="0.3">
      <c r="A238" s="22">
        <v>234</v>
      </c>
      <c r="B238" s="23">
        <v>1</v>
      </c>
      <c r="C238" s="23" t="s">
        <v>137</v>
      </c>
      <c r="D238" s="23" t="str">
        <f>VLOOKUP(C238,'[1]1.CUADRO RESUMEN DE SITIOS '!$C$5:$L$1052,2,FALSE())</f>
        <v>S8744</v>
      </c>
      <c r="E238" s="24">
        <f>VLOOKUP(C238,'[1]1.CUADRO RESUMEN DE SITIOS '!$C$5:$L$1052,3,FALSE())</f>
        <v>45973</v>
      </c>
      <c r="F238" s="23" t="str">
        <f>VLOOKUP(C238,'[1]1.CUADRO RESUMEN DE SITIOS '!$C$5:$L$1052,4,FALSE())</f>
        <v>,5.94669</v>
      </c>
      <c r="G238" s="23" t="str">
        <f>VLOOKUP(C238,'[1]1.CUADRO RESUMEN DE SITIOS '!$C$5:$L$1052,5,FALSE())</f>
        <v>,-75.5278</v>
      </c>
      <c r="H238" s="23" t="str">
        <f>VLOOKUP(C238,'[1]1.CUADRO RESUMEN DE SITIOS '!$C$5:$L$1052,6,FALSE())</f>
        <v>Antioquia</v>
      </c>
      <c r="I238" s="23" t="str">
        <f>VLOOKUP(C238,'[1]1.CUADRO RESUMEN DE SITIOS '!$C$5:$L$1052,7,FALSE())</f>
        <v>UNIRED</v>
      </c>
      <c r="J238" s="25" t="str">
        <f>VLOOKUP(C238,'[1]1.CUADRO RESUMEN DE SITIOS '!$C$5:$L$1052,8,FALSE())</f>
        <v>NOROCCIDENTE</v>
      </c>
      <c r="K238" s="23" t="str">
        <f>VLOOKUP(C238,'[1]1.CUADRO RESUMEN DE SITIOS '!$C$5:$L$1052,9,FALSE())</f>
        <v>Carlos Eduardo Montoya</v>
      </c>
      <c r="L238" s="26" t="str">
        <f>VLOOKUP(C238,'[1]1.CUADRO RESUMEN DE SITIOS '!$C$5:$L$1052,10,FALSE())</f>
        <v>Terminado</v>
      </c>
      <c r="M238" s="26">
        <v>1</v>
      </c>
      <c r="N238" s="26">
        <v>1</v>
      </c>
      <c r="O238" s="26" t="s">
        <v>138</v>
      </c>
      <c r="P238" s="26" t="s">
        <v>139</v>
      </c>
      <c r="Q238" s="26" t="s">
        <v>139</v>
      </c>
      <c r="R238" s="27">
        <v>1200000</v>
      </c>
      <c r="S238" s="27" t="s">
        <v>139</v>
      </c>
      <c r="T238" s="28">
        <v>1</v>
      </c>
      <c r="U238" s="29">
        <f t="shared" si="3"/>
        <v>1200000</v>
      </c>
      <c r="V238" s="29" t="s">
        <v>140</v>
      </c>
      <c r="W238" s="30"/>
      <c r="X238" s="29" t="s">
        <v>82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ht="21" customHeight="1" x14ac:dyDescent="0.3">
      <c r="A239" s="22">
        <v>235</v>
      </c>
      <c r="B239" s="23">
        <v>1</v>
      </c>
      <c r="C239" s="23" t="s">
        <v>141</v>
      </c>
      <c r="D239" s="23" t="str">
        <f>VLOOKUP(C239,'[1]1.CUADRO RESUMEN DE SITIOS '!$C$5:$L$1052,2,FALSE())</f>
        <v>SAT0080</v>
      </c>
      <c r="E239" s="24">
        <f>VLOOKUP(C239,'[1]1.CUADRO RESUMEN DE SITIOS '!$C$5:$L$1052,3,FALSE())</f>
        <v>45933</v>
      </c>
      <c r="F239" s="23" t="str">
        <f>VLOOKUP(C239,'[1]1.CUADRO RESUMEN DE SITIOS '!$C$5:$L$1052,4,FALSE())</f>
        <v>,6..6444</v>
      </c>
      <c r="G239" s="23" t="str">
        <f>VLOOKUP(C239,'[1]1.CUADRO RESUMEN DE SITIOS '!$C$5:$L$1052,5,FALSE())</f>
        <v>,-73.9524</v>
      </c>
      <c r="H239" s="23" t="str">
        <f>VLOOKUP(C239,'[1]1.CUADRO RESUMEN DE SITIOS '!$C$5:$L$1052,6,FALSE())</f>
        <v>Santander</v>
      </c>
      <c r="I239" s="23" t="str">
        <f>VLOOKUP(C239,'[1]1.CUADRO RESUMEN DE SITIOS '!$C$5:$L$1052,7,FALSE())</f>
        <v>UNIRED</v>
      </c>
      <c r="J239" s="25" t="str">
        <f>VLOOKUP(C239,'[1]1.CUADRO RESUMEN DE SITIOS '!$C$5:$L$1052,8,FALSE())</f>
        <v>NOROCCIDENTE</v>
      </c>
      <c r="K239" s="23" t="str">
        <f>VLOOKUP(C239,'[1]1.CUADRO RESUMEN DE SITIOS '!$C$5:$L$1052,9,FALSE())</f>
        <v>Carlos Eduardo Montoya</v>
      </c>
      <c r="L239" s="26" t="str">
        <f>VLOOKUP(C239,'[1]1.CUADRO RESUMEN DE SITIOS '!$C$5:$L$1052,10,FALSE())</f>
        <v>Terminado</v>
      </c>
      <c r="M239" s="26">
        <v>1</v>
      </c>
      <c r="N239" s="26">
        <v>1</v>
      </c>
      <c r="O239" s="26" t="s">
        <v>142</v>
      </c>
      <c r="P239" s="26" t="s">
        <v>139</v>
      </c>
      <c r="Q239" s="26" t="s">
        <v>139</v>
      </c>
      <c r="R239" s="27">
        <v>12094900</v>
      </c>
      <c r="S239" s="27" t="s">
        <v>139</v>
      </c>
      <c r="T239" s="28">
        <v>1</v>
      </c>
      <c r="U239" s="29">
        <f t="shared" si="3"/>
        <v>12094900</v>
      </c>
      <c r="V239" s="29" t="s">
        <v>142</v>
      </c>
      <c r="W239" s="30"/>
      <c r="X239" s="29" t="s">
        <v>82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ht="21" customHeight="1" x14ac:dyDescent="0.3">
      <c r="A240" s="22">
        <v>236</v>
      </c>
      <c r="B240" s="23">
        <v>1</v>
      </c>
      <c r="C240" s="23" t="s">
        <v>143</v>
      </c>
      <c r="D240" s="23" t="str">
        <f>VLOOKUP(C240,'[1]1.CUADRO RESUMEN DE SITIOS '!$C$5:$L$1052,2,FALSE())</f>
        <v>S5670</v>
      </c>
      <c r="E240" s="24">
        <f>VLOOKUP(C240,'[1]1.CUADRO RESUMEN DE SITIOS '!$C$5:$L$1052,3,FALSE())</f>
        <v>45970</v>
      </c>
      <c r="F240" s="23" t="str">
        <f>VLOOKUP(C240,'[1]1.CUADRO RESUMEN DE SITIOS '!$C$5:$L$1052,4,FALSE())</f>
        <v>_5.54551</v>
      </c>
      <c r="G240" s="23" t="str">
        <f>VLOOKUP(C240,'[1]1.CUADRO RESUMEN DE SITIOS '!$C$5:$L$1052,5,FALSE())</f>
        <v>,-73.3577</v>
      </c>
      <c r="H240" s="23" t="str">
        <f>VLOOKUP(C240,'[1]1.CUADRO RESUMEN DE SITIOS '!$C$5:$L$1052,6,FALSE())</f>
        <v>Boyacá</v>
      </c>
      <c r="I240" s="23" t="str">
        <f>VLOOKUP(C240,'[1]1.CUADRO RESUMEN DE SITIOS '!$C$5:$L$1052,7,FALSE())</f>
        <v>UNIRED</v>
      </c>
      <c r="J240" s="25" t="str">
        <f>VLOOKUP(C240,'[1]1.CUADRO RESUMEN DE SITIOS '!$C$5:$L$1052,8,FALSE())</f>
        <v>CENTRO SUR/ NORTE</v>
      </c>
      <c r="K240" s="23" t="str">
        <f>VLOOKUP(C240,'[1]1.CUADRO RESUMEN DE SITIOS '!$C$5:$L$1052,9,FALSE())</f>
        <v>Carlos Eduardo Montoya</v>
      </c>
      <c r="L240" s="26" t="str">
        <f>VLOOKUP(C240,'[1]1.CUADRO RESUMEN DE SITIOS '!$C$5:$L$1052,10,FALSE())</f>
        <v>Terminado</v>
      </c>
      <c r="M240" s="26">
        <v>1</v>
      </c>
      <c r="N240" s="26">
        <v>1</v>
      </c>
      <c r="O240" s="26" t="s">
        <v>144</v>
      </c>
      <c r="P240" s="26" t="s">
        <v>139</v>
      </c>
      <c r="Q240" s="26" t="s">
        <v>139</v>
      </c>
      <c r="R240" s="27">
        <v>824800</v>
      </c>
      <c r="S240" s="27" t="s">
        <v>139</v>
      </c>
      <c r="T240" s="28">
        <v>1</v>
      </c>
      <c r="U240" s="29">
        <f t="shared" si="3"/>
        <v>824800</v>
      </c>
      <c r="V240" s="29" t="s">
        <v>145</v>
      </c>
      <c r="W240" s="30"/>
      <c r="X240" s="29" t="s">
        <v>82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ht="21" customHeight="1" x14ac:dyDescent="0.3">
      <c r="A241" s="22">
        <v>237</v>
      </c>
      <c r="B241" s="23">
        <v>1</v>
      </c>
      <c r="C241" s="23" t="s">
        <v>146</v>
      </c>
      <c r="D241" s="23" t="str">
        <f>VLOOKUP(C241,'[1]1.CUADRO RESUMEN DE SITIOS '!$C$5:$L$1052,2,FALSE())</f>
        <v>BOY-250160</v>
      </c>
      <c r="E241" s="24">
        <f>VLOOKUP(C241,'[1]1.CUADRO RESUMEN DE SITIOS '!$C$5:$L$1052,3,FALSE())</f>
        <v>45970</v>
      </c>
      <c r="F241" s="23" t="str">
        <f>VLOOKUP(C241,'[1]1.CUADRO RESUMEN DE SITIOS '!$C$5:$L$1052,4,FALSE())</f>
        <v>_5.52439</v>
      </c>
      <c r="G241" s="23" t="str">
        <f>VLOOKUP(C241,'[1]1.CUADRO RESUMEN DE SITIOS '!$C$5:$L$1052,5,FALSE())</f>
        <v>,-74.1655</v>
      </c>
      <c r="H241" s="23" t="str">
        <f>VLOOKUP(C241,'[1]1.CUADRO RESUMEN DE SITIOS '!$C$5:$L$1052,6,FALSE())</f>
        <v>Boyacá</v>
      </c>
      <c r="I241" s="23" t="str">
        <f>VLOOKUP(C241,'[1]1.CUADRO RESUMEN DE SITIOS '!$C$5:$L$1052,7,FALSE())</f>
        <v>UNIRED</v>
      </c>
      <c r="J241" s="25" t="str">
        <f>VLOOKUP(C241,'[1]1.CUADRO RESUMEN DE SITIOS '!$C$5:$L$1052,8,FALSE())</f>
        <v>CENTRO SUR/ NORTE</v>
      </c>
      <c r="K241" s="23" t="str">
        <f>VLOOKUP(C241,'[1]1.CUADRO RESUMEN DE SITIOS '!$C$5:$L$1052,9,FALSE())</f>
        <v>Carlos Eduardo Montoya</v>
      </c>
      <c r="L241" s="26" t="str">
        <f>VLOOKUP(C241,'[1]1.CUADRO RESUMEN DE SITIOS '!$C$5:$L$1052,10,FALSE())</f>
        <v>Terminado</v>
      </c>
      <c r="M241" s="26">
        <v>1</v>
      </c>
      <c r="N241" s="26">
        <v>1</v>
      </c>
      <c r="O241" s="26" t="s">
        <v>147</v>
      </c>
      <c r="P241" s="26" t="s">
        <v>139</v>
      </c>
      <c r="Q241" s="26" t="s">
        <v>139</v>
      </c>
      <c r="R241" s="27">
        <v>4161600</v>
      </c>
      <c r="S241" s="27" t="s">
        <v>139</v>
      </c>
      <c r="T241" s="28">
        <v>1</v>
      </c>
      <c r="U241" s="29">
        <f t="shared" si="3"/>
        <v>4161600</v>
      </c>
      <c r="V241" s="29" t="s">
        <v>147</v>
      </c>
      <c r="W241" s="30"/>
      <c r="X241" s="29" t="s">
        <v>82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ht="21" customHeight="1" x14ac:dyDescent="0.3">
      <c r="A242" s="22">
        <v>238</v>
      </c>
      <c r="B242" s="23">
        <v>1</v>
      </c>
      <c r="C242" s="23" t="s">
        <v>148</v>
      </c>
      <c r="D242" s="23" t="str">
        <f>VLOOKUP(C242,'[1]1.CUADRO RESUMEN DE SITIOS '!$C$5:$L$1052,2,FALSE())</f>
        <v>BUC-210009</v>
      </c>
      <c r="E242" s="24">
        <f>VLOOKUP(C242,'[1]1.CUADRO RESUMEN DE SITIOS '!$C$5:$L$1052,3,FALSE())</f>
        <v>45982</v>
      </c>
      <c r="F242" s="23">
        <f>VLOOKUP(C242,'[1]1.CUADRO RESUMEN DE SITIOS '!$C$5:$L$1052,4,FALSE())</f>
        <v>714878</v>
      </c>
      <c r="G242" s="23">
        <f>VLOOKUP(C242,'[1]1.CUADRO RESUMEN DE SITIOS '!$C$5:$L$1052,5,FALSE())</f>
        <v>-732678</v>
      </c>
      <c r="H242" s="23" t="str">
        <f>VLOOKUP(C242,'[1]1.CUADRO RESUMEN DE SITIOS '!$C$5:$L$1052,6,FALSE())</f>
        <v>Santander</v>
      </c>
      <c r="I242" s="23" t="str">
        <f>VLOOKUP(C242,'[1]1.CUADRO RESUMEN DE SITIOS '!$C$5:$L$1052,7,FALSE())</f>
        <v>UNIRED</v>
      </c>
      <c r="J242" s="25" t="str">
        <f>VLOOKUP(C242,'[1]1.CUADRO RESUMEN DE SITIOS '!$C$5:$L$1052,8,FALSE())</f>
        <v>CENTRO SUR/ NORTE</v>
      </c>
      <c r="K242" s="23" t="str">
        <f>VLOOKUP(C242,'[1]1.CUADRO RESUMEN DE SITIOS '!$C$5:$L$1052,9,FALSE())</f>
        <v>Carlos Eduardo Montoya</v>
      </c>
      <c r="L242" s="26" t="str">
        <f>VLOOKUP(C242,'[1]1.CUADRO RESUMEN DE SITIOS '!$C$5:$L$1052,10,FALSE())</f>
        <v>Terminado</v>
      </c>
      <c r="M242" s="26">
        <v>1</v>
      </c>
      <c r="N242" s="26">
        <v>1</v>
      </c>
      <c r="O242" s="26" t="s">
        <v>149</v>
      </c>
      <c r="P242" s="26" t="s">
        <v>139</v>
      </c>
      <c r="Q242" s="26" t="s">
        <v>139</v>
      </c>
      <c r="R242" s="27">
        <v>1650000</v>
      </c>
      <c r="S242" s="27" t="s">
        <v>139</v>
      </c>
      <c r="T242" s="28">
        <v>1</v>
      </c>
      <c r="U242" s="29">
        <f t="shared" si="3"/>
        <v>1650000</v>
      </c>
      <c r="V242" s="29" t="s">
        <v>149</v>
      </c>
      <c r="W242" s="30"/>
      <c r="X242" s="29" t="s">
        <v>82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ht="21" customHeight="1" x14ac:dyDescent="0.3">
      <c r="A243" s="22">
        <v>239</v>
      </c>
      <c r="B243" s="23">
        <v>1</v>
      </c>
      <c r="C243" s="23" t="s">
        <v>150</v>
      </c>
      <c r="D243" s="23" t="str">
        <f>VLOOKUP(C243,'[1]1.CUADRO RESUMEN DE SITIOS '!$C$5:$L$1052,2,FALSE())</f>
        <v>BUC-210009</v>
      </c>
      <c r="E243" s="24">
        <f>VLOOKUP(C243,'[1]1.CUADRO RESUMEN DE SITIOS '!$C$5:$L$1052,3,FALSE())</f>
        <v>45982</v>
      </c>
      <c r="F243" s="23">
        <f>VLOOKUP(C243,'[1]1.CUADRO RESUMEN DE SITIOS '!$C$5:$L$1052,4,FALSE())</f>
        <v>714878</v>
      </c>
      <c r="G243" s="23">
        <f>VLOOKUP(C243,'[1]1.CUADRO RESUMEN DE SITIOS '!$C$5:$L$1052,5,FALSE())</f>
        <v>-732678</v>
      </c>
      <c r="H243" s="23" t="str">
        <f>VLOOKUP(C243,'[1]1.CUADRO RESUMEN DE SITIOS '!$C$5:$L$1052,6,FALSE())</f>
        <v>Santander</v>
      </c>
      <c r="I243" s="23" t="str">
        <f>VLOOKUP(C243,'[1]1.CUADRO RESUMEN DE SITIOS '!$C$5:$L$1052,7,FALSE())</f>
        <v>UNIRED</v>
      </c>
      <c r="J243" s="25" t="str">
        <f>VLOOKUP(C243,'[1]1.CUADRO RESUMEN DE SITIOS '!$C$5:$L$1052,8,FALSE())</f>
        <v>CENTRO SUR/ NORTE</v>
      </c>
      <c r="K243" s="23" t="str">
        <f>VLOOKUP(C243,'[1]1.CUADRO RESUMEN DE SITIOS '!$C$5:$L$1052,9,FALSE())</f>
        <v>Carlos Eduardo Montoya</v>
      </c>
      <c r="L243" s="26" t="str">
        <f>VLOOKUP(C243,'[1]1.CUADRO RESUMEN DE SITIOS '!$C$5:$L$1052,10,FALSE())</f>
        <v>Terminado</v>
      </c>
      <c r="M243" s="26">
        <v>1</v>
      </c>
      <c r="N243" s="26">
        <v>1</v>
      </c>
      <c r="O243" s="26" t="s">
        <v>151</v>
      </c>
      <c r="P243" s="26" t="s">
        <v>139</v>
      </c>
      <c r="Q243" s="26" t="s">
        <v>139</v>
      </c>
      <c r="R243" s="27">
        <v>18981700</v>
      </c>
      <c r="S243" s="27" t="s">
        <v>139</v>
      </c>
      <c r="T243" s="28">
        <v>1</v>
      </c>
      <c r="U243" s="29">
        <f t="shared" si="3"/>
        <v>18981700</v>
      </c>
      <c r="V243" s="29" t="s">
        <v>151</v>
      </c>
      <c r="W243" s="30"/>
      <c r="X243" s="29" t="s">
        <v>82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ht="21" customHeight="1" x14ac:dyDescent="0.3">
      <c r="A244" s="22">
        <v>240</v>
      </c>
      <c r="B244" s="23">
        <v>1</v>
      </c>
      <c r="C244" s="23" t="s">
        <v>152</v>
      </c>
      <c r="D244" s="23" t="str">
        <f>VLOOKUP(C244,'[1]1.CUADRO RESUMEN DE SITIOS '!$C$5:$L$1052,2,FALSE())</f>
        <v>TBUC_560407</v>
      </c>
      <c r="E244" s="24">
        <f>VLOOKUP(C244,'[1]1.CUADRO RESUMEN DE SITIOS '!$C$5:$L$1052,3,FALSE())</f>
        <v>45922</v>
      </c>
      <c r="F244" s="23">
        <f>VLOOKUP(C244,'[1]1.CUADRO RESUMEN DE SITIOS '!$C$5:$L$1052,4,FALSE())</f>
        <v>710747</v>
      </c>
      <c r="G244" s="23">
        <f>VLOOKUP(C244,'[1]1.CUADRO RESUMEN DE SITIOS '!$C$5:$L$1052,5,FALSE())</f>
        <v>-731146</v>
      </c>
      <c r="H244" s="23" t="str">
        <f>VLOOKUP(C244,'[1]1.CUADRO RESUMEN DE SITIOS '!$C$5:$L$1052,6,FALSE())</f>
        <v>Santander</v>
      </c>
      <c r="I244" s="23" t="str">
        <f>VLOOKUP(C244,'[1]1.CUADRO RESUMEN DE SITIOS '!$C$5:$L$1052,7,FALSE())</f>
        <v>UNIRED</v>
      </c>
      <c r="J244" s="25" t="str">
        <f>VLOOKUP(C244,'[1]1.CUADRO RESUMEN DE SITIOS '!$C$5:$L$1052,8,FALSE())</f>
        <v>CENTRO SUR/ NORTE</v>
      </c>
      <c r="K244" s="23" t="str">
        <f>VLOOKUP(C244,'[1]1.CUADRO RESUMEN DE SITIOS '!$C$5:$L$1052,9,FALSE())</f>
        <v>Carlos Eduardo Montoya</v>
      </c>
      <c r="L244" s="26" t="str">
        <f>VLOOKUP(C244,'[1]1.CUADRO RESUMEN DE SITIOS '!$C$5:$L$1052,10,FALSE())</f>
        <v>Terminado</v>
      </c>
      <c r="M244" s="26">
        <v>1</v>
      </c>
      <c r="N244" s="26">
        <v>1</v>
      </c>
      <c r="O244" s="26" t="s">
        <v>153</v>
      </c>
      <c r="P244" s="26" t="s">
        <v>139</v>
      </c>
      <c r="Q244" s="26" t="s">
        <v>139</v>
      </c>
      <c r="R244" s="27">
        <v>6448100</v>
      </c>
      <c r="S244" s="27" t="s">
        <v>139</v>
      </c>
      <c r="T244" s="28">
        <v>1</v>
      </c>
      <c r="U244" s="29">
        <f t="shared" si="3"/>
        <v>6448100</v>
      </c>
      <c r="V244" s="29" t="s">
        <v>153</v>
      </c>
      <c r="W244" s="30"/>
      <c r="X244" s="29" t="s">
        <v>82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ht="21" customHeight="1" x14ac:dyDescent="0.3">
      <c r="A245" s="22">
        <v>241</v>
      </c>
      <c r="B245" s="23">
        <v>1</v>
      </c>
      <c r="C245" s="23" t="s">
        <v>34</v>
      </c>
      <c r="D245" s="23" t="str">
        <f>VLOOKUP(C245,'[1]1.CUADRO RESUMEN DE SITIOS '!$C$5:$L$1052,2,FALSE())</f>
        <v>JCOR_00444</v>
      </c>
      <c r="E245" s="24">
        <f>VLOOKUP(C245,'[1]1.CUADRO RESUMEN DE SITIOS '!$C$5:$L$1052,3,FALSE())</f>
        <v>45910</v>
      </c>
      <c r="F245" s="23">
        <f>VLOOKUP(C245,'[1]1.CUADRO RESUMEN DE SITIOS '!$C$5:$L$1052,4,FALSE())</f>
        <v>7.89445</v>
      </c>
      <c r="G245" s="23">
        <f>VLOOKUP(C245,'[1]1.CUADRO RESUMEN DE SITIOS '!$C$5:$L$1052,5,FALSE())</f>
        <v>-75.840069999999997</v>
      </c>
      <c r="H245" s="23" t="str">
        <f>VLOOKUP(C245,'[1]1.CUADRO RESUMEN DE SITIOS '!$C$5:$L$1052,6,FALSE())</f>
        <v>Córdoba</v>
      </c>
      <c r="I245" s="23" t="str">
        <f>VLOOKUP(C245,'[1]1.CUADRO RESUMEN DE SITIOS '!$C$5:$L$1052,7,FALSE())</f>
        <v>WOM</v>
      </c>
      <c r="J245" s="25" t="str">
        <f>VLOOKUP(C245,'[1]1.CUADRO RESUMEN DE SITIOS '!$C$5:$L$1052,8,FALSE())</f>
        <v>COSTA</v>
      </c>
      <c r="K245" s="23" t="str">
        <f>VLOOKUP(C245,'[1]1.CUADRO RESUMEN DE SITIOS '!$C$5:$L$1052,9,FALSE())</f>
        <v>Alfredo de la Cruz</v>
      </c>
      <c r="L245" s="26" t="str">
        <f>VLOOKUP(C245,'[1]1.CUADRO RESUMEN DE SITIOS '!$C$5:$L$1052,10,FALSE())</f>
        <v>Terminado</v>
      </c>
      <c r="M245" s="26">
        <v>1</v>
      </c>
      <c r="N245" s="26">
        <v>1</v>
      </c>
      <c r="O245" s="26" t="s">
        <v>154</v>
      </c>
      <c r="P245" s="26" t="s">
        <v>139</v>
      </c>
      <c r="Q245" s="26" t="s">
        <v>139</v>
      </c>
      <c r="R245" s="27">
        <v>2385487</v>
      </c>
      <c r="S245" s="27" t="s">
        <v>139</v>
      </c>
      <c r="T245" s="28">
        <v>1</v>
      </c>
      <c r="U245" s="29">
        <f t="shared" si="3"/>
        <v>2385487</v>
      </c>
      <c r="V245" s="29" t="s">
        <v>154</v>
      </c>
      <c r="W245" s="30"/>
      <c r="X245" s="29" t="s">
        <v>38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ht="21" customHeight="1" x14ac:dyDescent="0.3">
      <c r="A246" s="22">
        <v>242</v>
      </c>
      <c r="B246" s="23">
        <v>1</v>
      </c>
      <c r="C246" s="23" t="s">
        <v>155</v>
      </c>
      <c r="D246" s="23" t="str">
        <f>VLOOKUP(C246,'[1]1.CUADRO RESUMEN DE SITIOS '!$C$5:$L$1052,2,FALSE())</f>
        <v>S8907</v>
      </c>
      <c r="E246" s="24">
        <f>VLOOKUP(C246,'[1]1.CUADRO RESUMEN DE SITIOS '!$C$5:$L$1052,3,FALSE())</f>
        <v>45989</v>
      </c>
      <c r="F246" s="23">
        <f>VLOOKUP(C246,'[1]1.CUADRO RESUMEN DE SITIOS '!$C$5:$L$1052,4,FALSE())</f>
        <v>343323</v>
      </c>
      <c r="G246" s="23" t="str">
        <f>VLOOKUP(C246,'[1]1.CUADRO RESUMEN DE SITIOS '!$C$5:$L$1052,5,FALSE())</f>
        <v>,-74.9191</v>
      </c>
      <c r="H246" s="23" t="str">
        <f>VLOOKUP(C246,'[1]1.CUADRO RESUMEN DE SITIOS '!$C$5:$L$1052,6,FALSE())</f>
        <v>Tolima</v>
      </c>
      <c r="I246" s="23" t="str">
        <f>VLOOKUP(C246,'[1]1.CUADRO RESUMEN DE SITIOS '!$C$5:$L$1052,7,FALSE())</f>
        <v>UNIRED</v>
      </c>
      <c r="J246" s="25" t="str">
        <f>VLOOKUP(C246,'[1]1.CUADRO RESUMEN DE SITIOS '!$C$5:$L$1052,8,FALSE())</f>
        <v>CENTRO SUR/ NORTE</v>
      </c>
      <c r="K246" s="23" t="str">
        <f>VLOOKUP(C246,'[1]1.CUADRO RESUMEN DE SITIOS '!$C$5:$L$1052,9,FALSE())</f>
        <v>Javier Leonardo Vega</v>
      </c>
      <c r="L246" s="26" t="str">
        <f>VLOOKUP(C246,'[1]1.CUADRO RESUMEN DE SITIOS '!$C$5:$L$1052,10,FALSE())</f>
        <v>Terminado</v>
      </c>
      <c r="M246" s="26">
        <v>1</v>
      </c>
      <c r="N246" s="26">
        <v>1</v>
      </c>
      <c r="O246" s="26" t="s">
        <v>156</v>
      </c>
      <c r="P246" s="26" t="s">
        <v>139</v>
      </c>
      <c r="Q246" s="26" t="s">
        <v>139</v>
      </c>
      <c r="R246" s="27">
        <v>231500</v>
      </c>
      <c r="S246" s="27" t="s">
        <v>139</v>
      </c>
      <c r="T246" s="28">
        <v>1</v>
      </c>
      <c r="U246" s="29">
        <f t="shared" si="3"/>
        <v>231500</v>
      </c>
      <c r="V246" s="29" t="s">
        <v>157</v>
      </c>
      <c r="W246" s="30"/>
      <c r="X246" s="29" t="s">
        <v>82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ht="21" customHeight="1" x14ac:dyDescent="0.3">
      <c r="A247" s="22">
        <v>243</v>
      </c>
      <c r="B247" s="23">
        <v>1</v>
      </c>
      <c r="C247" s="23" t="s">
        <v>158</v>
      </c>
      <c r="D247" s="23" t="str">
        <f>VLOOKUP(C247,'[1]1.CUADRO RESUMEN DE SITIOS '!$C$5:$L$1052,2,FALSE())</f>
        <v>TJA_04043</v>
      </c>
      <c r="E247" s="24">
        <f>VLOOKUP(C247,'[1]1.CUADRO RESUMEN DE SITIOS '!$C$5:$L$1052,3,FALSE())</f>
        <v>45987</v>
      </c>
      <c r="F247" s="23" t="str">
        <f>VLOOKUP(C247,'[1]1.CUADRO RESUMEN DE SITIOS '!$C$5:$L$1052,4,FALSE())</f>
        <v>_5.52439</v>
      </c>
      <c r="G247" s="23" t="str">
        <f>VLOOKUP(C247,'[1]1.CUADRO RESUMEN DE SITIOS '!$C$5:$L$1052,5,FALSE())</f>
        <v>,-74.1655</v>
      </c>
      <c r="H247" s="23" t="str">
        <f>VLOOKUP(C247,'[1]1.CUADRO RESUMEN DE SITIOS '!$C$5:$L$1052,6,FALSE())</f>
        <v>Boyacá</v>
      </c>
      <c r="I247" s="23" t="str">
        <f>VLOOKUP(C247,'[1]1.CUADRO RESUMEN DE SITIOS '!$C$5:$L$1052,7,FALSE())</f>
        <v>WOM-HUAWEI</v>
      </c>
      <c r="J247" s="25" t="str">
        <f>VLOOKUP(C247,'[1]1.CUADRO RESUMEN DE SITIOS '!$C$5:$L$1052,8,FALSE())</f>
        <v>CENTRO SUR/ NORTE</v>
      </c>
      <c r="K247" s="23" t="str">
        <f>VLOOKUP(C247,'[1]1.CUADRO RESUMEN DE SITIOS '!$C$5:$L$1052,9,FALSE())</f>
        <v>Diego Fernando Cepeda</v>
      </c>
      <c r="L247" s="26" t="str">
        <f>VLOOKUP(C247,'[1]1.CUADRO RESUMEN DE SITIOS '!$C$5:$L$1052,10,FALSE())</f>
        <v>Terminado</v>
      </c>
      <c r="M247" s="26">
        <v>8828118943</v>
      </c>
      <c r="N247" s="26">
        <f>VLOOKUP(M247,[1]LPU!$A$2:$G$1512,2,FALSE())</f>
        <v>2.09</v>
      </c>
      <c r="O247" s="26" t="str">
        <f>VLOOKUP(M247,[1]LPU!$A$2:$G$1512,3,FALSE)</f>
        <v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v>
      </c>
      <c r="P247" s="26" t="str">
        <f>VLOOKUP(M247,[1]LPU!$A$2:$G$1512,4,FALSE())</f>
        <v>Mantenimiento Electrico</v>
      </c>
      <c r="Q247" s="26" t="str">
        <f>VLOOKUP(M247,[1]LPU!$A$2:$G$1512,5,FALSE())</f>
        <v>Global</v>
      </c>
      <c r="R247" s="27">
        <f>VLOOKUP(M247,[1]LPU!$A$2:$G$1512,6,FALSE())</f>
        <v>1086294.8999999999</v>
      </c>
      <c r="S247" s="27" t="str">
        <f>VLOOKUP(M247,[1]LPU!$A$2:$G$1512,7,FALSE())</f>
        <v>Mantenimiento Electrico</v>
      </c>
      <c r="T247" s="28">
        <v>1</v>
      </c>
      <c r="U247" s="29">
        <f t="shared" si="3"/>
        <v>1086294.8999999999</v>
      </c>
      <c r="V247" s="29" t="s">
        <v>159</v>
      </c>
      <c r="W247" s="30"/>
      <c r="X247" s="29" t="s">
        <v>38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ht="21" customHeight="1" x14ac:dyDescent="0.3">
      <c r="A248" s="22">
        <v>244</v>
      </c>
      <c r="B248" s="23">
        <v>1</v>
      </c>
      <c r="C248" s="23" t="s">
        <v>158</v>
      </c>
      <c r="D248" s="23" t="str">
        <f>VLOOKUP(C248,'[1]1.CUADRO RESUMEN DE SITIOS '!$C$5:$L$1052,2,FALSE())</f>
        <v>TJA_04043</v>
      </c>
      <c r="E248" s="24">
        <f>VLOOKUP(C248,'[1]1.CUADRO RESUMEN DE SITIOS '!$C$5:$L$1052,3,FALSE())</f>
        <v>45987</v>
      </c>
      <c r="F248" s="23" t="str">
        <f>VLOOKUP(C248,'[1]1.CUADRO RESUMEN DE SITIOS '!$C$5:$L$1052,4,FALSE())</f>
        <v>_5.52439</v>
      </c>
      <c r="G248" s="23" t="str">
        <f>VLOOKUP(C248,'[1]1.CUADRO RESUMEN DE SITIOS '!$C$5:$L$1052,5,FALSE())</f>
        <v>,-74.1655</v>
      </c>
      <c r="H248" s="23" t="str">
        <f>VLOOKUP(C248,'[1]1.CUADRO RESUMEN DE SITIOS '!$C$5:$L$1052,6,FALSE())</f>
        <v>Boyacá</v>
      </c>
      <c r="I248" s="23" t="str">
        <f>VLOOKUP(C248,'[1]1.CUADRO RESUMEN DE SITIOS '!$C$5:$L$1052,7,FALSE())</f>
        <v>WOM-HUAWEI</v>
      </c>
      <c r="J248" s="25" t="str">
        <f>VLOOKUP(C248,'[1]1.CUADRO RESUMEN DE SITIOS '!$C$5:$L$1052,8,FALSE())</f>
        <v>CENTRO SUR/ NORTE</v>
      </c>
      <c r="K248" s="23" t="str">
        <f>VLOOKUP(C248,'[1]1.CUADRO RESUMEN DE SITIOS '!$C$5:$L$1052,9,FALSE())</f>
        <v>Diego Fernando Cepeda</v>
      </c>
      <c r="L248" s="26" t="str">
        <f>VLOOKUP(C248,'[1]1.CUADRO RESUMEN DE SITIOS '!$C$5:$L$1052,10,FALSE())</f>
        <v>Terminado</v>
      </c>
      <c r="M248" s="26">
        <v>8828119110</v>
      </c>
      <c r="N248" s="26">
        <f>VLOOKUP(M248,[1]LPU!$A$2:$G$1512,2,FALSE())</f>
        <v>107</v>
      </c>
      <c r="O248" s="26" t="str">
        <f>VLOOKUP(M248,[1]LPU!$A$2:$G$1512,3,FALSE)</f>
        <v>Mano de Obra Tecnico Electricista Certficado CONTE</v>
      </c>
      <c r="P248" s="26" t="str">
        <f>VLOOKUP(M248,[1]LPU!$A$2:$G$1512,4,FALSE())</f>
        <v>ENERGÍA</v>
      </c>
      <c r="Q248" s="26" t="str">
        <f>VLOOKUP(M248,[1]LPU!$A$2:$G$1512,5,FALSE())</f>
        <v>DIA</v>
      </c>
      <c r="R248" s="27">
        <f>VLOOKUP(M248,[1]LPU!$A$2:$G$1512,6,FALSE())</f>
        <v>136000</v>
      </c>
      <c r="S248" s="27" t="str">
        <f>VLOOKUP(M248,[1]LPU!$A$2:$G$1512,7,FALSE())</f>
        <v>LPU FLM</v>
      </c>
      <c r="T248" s="28">
        <v>1</v>
      </c>
      <c r="U248" s="29">
        <f t="shared" si="3"/>
        <v>136000</v>
      </c>
      <c r="V248" s="29" t="s">
        <v>159</v>
      </c>
      <c r="W248" s="30"/>
      <c r="X248" s="29" t="s">
        <v>38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ht="21" customHeight="1" x14ac:dyDescent="0.3">
      <c r="A249" s="22">
        <v>245</v>
      </c>
      <c r="B249" s="23">
        <v>1</v>
      </c>
      <c r="C249" s="23" t="s">
        <v>158</v>
      </c>
      <c r="D249" s="23" t="str">
        <f>VLOOKUP(C249,'[1]1.CUADRO RESUMEN DE SITIOS '!$C$5:$L$1052,2,FALSE())</f>
        <v>TJA_04043</v>
      </c>
      <c r="E249" s="24">
        <f>VLOOKUP(C249,'[1]1.CUADRO RESUMEN DE SITIOS '!$C$5:$L$1052,3,FALSE())</f>
        <v>45987</v>
      </c>
      <c r="F249" s="23" t="str">
        <f>VLOOKUP(C249,'[1]1.CUADRO RESUMEN DE SITIOS '!$C$5:$L$1052,4,FALSE())</f>
        <v>_5.52439</v>
      </c>
      <c r="G249" s="23" t="str">
        <f>VLOOKUP(C249,'[1]1.CUADRO RESUMEN DE SITIOS '!$C$5:$L$1052,5,FALSE())</f>
        <v>,-74.1655</v>
      </c>
      <c r="H249" s="23" t="str">
        <f>VLOOKUP(C249,'[1]1.CUADRO RESUMEN DE SITIOS '!$C$5:$L$1052,6,FALSE())</f>
        <v>Boyacá</v>
      </c>
      <c r="I249" s="23" t="str">
        <f>VLOOKUP(C249,'[1]1.CUADRO RESUMEN DE SITIOS '!$C$5:$L$1052,7,FALSE())</f>
        <v>WOM-HUAWEI</v>
      </c>
      <c r="J249" s="25" t="str">
        <f>VLOOKUP(C249,'[1]1.CUADRO RESUMEN DE SITIOS '!$C$5:$L$1052,8,FALSE())</f>
        <v>CENTRO SUR/ NORTE</v>
      </c>
      <c r="K249" s="23" t="str">
        <f>VLOOKUP(C249,'[1]1.CUADRO RESUMEN DE SITIOS '!$C$5:$L$1052,9,FALSE())</f>
        <v>Diego Fernando Cepeda</v>
      </c>
      <c r="L249" s="26" t="str">
        <f>VLOOKUP(C249,'[1]1.CUADRO RESUMEN DE SITIOS '!$C$5:$L$1052,10,FALSE())</f>
        <v>Terminado</v>
      </c>
      <c r="M249" s="26">
        <v>8828119921</v>
      </c>
      <c r="N249" s="26">
        <f>VLOOKUP(M249,[1]LPU!$A$2:$G$1512,2,FALSE())</f>
        <v>163</v>
      </c>
      <c r="O249" s="26" t="str">
        <f>VLOOKUP(M249,[1]LPU!$A$2:$G$1512,3,FALSE)</f>
        <v>Tansporte tipo A, ciudad principal y área metropolitana</v>
      </c>
      <c r="P249" s="26" t="str">
        <f>VLOOKUP(M249,[1]LPU!$A$2:$G$1512,4,FALSE())</f>
        <v>LOCATIVO</v>
      </c>
      <c r="Q249" s="26" t="str">
        <f>VLOOKUP(M249,[1]LPU!$A$2:$G$1512,5,FALSE())</f>
        <v>Global</v>
      </c>
      <c r="R249" s="27">
        <f>VLOOKUP(M249,[1]LPU!$A$2:$G$1512,6,FALSE())</f>
        <v>133571.54999999999</v>
      </c>
      <c r="S249" s="27" t="str">
        <f>VLOOKUP(M249,[1]LPU!$A$2:$G$1512,7,FALSE())</f>
        <v>LPU FLM</v>
      </c>
      <c r="T249" s="28">
        <v>1</v>
      </c>
      <c r="U249" s="29">
        <f t="shared" si="3"/>
        <v>133571.54999999999</v>
      </c>
      <c r="V249" s="29" t="s">
        <v>159</v>
      </c>
      <c r="W249" s="30"/>
      <c r="X249" s="29" t="s">
        <v>38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ht="21" customHeight="1" x14ac:dyDescent="0.3">
      <c r="A250" s="22">
        <v>246</v>
      </c>
      <c r="B250" s="23">
        <v>1</v>
      </c>
      <c r="C250" s="23" t="s">
        <v>160</v>
      </c>
      <c r="D250" s="23" t="str">
        <f>VLOOKUP(C250,'[1]1.CUADRO RESUMEN DE SITIOS '!$C$5:$L$1052,2,FALSE())</f>
        <v>JHUI_00112</v>
      </c>
      <c r="E250" s="24">
        <f>VLOOKUP(C250,'[1]1.CUADRO RESUMEN DE SITIOS '!$C$5:$L$1052,3,FALSE())</f>
        <v>45996</v>
      </c>
      <c r="F250" s="23">
        <f>VLOOKUP(C250,'[1]1.CUADRO RESUMEN DE SITIOS '!$C$5:$L$1052,4,FALSE())</f>
        <v>2.94374</v>
      </c>
      <c r="G250" s="23">
        <f>VLOOKUP(C250,'[1]1.CUADRO RESUMEN DE SITIOS '!$C$5:$L$1052,5,FALSE())</f>
        <v>-75.018519999999995</v>
      </c>
      <c r="H250" s="23" t="str">
        <f>VLOOKUP(C250,'[1]1.CUADRO RESUMEN DE SITIOS '!$C$5:$L$1052,6,FALSE())</f>
        <v>Huila</v>
      </c>
      <c r="I250" s="23" t="str">
        <f>VLOOKUP(C250,'[1]1.CUADRO RESUMEN DE SITIOS '!$C$5:$L$1052,7,FALSE())</f>
        <v>WOM-HUAWEI</v>
      </c>
      <c r="J250" s="25" t="str">
        <f>VLOOKUP(C250,'[1]1.CUADRO RESUMEN DE SITIOS '!$C$5:$L$1052,8,FALSE())</f>
        <v>CENTRO SUR/ NORTE</v>
      </c>
      <c r="K250" s="23" t="str">
        <f>VLOOKUP(C250,'[1]1.CUADRO RESUMEN DE SITIOS '!$C$5:$L$1052,9,FALSE())</f>
        <v>Alejandro Sanchez</v>
      </c>
      <c r="L250" s="26" t="str">
        <f>VLOOKUP(C250,'[1]1.CUADRO RESUMEN DE SITIOS '!$C$5:$L$1052,10,FALSE())</f>
        <v>Terminado</v>
      </c>
      <c r="M250" s="26">
        <v>8828119264</v>
      </c>
      <c r="N250" s="26">
        <f>VLOOKUP(M250,[1]LPU!$A$2:$G$1512,2,FALSE())</f>
        <v>378</v>
      </c>
      <c r="O250" s="26" t="str">
        <f>VLOOKUP(M250,[1]LPU!$A$2:$G$1512,3,FALSE)</f>
        <v>TRANSFORMADOR 10 KVA BIFASICO 13.2KV / 220 V N2 23</v>
      </c>
      <c r="P250" s="26" t="str">
        <f>VLOOKUP(M250,[1]LPU!$A$2:$G$1512,4,FALSE())</f>
        <v>Nivel 2</v>
      </c>
      <c r="Q250" s="26" t="str">
        <f>VLOOKUP(M250,[1]LPU!$A$2:$G$1512,5,FALSE())</f>
        <v>Uni</v>
      </c>
      <c r="R250" s="27">
        <f>VLOOKUP(M250,[1]LPU!$A$2:$G$1512,6,FALSE())</f>
        <v>4767149</v>
      </c>
      <c r="S250" s="27" t="str">
        <f>VLOOKUP(M250,[1]LPU!$A$2:$G$1512,7,FALSE())</f>
        <v>N2</v>
      </c>
      <c r="T250" s="28">
        <v>1</v>
      </c>
      <c r="U250" s="29">
        <f t="shared" si="3"/>
        <v>4767149</v>
      </c>
      <c r="V250" s="29" t="s">
        <v>161</v>
      </c>
      <c r="W250" s="30"/>
      <c r="X250" s="29" t="s">
        <v>38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ht="21" customHeight="1" x14ac:dyDescent="0.3">
      <c r="A251" s="22">
        <v>247</v>
      </c>
      <c r="B251" s="23">
        <v>1</v>
      </c>
      <c r="C251" s="23" t="s">
        <v>160</v>
      </c>
      <c r="D251" s="23" t="str">
        <f>VLOOKUP(C251,'[1]1.CUADRO RESUMEN DE SITIOS '!$C$5:$L$1052,2,FALSE())</f>
        <v>JHUI_00112</v>
      </c>
      <c r="E251" s="24">
        <f>VLOOKUP(C251,'[1]1.CUADRO RESUMEN DE SITIOS '!$C$5:$L$1052,3,FALSE())</f>
        <v>45996</v>
      </c>
      <c r="F251" s="23">
        <f>VLOOKUP(C251,'[1]1.CUADRO RESUMEN DE SITIOS '!$C$5:$L$1052,4,FALSE())</f>
        <v>2.94374</v>
      </c>
      <c r="G251" s="23">
        <f>VLOOKUP(C251,'[1]1.CUADRO RESUMEN DE SITIOS '!$C$5:$L$1052,5,FALSE())</f>
        <v>-75.018519999999995</v>
      </c>
      <c r="H251" s="23" t="str">
        <f>VLOOKUP(C251,'[1]1.CUADRO RESUMEN DE SITIOS '!$C$5:$L$1052,6,FALSE())</f>
        <v>Huila</v>
      </c>
      <c r="I251" s="23" t="str">
        <f>VLOOKUP(C251,'[1]1.CUADRO RESUMEN DE SITIOS '!$C$5:$L$1052,7,FALSE())</f>
        <v>WOM-HUAWEI</v>
      </c>
      <c r="J251" s="25" t="str">
        <f>VLOOKUP(C251,'[1]1.CUADRO RESUMEN DE SITIOS '!$C$5:$L$1052,8,FALSE())</f>
        <v>CENTRO SUR/ NORTE</v>
      </c>
      <c r="K251" s="23" t="str">
        <f>VLOOKUP(C251,'[1]1.CUADRO RESUMEN DE SITIOS '!$C$5:$L$1052,9,FALSE())</f>
        <v>Alejandro Sanchez</v>
      </c>
      <c r="L251" s="26" t="str">
        <f>VLOOKUP(C251,'[1]1.CUADRO RESUMEN DE SITIOS '!$C$5:$L$1052,10,FALSE())</f>
        <v>Terminado</v>
      </c>
      <c r="M251" s="26">
        <v>8828119146</v>
      </c>
      <c r="N251" s="26">
        <f>VLOOKUP(M251,[1]LPU!$A$2:$G$1512,2,FALSE())</f>
        <v>1.05</v>
      </c>
      <c r="O251" s="26" t="str">
        <f>VLOOKUP(M251,[1]LPU!$A$2:$G$1512,3,FALSE)</f>
        <v>Desconexión y desmonte de transformador existente de hasta 75 kVA, en frio (Con red desenergizada), transporte de personal y herramienta necesaria, limpieza de zona de trabajo.</v>
      </c>
      <c r="P251" s="26" t="str">
        <f>VLOOKUP(M251,[1]LPU!$A$2:$G$1512,4,FALSE())</f>
        <v>Mantenimiento Electrico</v>
      </c>
      <c r="Q251" s="26" t="str">
        <f>VLOOKUP(M251,[1]LPU!$A$2:$G$1512,5,FALSE())</f>
        <v>UN</v>
      </c>
      <c r="R251" s="27">
        <f>VLOOKUP(M251,[1]LPU!$A$2:$G$1512,6,FALSE())</f>
        <v>362993.35</v>
      </c>
      <c r="S251" s="27" t="str">
        <f>VLOOKUP(M251,[1]LPU!$A$2:$G$1512,7,FALSE())</f>
        <v>Mantenimiento Electrico</v>
      </c>
      <c r="T251" s="28">
        <v>1</v>
      </c>
      <c r="U251" s="29">
        <f t="shared" si="3"/>
        <v>362993.35</v>
      </c>
      <c r="V251" s="29" t="s">
        <v>161</v>
      </c>
      <c r="W251" s="30"/>
      <c r="X251" s="29" t="s">
        <v>38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ht="21" customHeight="1" x14ac:dyDescent="0.3">
      <c r="A252" s="22">
        <v>248</v>
      </c>
      <c r="B252" s="23">
        <v>1</v>
      </c>
      <c r="C252" s="23" t="s">
        <v>160</v>
      </c>
      <c r="D252" s="23" t="str">
        <f>VLOOKUP(C252,'[1]1.CUADRO RESUMEN DE SITIOS '!$C$5:$L$1052,2,FALSE())</f>
        <v>JHUI_00112</v>
      </c>
      <c r="E252" s="24">
        <f>VLOOKUP(C252,'[1]1.CUADRO RESUMEN DE SITIOS '!$C$5:$L$1052,3,FALSE())</f>
        <v>45996</v>
      </c>
      <c r="F252" s="23">
        <f>VLOOKUP(C252,'[1]1.CUADRO RESUMEN DE SITIOS '!$C$5:$L$1052,4,FALSE())</f>
        <v>2.94374</v>
      </c>
      <c r="G252" s="23">
        <f>VLOOKUP(C252,'[1]1.CUADRO RESUMEN DE SITIOS '!$C$5:$L$1052,5,FALSE())</f>
        <v>-75.018519999999995</v>
      </c>
      <c r="H252" s="23" t="str">
        <f>VLOOKUP(C252,'[1]1.CUADRO RESUMEN DE SITIOS '!$C$5:$L$1052,6,FALSE())</f>
        <v>Huila</v>
      </c>
      <c r="I252" s="23" t="str">
        <f>VLOOKUP(C252,'[1]1.CUADRO RESUMEN DE SITIOS '!$C$5:$L$1052,7,FALSE())</f>
        <v>WOM-HUAWEI</v>
      </c>
      <c r="J252" s="25" t="str">
        <f>VLOOKUP(C252,'[1]1.CUADRO RESUMEN DE SITIOS '!$C$5:$L$1052,8,FALSE())</f>
        <v>CENTRO SUR/ NORTE</v>
      </c>
      <c r="K252" s="23" t="str">
        <f>VLOOKUP(C252,'[1]1.CUADRO RESUMEN DE SITIOS '!$C$5:$L$1052,9,FALSE())</f>
        <v>Alejandro Sanchez</v>
      </c>
      <c r="L252" s="26" t="str">
        <f>VLOOKUP(C252,'[1]1.CUADRO RESUMEN DE SITIOS '!$C$5:$L$1052,10,FALSE())</f>
        <v>Terminado</v>
      </c>
      <c r="M252" s="26">
        <v>8828118979</v>
      </c>
      <c r="N252" s="26">
        <f>VLOOKUP(M252,[1]LPU!$A$2:$G$1512,2,FALSE())</f>
        <v>157</v>
      </c>
      <c r="O252" s="26" t="str">
        <f>VLOOKUP(M252,[1]LPU!$A$2:$G$1512,3,FALSE)</f>
        <v>PARARRAYOS DE 13 2 KV N2 23</v>
      </c>
      <c r="P252" s="26" t="str">
        <f>VLOOKUP(M252,[1]LPU!$A$2:$G$1512,4,FALSE())</f>
        <v>Nivel 2</v>
      </c>
      <c r="Q252" s="26" t="str">
        <f>VLOOKUP(M252,[1]LPU!$A$2:$G$1512,5,FALSE())</f>
        <v>Uni</v>
      </c>
      <c r="R252" s="27">
        <f>VLOOKUP(M252,[1]LPU!$A$2:$G$1512,6,FALSE())</f>
        <v>397488</v>
      </c>
      <c r="S252" s="27" t="str">
        <f>VLOOKUP(M252,[1]LPU!$A$2:$G$1512,7,FALSE())</f>
        <v>N2</v>
      </c>
      <c r="T252" s="28">
        <v>2</v>
      </c>
      <c r="U252" s="29">
        <f t="shared" si="3"/>
        <v>794976</v>
      </c>
      <c r="V252" s="29" t="s">
        <v>161</v>
      </c>
      <c r="W252" s="30"/>
      <c r="X252" s="29" t="s">
        <v>38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ht="21" customHeight="1" x14ac:dyDescent="0.3">
      <c r="A253" s="22">
        <v>249</v>
      </c>
      <c r="B253" s="23">
        <v>1</v>
      </c>
      <c r="C253" s="23" t="s">
        <v>160</v>
      </c>
      <c r="D253" s="23" t="str">
        <f>VLOOKUP(C253,'[1]1.CUADRO RESUMEN DE SITIOS '!$C$5:$L$1052,2,FALSE())</f>
        <v>JHUI_00112</v>
      </c>
      <c r="E253" s="24">
        <f>VLOOKUP(C253,'[1]1.CUADRO RESUMEN DE SITIOS '!$C$5:$L$1052,3,FALSE())</f>
        <v>45996</v>
      </c>
      <c r="F253" s="23">
        <f>VLOOKUP(C253,'[1]1.CUADRO RESUMEN DE SITIOS '!$C$5:$L$1052,4,FALSE())</f>
        <v>2.94374</v>
      </c>
      <c r="G253" s="23">
        <f>VLOOKUP(C253,'[1]1.CUADRO RESUMEN DE SITIOS '!$C$5:$L$1052,5,FALSE())</f>
        <v>-75.018519999999995</v>
      </c>
      <c r="H253" s="23" t="str">
        <f>VLOOKUP(C253,'[1]1.CUADRO RESUMEN DE SITIOS '!$C$5:$L$1052,6,FALSE())</f>
        <v>Huila</v>
      </c>
      <c r="I253" s="23" t="str">
        <f>VLOOKUP(C253,'[1]1.CUADRO RESUMEN DE SITIOS '!$C$5:$L$1052,7,FALSE())</f>
        <v>WOM-HUAWEI</v>
      </c>
      <c r="J253" s="25" t="str">
        <f>VLOOKUP(C253,'[1]1.CUADRO RESUMEN DE SITIOS '!$C$5:$L$1052,8,FALSE())</f>
        <v>CENTRO SUR/ NORTE</v>
      </c>
      <c r="K253" s="23" t="str">
        <f>VLOOKUP(C253,'[1]1.CUADRO RESUMEN DE SITIOS '!$C$5:$L$1052,9,FALSE())</f>
        <v>Alejandro Sanchez</v>
      </c>
      <c r="L253" s="26" t="str">
        <f>VLOOKUP(C253,'[1]1.CUADRO RESUMEN DE SITIOS '!$C$5:$L$1052,10,FALSE())</f>
        <v>Terminado</v>
      </c>
      <c r="M253" s="26">
        <v>8828119941</v>
      </c>
      <c r="N253" s="26">
        <f>VLOOKUP(M253,[1]LPU!$A$2:$G$1512,2,FALSE())</f>
        <v>165</v>
      </c>
      <c r="O253" s="26" t="str">
        <f>VLOOKUP(M253,[1]LPU!$A$2:$G$1512,3,FALSE)</f>
        <v>Transporte tipo C, zona de dificil acceso</v>
      </c>
      <c r="P253" s="26" t="str">
        <f>VLOOKUP(M253,[1]LPU!$A$2:$G$1512,4,FALSE())</f>
        <v>LOCATIVO</v>
      </c>
      <c r="Q253" s="26" t="str">
        <f>VLOOKUP(M253,[1]LPU!$A$2:$G$1512,5,FALSE())</f>
        <v>Global</v>
      </c>
      <c r="R253" s="27">
        <f>VLOOKUP(M253,[1]LPU!$A$2:$G$1512,6,FALSE())</f>
        <v>388801.05</v>
      </c>
      <c r="S253" s="27" t="str">
        <f>VLOOKUP(M253,[1]LPU!$A$2:$G$1512,7,FALSE())</f>
        <v>LPU FLM</v>
      </c>
      <c r="T253" s="28">
        <v>1</v>
      </c>
      <c r="U253" s="29">
        <f t="shared" si="3"/>
        <v>388801.05</v>
      </c>
      <c r="V253" s="29" t="s">
        <v>161</v>
      </c>
      <c r="W253" s="30"/>
      <c r="X253" s="29" t="s">
        <v>38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ht="21" customHeight="1" x14ac:dyDescent="0.3">
      <c r="A254" s="22">
        <v>250</v>
      </c>
      <c r="B254" s="23">
        <v>1</v>
      </c>
      <c r="C254" s="23" t="s">
        <v>160</v>
      </c>
      <c r="D254" s="23" t="str">
        <f>VLOOKUP(C254,'[1]1.CUADRO RESUMEN DE SITIOS '!$C$5:$L$1052,2,FALSE())</f>
        <v>JHUI_00112</v>
      </c>
      <c r="E254" s="24">
        <f>VLOOKUP(C254,'[1]1.CUADRO RESUMEN DE SITIOS '!$C$5:$L$1052,3,FALSE())</f>
        <v>45996</v>
      </c>
      <c r="F254" s="23">
        <f>VLOOKUP(C254,'[1]1.CUADRO RESUMEN DE SITIOS '!$C$5:$L$1052,4,FALSE())</f>
        <v>2.94374</v>
      </c>
      <c r="G254" s="23">
        <f>VLOOKUP(C254,'[1]1.CUADRO RESUMEN DE SITIOS '!$C$5:$L$1052,5,FALSE())</f>
        <v>-75.018519999999995</v>
      </c>
      <c r="H254" s="23" t="str">
        <f>VLOOKUP(C254,'[1]1.CUADRO RESUMEN DE SITIOS '!$C$5:$L$1052,6,FALSE())</f>
        <v>Huila</v>
      </c>
      <c r="I254" s="23" t="str">
        <f>VLOOKUP(C254,'[1]1.CUADRO RESUMEN DE SITIOS '!$C$5:$L$1052,7,FALSE())</f>
        <v>WOM-HUAWEI</v>
      </c>
      <c r="J254" s="25" t="str">
        <f>VLOOKUP(C254,'[1]1.CUADRO RESUMEN DE SITIOS '!$C$5:$L$1052,8,FALSE())</f>
        <v>CENTRO SUR/ NORTE</v>
      </c>
      <c r="K254" s="23" t="str">
        <f>VLOOKUP(C254,'[1]1.CUADRO RESUMEN DE SITIOS '!$C$5:$L$1052,9,FALSE())</f>
        <v>Alejandro Sanchez</v>
      </c>
      <c r="L254" s="26" t="str">
        <f>VLOOKUP(C254,'[1]1.CUADRO RESUMEN DE SITIOS '!$C$5:$L$1052,10,FALSE())</f>
        <v>Terminado</v>
      </c>
      <c r="M254" s="26">
        <v>8828119110</v>
      </c>
      <c r="N254" s="26">
        <f>VLOOKUP(M254,[1]LPU!$A$2:$G$1512,2,FALSE())</f>
        <v>107</v>
      </c>
      <c r="O254" s="26" t="str">
        <f>VLOOKUP(M254,[1]LPU!$A$2:$G$1512,3,FALSE)</f>
        <v>Mano de Obra Tecnico Electricista Certficado CONTE</v>
      </c>
      <c r="P254" s="26" t="str">
        <f>VLOOKUP(M254,[1]LPU!$A$2:$G$1512,4,FALSE())</f>
        <v>ENERGÍA</v>
      </c>
      <c r="Q254" s="26" t="str">
        <f>VLOOKUP(M254,[1]LPU!$A$2:$G$1512,5,FALSE())</f>
        <v>DIA</v>
      </c>
      <c r="R254" s="27">
        <f>VLOOKUP(M254,[1]LPU!$A$2:$G$1512,6,FALSE())</f>
        <v>136000</v>
      </c>
      <c r="S254" s="27" t="str">
        <f>VLOOKUP(M254,[1]LPU!$A$2:$G$1512,7,FALSE())</f>
        <v>LPU FLM</v>
      </c>
      <c r="T254" s="28">
        <v>1</v>
      </c>
      <c r="U254" s="29">
        <f t="shared" si="3"/>
        <v>136000</v>
      </c>
      <c r="V254" s="29" t="s">
        <v>161</v>
      </c>
      <c r="W254" s="30"/>
      <c r="X254" s="29" t="s">
        <v>38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ht="21" customHeight="1" x14ac:dyDescent="0.3">
      <c r="A255" s="22">
        <v>251</v>
      </c>
      <c r="B255" s="23">
        <v>1</v>
      </c>
      <c r="C255" s="23" t="s">
        <v>160</v>
      </c>
      <c r="D255" s="23" t="str">
        <f>VLOOKUP(C255,'[1]1.CUADRO RESUMEN DE SITIOS '!$C$5:$L$1052,2,FALSE())</f>
        <v>JHUI_00112</v>
      </c>
      <c r="E255" s="24">
        <f>VLOOKUP(C255,'[1]1.CUADRO RESUMEN DE SITIOS '!$C$5:$L$1052,3,FALSE())</f>
        <v>45996</v>
      </c>
      <c r="F255" s="23">
        <f>VLOOKUP(C255,'[1]1.CUADRO RESUMEN DE SITIOS '!$C$5:$L$1052,4,FALSE())</f>
        <v>2.94374</v>
      </c>
      <c r="G255" s="23">
        <f>VLOOKUP(C255,'[1]1.CUADRO RESUMEN DE SITIOS '!$C$5:$L$1052,5,FALSE())</f>
        <v>-75.018519999999995</v>
      </c>
      <c r="H255" s="23" t="str">
        <f>VLOOKUP(C255,'[1]1.CUADRO RESUMEN DE SITIOS '!$C$5:$L$1052,6,FALSE())</f>
        <v>Huila</v>
      </c>
      <c r="I255" s="23" t="str">
        <f>VLOOKUP(C255,'[1]1.CUADRO RESUMEN DE SITIOS '!$C$5:$L$1052,7,FALSE())</f>
        <v>WOM-HUAWEI</v>
      </c>
      <c r="J255" s="25" t="str">
        <f>VLOOKUP(C255,'[1]1.CUADRO RESUMEN DE SITIOS '!$C$5:$L$1052,8,FALSE())</f>
        <v>CENTRO SUR/ NORTE</v>
      </c>
      <c r="K255" s="23" t="str">
        <f>VLOOKUP(C255,'[1]1.CUADRO RESUMEN DE SITIOS '!$C$5:$L$1052,9,FALSE())</f>
        <v>Alejandro Sanchez</v>
      </c>
      <c r="L255" s="26" t="str">
        <f>VLOOKUP(C255,'[1]1.CUADRO RESUMEN DE SITIOS '!$C$5:$L$1052,10,FALSE())</f>
        <v>Terminado</v>
      </c>
      <c r="M255" s="26">
        <v>8828120200</v>
      </c>
      <c r="N255" s="26">
        <f>VLOOKUP(M255,[1]LPU!$A$2:$G$1512,2,FALSE())</f>
        <v>57</v>
      </c>
      <c r="O255" s="26" t="str">
        <f>VLOOKUP(M255,[1]LPU!$A$2:$G$1512,3,FALSE)</f>
        <v>Apertura y Cierre de Cañuelas incluye Fusible</v>
      </c>
      <c r="P255" s="26" t="str">
        <f>VLOOKUP(M255,[1]LPU!$A$2:$G$1512,4,FALSE())</f>
        <v>ENERGÍA</v>
      </c>
      <c r="Q255" s="26" t="str">
        <f>VLOOKUP(M255,[1]LPU!$A$2:$G$1512,5,FALSE())</f>
        <v>U</v>
      </c>
      <c r="R255" s="27">
        <f>VLOOKUP(M255,[1]LPU!$A$2:$G$1512,6,FALSE())</f>
        <v>51840</v>
      </c>
      <c r="S255" s="27" t="str">
        <f>VLOOKUP(M255,[1]LPU!$A$2:$G$1512,7,FALSE())</f>
        <v>LPU FLM</v>
      </c>
      <c r="T255" s="28">
        <v>4</v>
      </c>
      <c r="U255" s="29">
        <f t="shared" si="3"/>
        <v>207360</v>
      </c>
      <c r="V255" s="29" t="s">
        <v>161</v>
      </c>
      <c r="W255" s="30"/>
      <c r="X255" s="29" t="s">
        <v>38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ht="21" customHeight="1" x14ac:dyDescent="0.3">
      <c r="A256" s="22">
        <v>252</v>
      </c>
      <c r="B256" s="23">
        <v>1</v>
      </c>
      <c r="C256" s="23" t="s">
        <v>160</v>
      </c>
      <c r="D256" s="23" t="str">
        <f>VLOOKUP(C256,'[1]1.CUADRO RESUMEN DE SITIOS '!$C$5:$L$1052,2,FALSE())</f>
        <v>JHUI_00112</v>
      </c>
      <c r="E256" s="24">
        <f>VLOOKUP(C256,'[1]1.CUADRO RESUMEN DE SITIOS '!$C$5:$L$1052,3,FALSE())</f>
        <v>45996</v>
      </c>
      <c r="F256" s="23">
        <f>VLOOKUP(C256,'[1]1.CUADRO RESUMEN DE SITIOS '!$C$5:$L$1052,4,FALSE())</f>
        <v>2.94374</v>
      </c>
      <c r="G256" s="23">
        <f>VLOOKUP(C256,'[1]1.CUADRO RESUMEN DE SITIOS '!$C$5:$L$1052,5,FALSE())</f>
        <v>-75.018519999999995</v>
      </c>
      <c r="H256" s="23" t="str">
        <f>VLOOKUP(C256,'[1]1.CUADRO RESUMEN DE SITIOS '!$C$5:$L$1052,6,FALSE())</f>
        <v>Huila</v>
      </c>
      <c r="I256" s="23" t="str">
        <f>VLOOKUP(C256,'[1]1.CUADRO RESUMEN DE SITIOS '!$C$5:$L$1052,7,FALSE())</f>
        <v>WOM-HUAWEI</v>
      </c>
      <c r="J256" s="25" t="str">
        <f>VLOOKUP(C256,'[1]1.CUADRO RESUMEN DE SITIOS '!$C$5:$L$1052,8,FALSE())</f>
        <v>CENTRO SUR/ NORTE</v>
      </c>
      <c r="K256" s="23" t="str">
        <f>VLOOKUP(C256,'[1]1.CUADRO RESUMEN DE SITIOS '!$C$5:$L$1052,9,FALSE())</f>
        <v>Alejandro Sanchez</v>
      </c>
      <c r="L256" s="26" t="str">
        <f>VLOOKUP(C256,'[1]1.CUADRO RESUMEN DE SITIOS '!$C$5:$L$1052,10,FALSE())</f>
        <v>Terminado</v>
      </c>
      <c r="M256" s="26">
        <v>8828119360</v>
      </c>
      <c r="N256" s="26">
        <f>VLOOKUP(M256,[1]LPU!$A$2:$G$1512,2,FALSE())</f>
        <v>387</v>
      </c>
      <c r="O256" s="26" t="str">
        <f>VLOOKUP(M256,[1]LPU!$A$2:$G$1512,3,FALSE)</f>
        <v>TRANSPORTE TRANSFORMADOR 10KVA ZONA 2 N2 23</v>
      </c>
      <c r="P256" s="26" t="str">
        <f>VLOOKUP(M256,[1]LPU!$A$2:$G$1512,4,FALSE())</f>
        <v>Nivel 2</v>
      </c>
      <c r="Q256" s="26" t="str">
        <f>VLOOKUP(M256,[1]LPU!$A$2:$G$1512,5,FALSE())</f>
        <v>GL</v>
      </c>
      <c r="R256" s="27">
        <f>VLOOKUP(M256,[1]LPU!$A$2:$G$1512,6,FALSE())</f>
        <v>374680</v>
      </c>
      <c r="S256" s="27" t="str">
        <f>VLOOKUP(M256,[1]LPU!$A$2:$G$1512,7,FALSE())</f>
        <v>N2</v>
      </c>
      <c r="T256" s="28">
        <v>1</v>
      </c>
      <c r="U256" s="29">
        <f t="shared" si="3"/>
        <v>374680</v>
      </c>
      <c r="V256" s="29" t="s">
        <v>161</v>
      </c>
      <c r="W256" s="30"/>
      <c r="X256" s="29" t="s">
        <v>38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ht="21" customHeight="1" x14ac:dyDescent="0.3">
      <c r="A257" s="22">
        <v>253</v>
      </c>
      <c r="B257" s="23">
        <v>1</v>
      </c>
      <c r="C257" s="23" t="s">
        <v>112</v>
      </c>
      <c r="D257" s="23" t="str">
        <f>VLOOKUP(C257,'[1]1.CUADRO RESUMEN DE SITIOS '!$C$5:$L$1052,2,FALSE())</f>
        <v>JANT_00227</v>
      </c>
      <c r="E257" s="24">
        <f>VLOOKUP(C257,'[1]1.CUADRO RESUMEN DE SITIOS '!$C$5:$L$1052,3,FALSE())</f>
        <v>45999</v>
      </c>
      <c r="F257" s="23">
        <f>VLOOKUP(C257,'[1]1.CUADRO RESUMEN DE SITIOS '!$C$5:$L$1052,4,FALSE())</f>
        <v>8.7185000000000006</v>
      </c>
      <c r="G257" s="23">
        <f>VLOOKUP(C257,'[1]1.CUADRO RESUMEN DE SITIOS '!$C$5:$L$1052,5,FALSE())</f>
        <v>-76.595399999999998</v>
      </c>
      <c r="H257" s="23" t="str">
        <f>VLOOKUP(C257,'[1]1.CUADRO RESUMEN DE SITIOS '!$C$5:$L$1052,6,FALSE())</f>
        <v>Antioquia</v>
      </c>
      <c r="I257" s="23" t="str">
        <f>VLOOKUP(C257,'[1]1.CUADRO RESUMEN DE SITIOS '!$C$5:$L$1052,7,FALSE())</f>
        <v>WOM-HUAWEI</v>
      </c>
      <c r="J257" s="25" t="str">
        <f>VLOOKUP(C257,'[1]1.CUADRO RESUMEN DE SITIOS '!$C$5:$L$1052,8,FALSE())</f>
        <v>NOROCCIDENTE</v>
      </c>
      <c r="K257" s="23" t="str">
        <f>VLOOKUP(C257,'[1]1.CUADRO RESUMEN DE SITIOS '!$C$5:$L$1052,9,FALSE())</f>
        <v>Alejandro Sanchez</v>
      </c>
      <c r="L257" s="26" t="str">
        <f>VLOOKUP(C257,'[1]1.CUADRO RESUMEN DE SITIOS '!$C$5:$L$1052,10,FALSE())</f>
        <v>Terminado</v>
      </c>
      <c r="M257" s="26">
        <v>1</v>
      </c>
      <c r="N257" s="26">
        <v>0</v>
      </c>
      <c r="O257" s="26" t="s">
        <v>162</v>
      </c>
      <c r="P257" s="26" t="s">
        <v>163</v>
      </c>
      <c r="Q257" s="26" t="s">
        <v>164</v>
      </c>
      <c r="R257" s="27">
        <v>4945.17</v>
      </c>
      <c r="S257" s="27" t="s">
        <v>165</v>
      </c>
      <c r="T257" s="28">
        <v>100</v>
      </c>
      <c r="U257" s="29">
        <f t="shared" si="3"/>
        <v>494517</v>
      </c>
      <c r="V257" s="29" t="s">
        <v>166</v>
      </c>
      <c r="W257" s="30"/>
      <c r="X257" s="29" t="s">
        <v>27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ht="21" customHeight="1" x14ac:dyDescent="0.3">
      <c r="A258" s="22">
        <v>254</v>
      </c>
      <c r="B258" s="23">
        <v>1</v>
      </c>
      <c r="C258" s="23" t="s">
        <v>112</v>
      </c>
      <c r="D258" s="23" t="str">
        <f>VLOOKUP(C258,'[1]1.CUADRO RESUMEN DE SITIOS '!$C$5:$L$1052,2,FALSE())</f>
        <v>JANT_00227</v>
      </c>
      <c r="E258" s="24">
        <f>VLOOKUP(C258,'[1]1.CUADRO RESUMEN DE SITIOS '!$C$5:$L$1052,3,FALSE())</f>
        <v>45999</v>
      </c>
      <c r="F258" s="23">
        <f>VLOOKUP(C258,'[1]1.CUADRO RESUMEN DE SITIOS '!$C$5:$L$1052,4,FALSE())</f>
        <v>8.7185000000000006</v>
      </c>
      <c r="G258" s="23">
        <f>VLOOKUP(C258,'[1]1.CUADRO RESUMEN DE SITIOS '!$C$5:$L$1052,5,FALSE())</f>
        <v>-76.595399999999998</v>
      </c>
      <c r="H258" s="23" t="str">
        <f>VLOOKUP(C258,'[1]1.CUADRO RESUMEN DE SITIOS '!$C$5:$L$1052,6,FALSE())</f>
        <v>Antioquia</v>
      </c>
      <c r="I258" s="23" t="str">
        <f>VLOOKUP(C258,'[1]1.CUADRO RESUMEN DE SITIOS '!$C$5:$L$1052,7,FALSE())</f>
        <v>WOM-HUAWEI</v>
      </c>
      <c r="J258" s="25" t="str">
        <f>VLOOKUP(C258,'[1]1.CUADRO RESUMEN DE SITIOS '!$C$5:$L$1052,8,FALSE())</f>
        <v>NOROCCIDENTE</v>
      </c>
      <c r="K258" s="23" t="str">
        <f>VLOOKUP(C258,'[1]1.CUADRO RESUMEN DE SITIOS '!$C$5:$L$1052,9,FALSE())</f>
        <v>Alejandro Sanchez</v>
      </c>
      <c r="L258" s="26" t="str">
        <f>VLOOKUP(C258,'[1]1.CUADRO RESUMEN DE SITIOS '!$C$5:$L$1052,10,FALSE())</f>
        <v>Terminado</v>
      </c>
      <c r="M258" s="26">
        <v>1</v>
      </c>
      <c r="N258" s="26">
        <v>0</v>
      </c>
      <c r="O258" s="26" t="s">
        <v>167</v>
      </c>
      <c r="P258" s="26" t="s">
        <v>168</v>
      </c>
      <c r="Q258" s="26" t="s">
        <v>169</v>
      </c>
      <c r="R258" s="27">
        <v>96.77</v>
      </c>
      <c r="S258" s="27" t="s">
        <v>170</v>
      </c>
      <c r="T258" s="28">
        <v>800</v>
      </c>
      <c r="U258" s="29">
        <f t="shared" si="3"/>
        <v>77416</v>
      </c>
      <c r="V258" s="29" t="s">
        <v>166</v>
      </c>
      <c r="W258" s="30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ht="21" customHeight="1" x14ac:dyDescent="0.3">
      <c r="A259" s="22">
        <v>255</v>
      </c>
      <c r="B259" s="23">
        <v>1</v>
      </c>
      <c r="C259" s="23" t="s">
        <v>171</v>
      </c>
      <c r="D259" s="23" t="str">
        <f>VLOOKUP(C259,'[1]1.CUADRO RESUMEN DE SITIOS '!$C$5:$L$1052,2,FALSE())</f>
        <v>JANT_00320</v>
      </c>
      <c r="E259" s="24">
        <f>VLOOKUP(C259,'[1]1.CUADRO RESUMEN DE SITIOS '!$C$5:$L$1052,3,FALSE())</f>
        <v>45996</v>
      </c>
      <c r="F259" s="23" t="str">
        <f>VLOOKUP(C259,'[1]1.CUADRO RESUMEN DE SITIOS '!$C$5:$L$1052,4,FALSE())</f>
        <v>N/A</v>
      </c>
      <c r="G259" s="23" t="str">
        <f>VLOOKUP(C259,'[1]1.CUADRO RESUMEN DE SITIOS '!$C$5:$L$1052,5,FALSE())</f>
        <v>N/A</v>
      </c>
      <c r="H259" s="23" t="str">
        <f>VLOOKUP(C259,'[1]1.CUADRO RESUMEN DE SITIOS '!$C$5:$L$1052,6,FALSE())</f>
        <v>Antioquia</v>
      </c>
      <c r="I259" s="23" t="str">
        <f>VLOOKUP(C259,'[1]1.CUADRO RESUMEN DE SITIOS '!$C$5:$L$1052,7,FALSE())</f>
        <v>WOM-HUAWEI</v>
      </c>
      <c r="J259" s="25" t="str">
        <f>VLOOKUP(C259,'[1]1.CUADRO RESUMEN DE SITIOS '!$C$5:$L$1052,8,FALSE())</f>
        <v>NOROCCIDENTE</v>
      </c>
      <c r="K259" s="23" t="str">
        <f>VLOOKUP(C259,'[1]1.CUADRO RESUMEN DE SITIOS '!$C$5:$L$1052,9,FALSE())</f>
        <v>Alejandro Sanchez</v>
      </c>
      <c r="L259" s="26" t="str">
        <f>VLOOKUP(C259,'[1]1.CUADRO RESUMEN DE SITIOS '!$C$5:$L$1052,10,FALSE())</f>
        <v>Terminado</v>
      </c>
      <c r="M259" s="26">
        <v>1</v>
      </c>
      <c r="N259" s="26">
        <v>1</v>
      </c>
      <c r="O259" s="26" t="s">
        <v>172</v>
      </c>
      <c r="P259" s="26" t="s">
        <v>139</v>
      </c>
      <c r="Q259" s="26" t="s">
        <v>139</v>
      </c>
      <c r="R259" s="27">
        <v>346162</v>
      </c>
      <c r="S259" s="27" t="s">
        <v>139</v>
      </c>
      <c r="T259" s="28">
        <v>1</v>
      </c>
      <c r="U259" s="29">
        <f t="shared" si="3"/>
        <v>346162</v>
      </c>
      <c r="V259" s="29" t="s">
        <v>172</v>
      </c>
      <c r="W259" s="30"/>
      <c r="X259" s="29" t="s">
        <v>120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ht="21" customHeight="1" x14ac:dyDescent="0.3">
      <c r="A260" s="22">
        <v>256</v>
      </c>
      <c r="B260" s="23">
        <v>1</v>
      </c>
      <c r="C260" s="23" t="s">
        <v>173</v>
      </c>
      <c r="D260" s="23" t="str">
        <f>VLOOKUP(C260,'[1]1.CUADRO RESUMEN DE SITIOS '!$C$5:$L$1052,2,FALSE())</f>
        <v>BOY-250159</v>
      </c>
      <c r="E260" s="24">
        <f>VLOOKUP(C260,'[1]1.CUADRO RESUMEN DE SITIOS '!$C$5:$L$1052,3,FALSE())</f>
        <v>46004</v>
      </c>
      <c r="F260" s="23">
        <f>VLOOKUP(C260,'[1]1.CUADRO RESUMEN DE SITIOS '!$C$5:$L$1052,4,FALSE())</f>
        <v>5758</v>
      </c>
      <c r="G260" s="23">
        <f>VLOOKUP(C260,'[1]1.CUADRO RESUMEN DE SITIOS '!$C$5:$L$1052,5,FALSE())</f>
        <v>-73139</v>
      </c>
      <c r="H260" s="23" t="str">
        <f>VLOOKUP(C260,'[1]1.CUADRO RESUMEN DE SITIOS '!$C$5:$L$1052,6,FALSE())</f>
        <v>Boyacá</v>
      </c>
      <c r="I260" s="23" t="str">
        <f>VLOOKUP(C260,'[1]1.CUADRO RESUMEN DE SITIOS '!$C$5:$L$1052,7,FALSE())</f>
        <v>UNIRED</v>
      </c>
      <c r="J260" s="25" t="str">
        <f>VLOOKUP(C260,'[1]1.CUADRO RESUMEN DE SITIOS '!$C$5:$L$1052,8,FALSE())</f>
        <v>CENTRO SUR/ NORTE</v>
      </c>
      <c r="K260" s="23" t="str">
        <f>VLOOKUP(C260,'[1]1.CUADRO RESUMEN DE SITIOS '!$C$5:$L$1052,9,FALSE())</f>
        <v>Carlos Eduardo Montoya</v>
      </c>
      <c r="L260" s="26" t="str">
        <f>VLOOKUP(C260,'[1]1.CUADRO RESUMEN DE SITIOS '!$C$5:$L$1052,10,FALSE())</f>
        <v>Terminado</v>
      </c>
      <c r="M260" s="26">
        <v>1</v>
      </c>
      <c r="N260" s="26">
        <v>1</v>
      </c>
      <c r="O260" s="26" t="s">
        <v>174</v>
      </c>
      <c r="P260" s="26" t="s">
        <v>139</v>
      </c>
      <c r="Q260" s="26" t="s">
        <v>139</v>
      </c>
      <c r="R260" s="27">
        <v>7167000</v>
      </c>
      <c r="S260" s="27" t="s">
        <v>139</v>
      </c>
      <c r="T260" s="28">
        <v>1</v>
      </c>
      <c r="U260" s="29">
        <f t="shared" si="3"/>
        <v>7167000</v>
      </c>
      <c r="V260" s="29" t="s">
        <v>175</v>
      </c>
      <c r="W260" s="30"/>
      <c r="X260" s="29" t="s">
        <v>82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ht="21" customHeight="1" x14ac:dyDescent="0.3">
      <c r="A261" s="22">
        <v>257</v>
      </c>
      <c r="B261" s="23">
        <v>1</v>
      </c>
      <c r="C261" s="23" t="s">
        <v>176</v>
      </c>
      <c r="D261" s="23" t="str">
        <f>VLOOKUP(C261,'[1]1.CUADRO RESUMEN DE SITIOS '!$C$5:$L$1052,2,FALSE())</f>
        <v>PER_06079</v>
      </c>
      <c r="E261" s="24">
        <f>VLOOKUP(C261,'[1]1.CUADRO RESUMEN DE SITIOS '!$C$5:$L$1052,3,FALSE())</f>
        <v>46001</v>
      </c>
      <c r="F261" s="23" t="str">
        <f>VLOOKUP(C261,'[1]1.CUADRO RESUMEN DE SITIOS '!$C$5:$L$1052,4,FALSE())</f>
        <v>N/A</v>
      </c>
      <c r="G261" s="23" t="str">
        <f>VLOOKUP(C261,'[1]1.CUADRO RESUMEN DE SITIOS '!$C$5:$L$1052,5,FALSE())</f>
        <v>N/A</v>
      </c>
      <c r="H261" s="23" t="str">
        <f>VLOOKUP(C261,'[1]1.CUADRO RESUMEN DE SITIOS '!$C$5:$L$1052,6,FALSE())</f>
        <v>Risaralda</v>
      </c>
      <c r="I261" s="23" t="str">
        <f>VLOOKUP(C261,'[1]1.CUADRO RESUMEN DE SITIOS '!$C$5:$L$1052,7,FALSE())</f>
        <v>WOM-HUAWEI</v>
      </c>
      <c r="J261" s="25" t="str">
        <f>VLOOKUP(C261,'[1]1.CUADRO RESUMEN DE SITIOS '!$C$5:$L$1052,8,FALSE())</f>
        <v>SUROCCIDENTE</v>
      </c>
      <c r="K261" s="23" t="str">
        <f>VLOOKUP(C261,'[1]1.CUADRO RESUMEN DE SITIOS '!$C$5:$L$1052,9,FALSE())</f>
        <v>Alejandro Sanchez</v>
      </c>
      <c r="L261" s="26" t="str">
        <f>VLOOKUP(C261,'[1]1.CUADRO RESUMEN DE SITIOS '!$C$5:$L$1052,10,FALSE())</f>
        <v>Terminado</v>
      </c>
      <c r="M261" s="26">
        <v>8828118956</v>
      </c>
      <c r="N261" s="26">
        <f>VLOOKUP(M261,[1]LPU!$A$2:$G$1512,2,FALSE())</f>
        <v>0</v>
      </c>
      <c r="O261" s="26" t="str">
        <f>VLOOKUP(M261,[1]LPU!$A$2:$G$1512,3,FALSE)</f>
        <v>Cable UTP Categoría 6, con conectores en sus extremos, certificado</v>
      </c>
      <c r="P261" s="26" t="str">
        <f>VLOOKUP(M261,[1]LPU!$A$2:$G$1512,4,FALSE())</f>
        <v>Item Critico</v>
      </c>
      <c r="Q261" s="26" t="str">
        <f>VLOOKUP(M261,[1]LPU!$A$2:$G$1512,5,FALSE())</f>
        <v>m</v>
      </c>
      <c r="R261" s="27">
        <f>VLOOKUP(M261,[1]LPU!$A$2:$G$1512,6,FALSE())</f>
        <v>4945</v>
      </c>
      <c r="S261" s="27" t="str">
        <f>VLOOKUP(M261,[1]LPU!$A$2:$G$1512,7,FALSE())</f>
        <v>LPU FO Propia</v>
      </c>
      <c r="T261" s="28">
        <v>35</v>
      </c>
      <c r="U261" s="29">
        <v>173081</v>
      </c>
      <c r="V261" s="29" t="s">
        <v>172</v>
      </c>
      <c r="W261" s="30"/>
      <c r="X261" s="29" t="s">
        <v>38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ht="21" customHeight="1" x14ac:dyDescent="0.3">
      <c r="A262" s="22">
        <v>258</v>
      </c>
      <c r="B262" s="23">
        <v>1</v>
      </c>
      <c r="C262" s="23" t="s">
        <v>177</v>
      </c>
      <c r="D262" s="23" t="str">
        <f>VLOOKUP(C262,'[1]1.CUADRO RESUMEN DE SITIOS '!$C$5:$L$1052,2,FALSE())</f>
        <v>TOL_06365</v>
      </c>
      <c r="E262" s="24">
        <f>VLOOKUP(C262,'[1]1.CUADRO RESUMEN DE SITIOS '!$C$5:$L$1052,3,FALSE())</f>
        <v>46007</v>
      </c>
      <c r="F262" s="23">
        <f>VLOOKUP(C262,'[1]1.CUADRO RESUMEN DE SITIOS '!$C$5:$L$1052,4,FALSE())</f>
        <v>0</v>
      </c>
      <c r="G262" s="23">
        <f>VLOOKUP(C262,'[1]1.CUADRO RESUMEN DE SITIOS '!$C$5:$L$1052,5,FALSE())</f>
        <v>0</v>
      </c>
      <c r="H262" s="23" t="str">
        <f>VLOOKUP(C262,'[1]1.CUADRO RESUMEN DE SITIOS '!$C$5:$L$1052,6,FALSE())</f>
        <v>Tolima</v>
      </c>
      <c r="I262" s="23" t="str">
        <f>VLOOKUP(C262,'[1]1.CUADRO RESUMEN DE SITIOS '!$C$5:$L$1052,7,FALSE())</f>
        <v>WOM-HUAWEI</v>
      </c>
      <c r="J262" s="25" t="str">
        <f>VLOOKUP(C262,'[1]1.CUADRO RESUMEN DE SITIOS '!$C$5:$L$1052,8,FALSE())</f>
        <v>CENTRO SUR/ NORTE</v>
      </c>
      <c r="K262" s="23" t="str">
        <f>VLOOKUP(C262,'[1]1.CUADRO RESUMEN DE SITIOS '!$C$5:$L$1052,9,FALSE())</f>
        <v>Alejandro Sanchez</v>
      </c>
      <c r="L262" s="26" t="str">
        <f>VLOOKUP(C262,'[1]1.CUADRO RESUMEN DE SITIOS '!$C$5:$L$1052,10,FALSE())</f>
        <v>Terminado</v>
      </c>
      <c r="M262" s="26">
        <v>8828119862</v>
      </c>
      <c r="N262" s="26">
        <f>VLOOKUP(M262,[1]LPU!$A$2:$G$1512,2,FALSE())</f>
        <v>15</v>
      </c>
      <c r="O262" s="26" t="str">
        <f>VLOOKUP(M262,[1]LPU!$A$2:$G$1512,3,FALSE)</f>
        <v>Reemplazo de gabinete de fuerza o rectificador. Incluye transporte de elementos a Sito y retorno a Bodega de elemento desmontado.</v>
      </c>
      <c r="P262" s="26" t="str">
        <f>VLOOKUP(M262,[1]LPU!$A$2:$G$1512,4,FALSE())</f>
        <v>ACCESO</v>
      </c>
      <c r="Q262" s="26" t="str">
        <f>VLOOKUP(M262,[1]LPU!$A$2:$G$1512,5,FALSE())</f>
        <v>Gl</v>
      </c>
      <c r="R262" s="27">
        <f>VLOOKUP(M262,[1]LPU!$A$2:$G$1512,6,FALSE())</f>
        <v>247657</v>
      </c>
      <c r="S262" s="27" t="str">
        <f>VLOOKUP(M262,[1]LPU!$A$2:$G$1512,7,FALSE())</f>
        <v>LPU FLM</v>
      </c>
      <c r="T262" s="28">
        <v>1</v>
      </c>
      <c r="U262" s="29">
        <f t="shared" ref="U262:U285" si="4">T262*R262</f>
        <v>247657</v>
      </c>
      <c r="V262" s="29" t="s">
        <v>178</v>
      </c>
      <c r="W262" s="30"/>
      <c r="X262" s="29" t="s">
        <v>38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ht="21" customHeight="1" x14ac:dyDescent="0.3">
      <c r="A263" s="22">
        <v>259</v>
      </c>
      <c r="B263" s="23">
        <v>1</v>
      </c>
      <c r="C263" s="23" t="s">
        <v>177</v>
      </c>
      <c r="D263" s="23" t="str">
        <f>VLOOKUP(C263,'[1]1.CUADRO RESUMEN DE SITIOS '!$C$5:$L$1052,2,FALSE())</f>
        <v>TOL_06365</v>
      </c>
      <c r="E263" s="24">
        <f>VLOOKUP(C263,'[1]1.CUADRO RESUMEN DE SITIOS '!$C$5:$L$1052,3,FALSE())</f>
        <v>46007</v>
      </c>
      <c r="F263" s="23">
        <f>VLOOKUP(C263,'[1]1.CUADRO RESUMEN DE SITIOS '!$C$5:$L$1052,4,FALSE())</f>
        <v>0</v>
      </c>
      <c r="G263" s="23">
        <f>VLOOKUP(C263,'[1]1.CUADRO RESUMEN DE SITIOS '!$C$5:$L$1052,5,FALSE())</f>
        <v>0</v>
      </c>
      <c r="H263" s="23" t="str">
        <f>VLOOKUP(C263,'[1]1.CUADRO RESUMEN DE SITIOS '!$C$5:$L$1052,6,FALSE())</f>
        <v>Tolima</v>
      </c>
      <c r="I263" s="23" t="str">
        <f>VLOOKUP(C263,'[1]1.CUADRO RESUMEN DE SITIOS '!$C$5:$L$1052,7,FALSE())</f>
        <v>WOM-HUAWEI</v>
      </c>
      <c r="J263" s="25" t="str">
        <f>VLOOKUP(C263,'[1]1.CUADRO RESUMEN DE SITIOS '!$C$5:$L$1052,8,FALSE())</f>
        <v>CENTRO SUR/ NORTE</v>
      </c>
      <c r="K263" s="23" t="str">
        <f>VLOOKUP(C263,'[1]1.CUADRO RESUMEN DE SITIOS '!$C$5:$L$1052,9,FALSE())</f>
        <v>Alejandro Sanchez</v>
      </c>
      <c r="L263" s="26" t="str">
        <f>VLOOKUP(C263,'[1]1.CUADRO RESUMEN DE SITIOS '!$C$5:$L$1052,10,FALSE())</f>
        <v>Terminado</v>
      </c>
      <c r="M263" s="26">
        <v>8828119938</v>
      </c>
      <c r="N263" s="26">
        <f>VLOOKUP(M263,[1]LPU!$A$2:$G$1512,2,FALSE())</f>
        <v>23</v>
      </c>
      <c r="O263" s="26" t="str">
        <f>VLOOKUP(M263,[1]LPU!$A$2:$G$1512,3,FALSE)</f>
        <v>Reubicación de 01 BBU desde gabinete existente hacia nuevo gabinete, incluye conexión de alimentación en ambos planos y etiquetado</v>
      </c>
      <c r="P263" s="26" t="str">
        <f>VLOOKUP(M263,[1]LPU!$A$2:$G$1512,4,FALSE())</f>
        <v>ACCESO</v>
      </c>
      <c r="Q263" s="26" t="str">
        <f>VLOOKUP(M263,[1]LPU!$A$2:$G$1512,5,FALSE())</f>
        <v>Por sector</v>
      </c>
      <c r="R263" s="27">
        <f>VLOOKUP(M263,[1]LPU!$A$2:$G$1512,6,FALSE())</f>
        <v>217413</v>
      </c>
      <c r="S263" s="27" t="str">
        <f>VLOOKUP(M263,[1]LPU!$A$2:$G$1512,7,FALSE())</f>
        <v>LPU FLM</v>
      </c>
      <c r="T263" s="28">
        <v>1</v>
      </c>
      <c r="U263" s="29">
        <f t="shared" si="4"/>
        <v>217413</v>
      </c>
      <c r="V263" s="29" t="s">
        <v>178</v>
      </c>
      <c r="W263" s="30"/>
      <c r="X263" s="29" t="s">
        <v>38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ht="21" customHeight="1" x14ac:dyDescent="0.3">
      <c r="A264" s="22">
        <v>260</v>
      </c>
      <c r="B264" s="23">
        <v>1</v>
      </c>
      <c r="C264" s="23" t="s">
        <v>177</v>
      </c>
      <c r="D264" s="23" t="str">
        <f>VLOOKUP(C264,'[1]1.CUADRO RESUMEN DE SITIOS '!$C$5:$L$1052,2,FALSE())</f>
        <v>TOL_06365</v>
      </c>
      <c r="E264" s="24">
        <f>VLOOKUP(C264,'[1]1.CUADRO RESUMEN DE SITIOS '!$C$5:$L$1052,3,FALSE())</f>
        <v>46007</v>
      </c>
      <c r="F264" s="23">
        <f>VLOOKUP(C264,'[1]1.CUADRO RESUMEN DE SITIOS '!$C$5:$L$1052,4,FALSE())</f>
        <v>0</v>
      </c>
      <c r="G264" s="23">
        <f>VLOOKUP(C264,'[1]1.CUADRO RESUMEN DE SITIOS '!$C$5:$L$1052,5,FALSE())</f>
        <v>0</v>
      </c>
      <c r="H264" s="23" t="str">
        <f>VLOOKUP(C264,'[1]1.CUADRO RESUMEN DE SITIOS '!$C$5:$L$1052,6,FALSE())</f>
        <v>Tolima</v>
      </c>
      <c r="I264" s="23" t="str">
        <f>VLOOKUP(C264,'[1]1.CUADRO RESUMEN DE SITIOS '!$C$5:$L$1052,7,FALSE())</f>
        <v>WOM-HUAWEI</v>
      </c>
      <c r="J264" s="25" t="str">
        <f>VLOOKUP(C264,'[1]1.CUADRO RESUMEN DE SITIOS '!$C$5:$L$1052,8,FALSE())</f>
        <v>CENTRO SUR/ NORTE</v>
      </c>
      <c r="K264" s="23" t="str">
        <f>VLOOKUP(C264,'[1]1.CUADRO RESUMEN DE SITIOS '!$C$5:$L$1052,9,FALSE())</f>
        <v>Alejandro Sanchez</v>
      </c>
      <c r="L264" s="26" t="str">
        <f>VLOOKUP(C264,'[1]1.CUADRO RESUMEN DE SITIOS '!$C$5:$L$1052,10,FALSE())</f>
        <v>Terminado</v>
      </c>
      <c r="M264" s="26">
        <v>8828120192</v>
      </c>
      <c r="N264" s="26">
        <f>VLOOKUP(M264,[1]LPU!$A$2:$G$1512,2,FALSE())</f>
        <v>52</v>
      </c>
      <c r="O264" s="26" t="str">
        <f>VLOOKUP(M264,[1]LPU!$A$2:$G$1512,3,FALSE)</f>
        <v>Desmonte Banco de Baterias para Rectificadores - Aplica para ampliaciones.</v>
      </c>
      <c r="P264" s="26" t="str">
        <f>VLOOKUP(M264,[1]LPU!$A$2:$G$1512,4,FALSE())</f>
        <v>ENERGÍA</v>
      </c>
      <c r="Q264" s="26" t="str">
        <f>VLOOKUP(M264,[1]LPU!$A$2:$G$1512,5,FALSE())</f>
        <v>U</v>
      </c>
      <c r="R264" s="27">
        <f>VLOOKUP(M264,[1]LPU!$A$2:$G$1512,6,FALSE())</f>
        <v>61880</v>
      </c>
      <c r="S264" s="27" t="str">
        <f>VLOOKUP(M264,[1]LPU!$A$2:$G$1512,7,FALSE())</f>
        <v>LPU FLM</v>
      </c>
      <c r="T264" s="28">
        <v>2</v>
      </c>
      <c r="U264" s="29">
        <f t="shared" si="4"/>
        <v>123760</v>
      </c>
      <c r="V264" s="29" t="s">
        <v>178</v>
      </c>
      <c r="W264" s="30"/>
      <c r="X264" s="29" t="s">
        <v>38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ht="21" customHeight="1" x14ac:dyDescent="0.3">
      <c r="A265" s="22">
        <v>261</v>
      </c>
      <c r="B265" s="23">
        <v>1</v>
      </c>
      <c r="C265" s="23" t="s">
        <v>177</v>
      </c>
      <c r="D265" s="23" t="str">
        <f>VLOOKUP(C265,'[1]1.CUADRO RESUMEN DE SITIOS '!$C$5:$L$1052,2,FALSE())</f>
        <v>TOL_06365</v>
      </c>
      <c r="E265" s="24">
        <f>VLOOKUP(C265,'[1]1.CUADRO RESUMEN DE SITIOS '!$C$5:$L$1052,3,FALSE())</f>
        <v>46007</v>
      </c>
      <c r="F265" s="23">
        <f>VLOOKUP(C265,'[1]1.CUADRO RESUMEN DE SITIOS '!$C$5:$L$1052,4,FALSE())</f>
        <v>0</v>
      </c>
      <c r="G265" s="23">
        <f>VLOOKUP(C265,'[1]1.CUADRO RESUMEN DE SITIOS '!$C$5:$L$1052,5,FALSE())</f>
        <v>0</v>
      </c>
      <c r="H265" s="23" t="str">
        <f>VLOOKUP(C265,'[1]1.CUADRO RESUMEN DE SITIOS '!$C$5:$L$1052,6,FALSE())</f>
        <v>Tolima</v>
      </c>
      <c r="I265" s="23" t="str">
        <f>VLOOKUP(C265,'[1]1.CUADRO RESUMEN DE SITIOS '!$C$5:$L$1052,7,FALSE())</f>
        <v>WOM-HUAWEI</v>
      </c>
      <c r="J265" s="25" t="str">
        <f>VLOOKUP(C265,'[1]1.CUADRO RESUMEN DE SITIOS '!$C$5:$L$1052,8,FALSE())</f>
        <v>CENTRO SUR/ NORTE</v>
      </c>
      <c r="K265" s="23" t="str">
        <f>VLOOKUP(C265,'[1]1.CUADRO RESUMEN DE SITIOS '!$C$5:$L$1052,9,FALSE())</f>
        <v>Alejandro Sanchez</v>
      </c>
      <c r="L265" s="26" t="str">
        <f>VLOOKUP(C265,'[1]1.CUADRO RESUMEN DE SITIOS '!$C$5:$L$1052,10,FALSE())</f>
        <v>Terminado</v>
      </c>
      <c r="M265" s="26">
        <v>8828119492</v>
      </c>
      <c r="N265" s="26">
        <f>VLOOKUP(M265,[1]LPU!$A$2:$G$1512,2,FALSE())</f>
        <v>53</v>
      </c>
      <c r="O265" s="26" t="str">
        <f>VLOOKUP(M265,[1]LPU!$A$2:$G$1512,3,FALSE)</f>
        <v>Instalación Banco de Baterias para Rectificadores - Aplica para ampliaciones.</v>
      </c>
      <c r="P265" s="26" t="str">
        <f>VLOOKUP(M265,[1]LPU!$A$2:$G$1512,4,FALSE())</f>
        <v>ENERGÍA</v>
      </c>
      <c r="Q265" s="26" t="str">
        <f>VLOOKUP(M265,[1]LPU!$A$2:$G$1512,5,FALSE())</f>
        <v>U</v>
      </c>
      <c r="R265" s="27">
        <f>VLOOKUP(M265,[1]LPU!$A$2:$G$1512,6,FALSE())</f>
        <v>102340</v>
      </c>
      <c r="S265" s="27" t="str">
        <f>VLOOKUP(M265,[1]LPU!$A$2:$G$1512,7,FALSE())</f>
        <v>LPU FLM</v>
      </c>
      <c r="T265" s="28">
        <v>2</v>
      </c>
      <c r="U265" s="29">
        <f t="shared" si="4"/>
        <v>204680</v>
      </c>
      <c r="V265" s="29" t="s">
        <v>178</v>
      </c>
      <c r="W265" s="30"/>
      <c r="X265" s="29" t="s">
        <v>38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ht="21" customHeight="1" x14ac:dyDescent="0.3">
      <c r="A266" s="22">
        <v>262</v>
      </c>
      <c r="B266" s="23">
        <v>1</v>
      </c>
      <c r="C266" s="23" t="s">
        <v>177</v>
      </c>
      <c r="D266" s="23" t="str">
        <f>VLOOKUP(C266,'[1]1.CUADRO RESUMEN DE SITIOS '!$C$5:$L$1052,2,FALSE())</f>
        <v>TOL_06365</v>
      </c>
      <c r="E266" s="24">
        <f>VLOOKUP(C266,'[1]1.CUADRO RESUMEN DE SITIOS '!$C$5:$L$1052,3,FALSE())</f>
        <v>46007</v>
      </c>
      <c r="F266" s="23">
        <f>VLOOKUP(C266,'[1]1.CUADRO RESUMEN DE SITIOS '!$C$5:$L$1052,4,FALSE())</f>
        <v>0</v>
      </c>
      <c r="G266" s="23">
        <f>VLOOKUP(C266,'[1]1.CUADRO RESUMEN DE SITIOS '!$C$5:$L$1052,5,FALSE())</f>
        <v>0</v>
      </c>
      <c r="H266" s="23" t="str">
        <f>VLOOKUP(C266,'[1]1.CUADRO RESUMEN DE SITIOS '!$C$5:$L$1052,6,FALSE())</f>
        <v>Tolima</v>
      </c>
      <c r="I266" s="23" t="str">
        <f>VLOOKUP(C266,'[1]1.CUADRO RESUMEN DE SITIOS '!$C$5:$L$1052,7,FALSE())</f>
        <v>WOM-HUAWEI</v>
      </c>
      <c r="J266" s="25" t="str">
        <f>VLOOKUP(C266,'[1]1.CUADRO RESUMEN DE SITIOS '!$C$5:$L$1052,8,FALSE())</f>
        <v>CENTRO SUR/ NORTE</v>
      </c>
      <c r="K266" s="23" t="str">
        <f>VLOOKUP(C266,'[1]1.CUADRO RESUMEN DE SITIOS '!$C$5:$L$1052,9,FALSE())</f>
        <v>Alejandro Sanchez</v>
      </c>
      <c r="L266" s="26" t="str">
        <f>VLOOKUP(C266,'[1]1.CUADRO RESUMEN DE SITIOS '!$C$5:$L$1052,10,FALSE())</f>
        <v>Terminado</v>
      </c>
      <c r="M266" s="26">
        <v>8828119110</v>
      </c>
      <c r="N266" s="26">
        <f>VLOOKUP(M266,[1]LPU!$A$2:$G$1512,2,FALSE())</f>
        <v>107</v>
      </c>
      <c r="O266" s="26" t="str">
        <f>VLOOKUP(M266,[1]LPU!$A$2:$G$1512,3,FALSE)</f>
        <v>Mano de Obra Tecnico Electricista Certficado CONTE</v>
      </c>
      <c r="P266" s="26" t="str">
        <f>VLOOKUP(M266,[1]LPU!$A$2:$G$1512,4,FALSE())</f>
        <v>ENERGÍA</v>
      </c>
      <c r="Q266" s="26" t="str">
        <f>VLOOKUP(M266,[1]LPU!$A$2:$G$1512,5,FALSE())</f>
        <v>DIA</v>
      </c>
      <c r="R266" s="27">
        <f>VLOOKUP(M266,[1]LPU!$A$2:$G$1512,6,FALSE())</f>
        <v>136000</v>
      </c>
      <c r="S266" s="27" t="str">
        <f>VLOOKUP(M266,[1]LPU!$A$2:$G$1512,7,FALSE())</f>
        <v>LPU FLM</v>
      </c>
      <c r="T266" s="28">
        <v>6</v>
      </c>
      <c r="U266" s="29">
        <f t="shared" si="4"/>
        <v>816000</v>
      </c>
      <c r="V266" s="29" t="s">
        <v>178</v>
      </c>
      <c r="W266" s="30"/>
      <c r="X266" s="29" t="s">
        <v>38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ht="21" customHeight="1" x14ac:dyDescent="0.3">
      <c r="A267" s="22">
        <v>263</v>
      </c>
      <c r="B267" s="23">
        <v>1</v>
      </c>
      <c r="C267" s="23" t="s">
        <v>177</v>
      </c>
      <c r="D267" s="23" t="str">
        <f>VLOOKUP(C267,'[1]1.CUADRO RESUMEN DE SITIOS '!$C$5:$L$1052,2,FALSE())</f>
        <v>TOL_06365</v>
      </c>
      <c r="E267" s="24">
        <f>VLOOKUP(C267,'[1]1.CUADRO RESUMEN DE SITIOS '!$C$5:$L$1052,3,FALSE())</f>
        <v>46007</v>
      </c>
      <c r="F267" s="23">
        <f>VLOOKUP(C267,'[1]1.CUADRO RESUMEN DE SITIOS '!$C$5:$L$1052,4,FALSE())</f>
        <v>0</v>
      </c>
      <c r="G267" s="23">
        <f>VLOOKUP(C267,'[1]1.CUADRO RESUMEN DE SITIOS '!$C$5:$L$1052,5,FALSE())</f>
        <v>0</v>
      </c>
      <c r="H267" s="23" t="str">
        <f>VLOOKUP(C267,'[1]1.CUADRO RESUMEN DE SITIOS '!$C$5:$L$1052,6,FALSE())</f>
        <v>Tolima</v>
      </c>
      <c r="I267" s="23" t="str">
        <f>VLOOKUP(C267,'[1]1.CUADRO RESUMEN DE SITIOS '!$C$5:$L$1052,7,FALSE())</f>
        <v>WOM-HUAWEI</v>
      </c>
      <c r="J267" s="25" t="str">
        <f>VLOOKUP(C267,'[1]1.CUADRO RESUMEN DE SITIOS '!$C$5:$L$1052,8,FALSE())</f>
        <v>CENTRO SUR/ NORTE</v>
      </c>
      <c r="K267" s="23" t="str">
        <f>VLOOKUP(C267,'[1]1.CUADRO RESUMEN DE SITIOS '!$C$5:$L$1052,9,FALSE())</f>
        <v>Alejandro Sanchez</v>
      </c>
      <c r="L267" s="26" t="str">
        <f>VLOOKUP(C267,'[1]1.CUADRO RESUMEN DE SITIOS '!$C$5:$L$1052,10,FALSE())</f>
        <v>Terminado</v>
      </c>
      <c r="M267" s="26">
        <v>8828119931</v>
      </c>
      <c r="N267" s="26">
        <f>VLOOKUP(M267,[1]LPU!$A$2:$G$1512,2,FALSE())</f>
        <v>164</v>
      </c>
      <c r="O267" s="26" t="str">
        <f>VLOOKUP(M267,[1]LPU!$A$2:$G$1512,3,FALSE)</f>
        <v>Tansporte tipo B, fuera de área metropolitana</v>
      </c>
      <c r="P267" s="26" t="str">
        <f>VLOOKUP(M267,[1]LPU!$A$2:$G$1512,4,FALSE())</f>
        <v>LOCATIVO</v>
      </c>
      <c r="Q267" s="26" t="str">
        <f>VLOOKUP(M267,[1]LPU!$A$2:$G$1512,5,FALSE())</f>
        <v>Global</v>
      </c>
      <c r="R267" s="27">
        <f>VLOOKUP(M267,[1]LPU!$A$2:$G$1512,6,FALSE())</f>
        <v>253785</v>
      </c>
      <c r="S267" s="27" t="str">
        <f>VLOOKUP(M267,[1]LPU!$A$2:$G$1512,7,FALSE())</f>
        <v>LPU FLM</v>
      </c>
      <c r="T267" s="28">
        <v>1</v>
      </c>
      <c r="U267" s="29">
        <f t="shared" si="4"/>
        <v>253785</v>
      </c>
      <c r="V267" s="29" t="s">
        <v>178</v>
      </c>
      <c r="W267" s="30"/>
      <c r="X267" s="29" t="s">
        <v>38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ht="21" customHeight="1" x14ac:dyDescent="0.3">
      <c r="A268" s="22">
        <v>264</v>
      </c>
      <c r="B268" s="23">
        <v>1</v>
      </c>
      <c r="C268" s="23" t="s">
        <v>177</v>
      </c>
      <c r="D268" s="23" t="str">
        <f>VLOOKUP(C268,'[1]1.CUADRO RESUMEN DE SITIOS '!$C$5:$L$1052,2,FALSE())</f>
        <v>TOL_06365</v>
      </c>
      <c r="E268" s="24">
        <f>VLOOKUP(C268,'[1]1.CUADRO RESUMEN DE SITIOS '!$C$5:$L$1052,3,FALSE())</f>
        <v>46007</v>
      </c>
      <c r="F268" s="23">
        <f>VLOOKUP(C268,'[1]1.CUADRO RESUMEN DE SITIOS '!$C$5:$L$1052,4,FALSE())</f>
        <v>0</v>
      </c>
      <c r="G268" s="23">
        <f>VLOOKUP(C268,'[1]1.CUADRO RESUMEN DE SITIOS '!$C$5:$L$1052,5,FALSE())</f>
        <v>0</v>
      </c>
      <c r="H268" s="23" t="str">
        <f>VLOOKUP(C268,'[1]1.CUADRO RESUMEN DE SITIOS '!$C$5:$L$1052,6,FALSE())</f>
        <v>Tolima</v>
      </c>
      <c r="I268" s="23" t="str">
        <f>VLOOKUP(C268,'[1]1.CUADRO RESUMEN DE SITIOS '!$C$5:$L$1052,7,FALSE())</f>
        <v>WOM-HUAWEI</v>
      </c>
      <c r="J268" s="25" t="str">
        <f>VLOOKUP(C268,'[1]1.CUADRO RESUMEN DE SITIOS '!$C$5:$L$1052,8,FALSE())</f>
        <v>CENTRO SUR/ NORTE</v>
      </c>
      <c r="K268" s="23" t="str">
        <f>VLOOKUP(C268,'[1]1.CUADRO RESUMEN DE SITIOS '!$C$5:$L$1052,9,FALSE())</f>
        <v>Alejandro Sanchez</v>
      </c>
      <c r="L268" s="26" t="str">
        <f>VLOOKUP(C268,'[1]1.CUADRO RESUMEN DE SITIOS '!$C$5:$L$1052,10,FALSE())</f>
        <v>Terminado</v>
      </c>
      <c r="M268" s="26">
        <v>8828120088</v>
      </c>
      <c r="N268" s="26">
        <f>VLOOKUP(M268,[1]LPU!$A$2:$G$1512,2,FALSE())</f>
        <v>180</v>
      </c>
      <c r="O268" s="26" t="str">
        <f>VLOOKUP(M268,[1]LPU!$A$2:$G$1512,3,FALSE)</f>
        <v>Limpieza de Estación Base y Disposición de Residuos.</v>
      </c>
      <c r="P268" s="26" t="str">
        <f>VLOOKUP(M268,[1]LPU!$A$2:$G$1512,4,FALSE())</f>
        <v>LOCATIVO</v>
      </c>
      <c r="Q268" s="26" t="str">
        <f>VLOOKUP(M268,[1]LPU!$A$2:$G$1512,5,FALSE())</f>
        <v>U</v>
      </c>
      <c r="R268" s="27">
        <f>VLOOKUP(M268,[1]LPU!$A$2:$G$1512,6,FALSE())</f>
        <v>167960</v>
      </c>
      <c r="S268" s="27" t="str">
        <f>VLOOKUP(M268,[1]LPU!$A$2:$G$1512,7,FALSE())</f>
        <v>LPU FLM</v>
      </c>
      <c r="T268" s="28">
        <v>1</v>
      </c>
      <c r="U268" s="29">
        <f t="shared" si="4"/>
        <v>167960</v>
      </c>
      <c r="V268" s="29" t="s">
        <v>178</v>
      </c>
      <c r="W268" s="30"/>
      <c r="X268" s="29" t="s">
        <v>38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ht="21" customHeight="1" x14ac:dyDescent="0.3">
      <c r="A269" s="22">
        <v>265</v>
      </c>
      <c r="B269" s="23">
        <v>1</v>
      </c>
      <c r="C269" s="23" t="s">
        <v>177</v>
      </c>
      <c r="D269" s="23" t="str">
        <f>VLOOKUP(C269,'[1]1.CUADRO RESUMEN DE SITIOS '!$C$5:$L$1052,2,FALSE())</f>
        <v>TOL_06365</v>
      </c>
      <c r="E269" s="24">
        <f>VLOOKUP(C269,'[1]1.CUADRO RESUMEN DE SITIOS '!$C$5:$L$1052,3,FALSE())</f>
        <v>46007</v>
      </c>
      <c r="F269" s="23">
        <f>VLOOKUP(C269,'[1]1.CUADRO RESUMEN DE SITIOS '!$C$5:$L$1052,4,FALSE())</f>
        <v>0</v>
      </c>
      <c r="G269" s="23">
        <f>VLOOKUP(C269,'[1]1.CUADRO RESUMEN DE SITIOS '!$C$5:$L$1052,5,FALSE())</f>
        <v>0</v>
      </c>
      <c r="H269" s="23" t="str">
        <f>VLOOKUP(C269,'[1]1.CUADRO RESUMEN DE SITIOS '!$C$5:$L$1052,6,FALSE())</f>
        <v>Tolima</v>
      </c>
      <c r="I269" s="23" t="str">
        <f>VLOOKUP(C269,'[1]1.CUADRO RESUMEN DE SITIOS '!$C$5:$L$1052,7,FALSE())</f>
        <v>WOM-HUAWEI</v>
      </c>
      <c r="J269" s="25" t="str">
        <f>VLOOKUP(C269,'[1]1.CUADRO RESUMEN DE SITIOS '!$C$5:$L$1052,8,FALSE())</f>
        <v>CENTRO SUR/ NORTE</v>
      </c>
      <c r="K269" s="23" t="str">
        <f>VLOOKUP(C269,'[1]1.CUADRO RESUMEN DE SITIOS '!$C$5:$L$1052,9,FALSE())</f>
        <v>Alejandro Sanchez</v>
      </c>
      <c r="L269" s="26" t="str">
        <f>VLOOKUP(C269,'[1]1.CUADRO RESUMEN DE SITIOS '!$C$5:$L$1052,10,FALSE())</f>
        <v>Terminado</v>
      </c>
      <c r="M269" s="26">
        <v>8828119891</v>
      </c>
      <c r="N269" s="26">
        <f>VLOOKUP(M269,[1]LPU!$A$2:$G$1512,2,FALSE())</f>
        <v>215</v>
      </c>
      <c r="O269" s="26" t="str">
        <f>VLOOKUP(M269,[1]LPU!$A$2:$G$1512,3,FALSE)</f>
        <v>Reubicación de 01 RTN desde gabinete existente hacia nuevo gabinete, incluye conexión de alimentación en ambos planos y etiquetado</v>
      </c>
      <c r="P269" s="26" t="str">
        <f>VLOOKUP(M269,[1]LPU!$A$2:$G$1512,4,FALSE())</f>
        <v>TRANSMISIÓN</v>
      </c>
      <c r="Q269" s="26" t="str">
        <f>VLOOKUP(M269,[1]LPU!$A$2:$G$1512,5,FALSE())</f>
        <v>SITIO</v>
      </c>
      <c r="R269" s="27">
        <f>VLOOKUP(M269,[1]LPU!$A$2:$G$1512,6,FALSE())</f>
        <v>225301</v>
      </c>
      <c r="S269" s="27" t="str">
        <f>VLOOKUP(M269,[1]LPU!$A$2:$G$1512,7,FALSE())</f>
        <v>LPU FLM</v>
      </c>
      <c r="T269" s="28">
        <v>1</v>
      </c>
      <c r="U269" s="29">
        <f t="shared" si="4"/>
        <v>225301</v>
      </c>
      <c r="V269" s="29" t="s">
        <v>178</v>
      </c>
      <c r="W269" s="30"/>
      <c r="X269" s="29" t="s">
        <v>38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ht="21" customHeight="1" x14ac:dyDescent="0.3">
      <c r="A270" s="22">
        <v>266</v>
      </c>
      <c r="B270" s="23">
        <v>1</v>
      </c>
      <c r="C270" s="23" t="s">
        <v>177</v>
      </c>
      <c r="D270" s="23" t="str">
        <f>VLOOKUP(C270,'[1]1.CUADRO RESUMEN DE SITIOS '!$C$5:$L$1052,2,FALSE())</f>
        <v>TOL_06365</v>
      </c>
      <c r="E270" s="24">
        <f>VLOOKUP(C270,'[1]1.CUADRO RESUMEN DE SITIOS '!$C$5:$L$1052,3,FALSE())</f>
        <v>46007</v>
      </c>
      <c r="F270" s="23">
        <f>VLOOKUP(C270,'[1]1.CUADRO RESUMEN DE SITIOS '!$C$5:$L$1052,4,FALSE())</f>
        <v>0</v>
      </c>
      <c r="G270" s="23">
        <f>VLOOKUP(C270,'[1]1.CUADRO RESUMEN DE SITIOS '!$C$5:$L$1052,5,FALSE())</f>
        <v>0</v>
      </c>
      <c r="H270" s="23" t="str">
        <f>VLOOKUP(C270,'[1]1.CUADRO RESUMEN DE SITIOS '!$C$5:$L$1052,6,FALSE())</f>
        <v>Tolima</v>
      </c>
      <c r="I270" s="23" t="str">
        <f>VLOOKUP(C270,'[1]1.CUADRO RESUMEN DE SITIOS '!$C$5:$L$1052,7,FALSE())</f>
        <v>WOM-HUAWEI</v>
      </c>
      <c r="J270" s="25" t="str">
        <f>VLOOKUP(C270,'[1]1.CUADRO RESUMEN DE SITIOS '!$C$5:$L$1052,8,FALSE())</f>
        <v>CENTRO SUR/ NORTE</v>
      </c>
      <c r="K270" s="23" t="str">
        <f>VLOOKUP(C270,'[1]1.CUADRO RESUMEN DE SITIOS '!$C$5:$L$1052,9,FALSE())</f>
        <v>Alejandro Sanchez</v>
      </c>
      <c r="L270" s="26" t="str">
        <f>VLOOKUP(C270,'[1]1.CUADRO RESUMEN DE SITIOS '!$C$5:$L$1052,10,FALSE())</f>
        <v>Terminado</v>
      </c>
      <c r="M270" s="26">
        <v>8828119899</v>
      </c>
      <c r="N270" s="26">
        <f>VLOOKUP(M270,[1]LPU!$A$2:$G$1512,2,FALSE())</f>
        <v>216</v>
      </c>
      <c r="O270" s="26" t="str">
        <f>VLOOKUP(M270,[1]LPU!$A$2:$G$1512,3,FALSE)</f>
        <v>Reubicación de 01 SW o concentrador desde gabinete existente hacia nuevo gabinete, incluye conexión de alimentación en ambso planos y etiquetado</v>
      </c>
      <c r="P270" s="26" t="str">
        <f>VLOOKUP(M270,[1]LPU!$A$2:$G$1512,4,FALSE())</f>
        <v>TRANSMISIÓN</v>
      </c>
      <c r="Q270" s="26" t="str">
        <f>VLOOKUP(M270,[1]LPU!$A$2:$G$1512,5,FALSE())</f>
        <v>SITIO</v>
      </c>
      <c r="R270" s="27">
        <f>VLOOKUP(M270,[1]LPU!$A$2:$G$1512,6,FALSE())</f>
        <v>211427</v>
      </c>
      <c r="S270" s="27" t="str">
        <f>VLOOKUP(M270,[1]LPU!$A$2:$G$1512,7,FALSE())</f>
        <v>LPU FLM</v>
      </c>
      <c r="T270" s="28">
        <v>1</v>
      </c>
      <c r="U270" s="29">
        <f t="shared" si="4"/>
        <v>211427</v>
      </c>
      <c r="V270" s="29" t="s">
        <v>178</v>
      </c>
      <c r="W270" s="30"/>
      <c r="X270" s="29" t="s">
        <v>38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ht="21" customHeight="1" x14ac:dyDescent="0.3">
      <c r="A271" s="22">
        <v>267</v>
      </c>
      <c r="B271" s="23">
        <v>1</v>
      </c>
      <c r="C271" s="23" t="s">
        <v>177</v>
      </c>
      <c r="D271" s="23" t="str">
        <f>VLOOKUP(C271,'[1]1.CUADRO RESUMEN DE SITIOS '!$C$5:$L$1052,2,FALSE())</f>
        <v>TOL_06365</v>
      </c>
      <c r="E271" s="24">
        <f>VLOOKUP(C271,'[1]1.CUADRO RESUMEN DE SITIOS '!$C$5:$L$1052,3,FALSE())</f>
        <v>46007</v>
      </c>
      <c r="F271" s="23">
        <f>VLOOKUP(C271,'[1]1.CUADRO RESUMEN DE SITIOS '!$C$5:$L$1052,4,FALSE())</f>
        <v>0</v>
      </c>
      <c r="G271" s="23">
        <f>VLOOKUP(C271,'[1]1.CUADRO RESUMEN DE SITIOS '!$C$5:$L$1052,5,FALSE())</f>
        <v>0</v>
      </c>
      <c r="H271" s="23" t="str">
        <f>VLOOKUP(C271,'[1]1.CUADRO RESUMEN DE SITIOS '!$C$5:$L$1052,6,FALSE())</f>
        <v>Tolima</v>
      </c>
      <c r="I271" s="23" t="str">
        <f>VLOOKUP(C271,'[1]1.CUADRO RESUMEN DE SITIOS '!$C$5:$L$1052,7,FALSE())</f>
        <v>WOM-HUAWEI</v>
      </c>
      <c r="J271" s="25" t="str">
        <f>VLOOKUP(C271,'[1]1.CUADRO RESUMEN DE SITIOS '!$C$5:$L$1052,8,FALSE())</f>
        <v>CENTRO SUR/ NORTE</v>
      </c>
      <c r="K271" s="23" t="str">
        <f>VLOOKUP(C271,'[1]1.CUADRO RESUMEN DE SITIOS '!$C$5:$L$1052,9,FALSE())</f>
        <v>Alejandro Sanchez</v>
      </c>
      <c r="L271" s="26" t="str">
        <f>VLOOKUP(C271,'[1]1.CUADRO RESUMEN DE SITIOS '!$C$5:$L$1052,10,FALSE())</f>
        <v>Terminado</v>
      </c>
      <c r="M271" s="26">
        <v>8828119638</v>
      </c>
      <c r="N271" s="26">
        <f>VLOOKUP(M271,[1]LPU!$A$2:$G$1512,2,FALSE())</f>
        <v>1.01</v>
      </c>
      <c r="O271" s="26" t="str">
        <f>VLOOKUP(M271,[1]LPU!$A$2:$G$1512,3,FALSE)</f>
        <v>Excavación manual con altura menor a 0,40 m. Incluye retiro y disposición de escombros en escombrera autorizada.</v>
      </c>
      <c r="P271" s="26" t="str">
        <f>VLOOKUP(M271,[1]LPU!$A$2:$G$1512,4,FALSE())</f>
        <v>Mantenimiento CW</v>
      </c>
      <c r="Q271" s="26" t="str">
        <f>VLOOKUP(M271,[1]LPU!$A$2:$G$1512,5,FALSE())</f>
        <v>M2</v>
      </c>
      <c r="R271" s="27">
        <f>VLOOKUP(M271,[1]LPU!$A$2:$G$1512,6,FALSE())</f>
        <v>22194.35</v>
      </c>
      <c r="S271" s="27" t="str">
        <f>VLOOKUP(M271,[1]LPU!$A$2:$G$1512,7,FALSE())</f>
        <v>Mantenimiento CW</v>
      </c>
      <c r="T271" s="28">
        <v>2</v>
      </c>
      <c r="U271" s="29">
        <f t="shared" si="4"/>
        <v>44388.7</v>
      </c>
      <c r="V271" s="29" t="s">
        <v>178</v>
      </c>
      <c r="W271" s="30"/>
      <c r="X271" s="29" t="s">
        <v>38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ht="21" customHeight="1" x14ac:dyDescent="0.3">
      <c r="A272" s="22">
        <v>268</v>
      </c>
      <c r="B272" s="23">
        <v>1</v>
      </c>
      <c r="C272" s="23" t="s">
        <v>177</v>
      </c>
      <c r="D272" s="23" t="str">
        <f>VLOOKUP(C272,'[1]1.CUADRO RESUMEN DE SITIOS '!$C$5:$L$1052,2,FALSE())</f>
        <v>TOL_06365</v>
      </c>
      <c r="E272" s="24">
        <f>VLOOKUP(C272,'[1]1.CUADRO RESUMEN DE SITIOS '!$C$5:$L$1052,3,FALSE())</f>
        <v>46007</v>
      </c>
      <c r="F272" s="23">
        <f>VLOOKUP(C272,'[1]1.CUADRO RESUMEN DE SITIOS '!$C$5:$L$1052,4,FALSE())</f>
        <v>0</v>
      </c>
      <c r="G272" s="23">
        <f>VLOOKUP(C272,'[1]1.CUADRO RESUMEN DE SITIOS '!$C$5:$L$1052,5,FALSE())</f>
        <v>0</v>
      </c>
      <c r="H272" s="23" t="str">
        <f>VLOOKUP(C272,'[1]1.CUADRO RESUMEN DE SITIOS '!$C$5:$L$1052,6,FALSE())</f>
        <v>Tolima</v>
      </c>
      <c r="I272" s="23" t="str">
        <f>VLOOKUP(C272,'[1]1.CUADRO RESUMEN DE SITIOS '!$C$5:$L$1052,7,FALSE())</f>
        <v>WOM-HUAWEI</v>
      </c>
      <c r="J272" s="25" t="str">
        <f>VLOOKUP(C272,'[1]1.CUADRO RESUMEN DE SITIOS '!$C$5:$L$1052,8,FALSE())</f>
        <v>CENTRO SUR/ NORTE</v>
      </c>
      <c r="K272" s="23" t="str">
        <f>VLOOKUP(C272,'[1]1.CUADRO RESUMEN DE SITIOS '!$C$5:$L$1052,9,FALSE())</f>
        <v>Alejandro Sanchez</v>
      </c>
      <c r="L272" s="26" t="str">
        <f>VLOOKUP(C272,'[1]1.CUADRO RESUMEN DE SITIOS '!$C$5:$L$1052,10,FALSE())</f>
        <v>Terminado</v>
      </c>
      <c r="M272" s="26">
        <v>8828119701</v>
      </c>
      <c r="N272" s="26">
        <f>VLOOKUP(M272,[1]LPU!$A$2:$G$1512,2,FALSE())</f>
        <v>1.07</v>
      </c>
      <c r="O272" s="26" t="str">
        <f>VLOOKUP(M272,[1]LPU!$A$2:$G$1512,3,FALSE)</f>
        <v>Demolición de placas o estructuras de concreto reforzado, Incluye retiro de escombros y disposición final en escombrera certificada. Incluye herramientas manuales o mecánicas requeridas para la ejecución. Incluye corte de acero de refuerzo en caso de requerirse. Incluye limpieza de área, retiro y disposición de escombros en escombrera autorizada.</v>
      </c>
      <c r="P272" s="26" t="str">
        <f>VLOOKUP(M272,[1]LPU!$A$2:$G$1512,4,FALSE())</f>
        <v>Mantenimiento CW</v>
      </c>
      <c r="Q272" s="26" t="str">
        <f>VLOOKUP(M272,[1]LPU!$A$2:$G$1512,5,FALSE())</f>
        <v>M2</v>
      </c>
      <c r="R272" s="27">
        <f>VLOOKUP(M272,[1]LPU!$A$2:$G$1512,6,FALSE())</f>
        <v>210314.65</v>
      </c>
      <c r="S272" s="27" t="str">
        <f>VLOOKUP(M272,[1]LPU!$A$2:$G$1512,7,FALSE())</f>
        <v>Mantenimiento CW</v>
      </c>
      <c r="T272" s="28">
        <v>1</v>
      </c>
      <c r="U272" s="29">
        <f t="shared" si="4"/>
        <v>210314.65</v>
      </c>
      <c r="V272" s="29" t="s">
        <v>178</v>
      </c>
      <c r="W272" s="30"/>
      <c r="X272" s="29" t="s">
        <v>38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ht="21" customHeight="1" x14ac:dyDescent="0.3">
      <c r="A273" s="22">
        <v>269</v>
      </c>
      <c r="B273" s="23">
        <v>1</v>
      </c>
      <c r="C273" s="23" t="s">
        <v>177</v>
      </c>
      <c r="D273" s="23" t="str">
        <f>VLOOKUP(C273,'[1]1.CUADRO RESUMEN DE SITIOS '!$C$5:$L$1052,2,FALSE())</f>
        <v>TOL_06365</v>
      </c>
      <c r="E273" s="24">
        <f>VLOOKUP(C273,'[1]1.CUADRO RESUMEN DE SITIOS '!$C$5:$L$1052,3,FALSE())</f>
        <v>46007</v>
      </c>
      <c r="F273" s="23">
        <f>VLOOKUP(C273,'[1]1.CUADRO RESUMEN DE SITIOS '!$C$5:$L$1052,4,FALSE())</f>
        <v>0</v>
      </c>
      <c r="G273" s="23">
        <f>VLOOKUP(C273,'[1]1.CUADRO RESUMEN DE SITIOS '!$C$5:$L$1052,5,FALSE())</f>
        <v>0</v>
      </c>
      <c r="H273" s="23" t="str">
        <f>VLOOKUP(C273,'[1]1.CUADRO RESUMEN DE SITIOS '!$C$5:$L$1052,6,FALSE())</f>
        <v>Tolima</v>
      </c>
      <c r="I273" s="23" t="str">
        <f>VLOOKUP(C273,'[1]1.CUADRO RESUMEN DE SITIOS '!$C$5:$L$1052,7,FALSE())</f>
        <v>WOM-HUAWEI</v>
      </c>
      <c r="J273" s="25" t="str">
        <f>VLOOKUP(C273,'[1]1.CUADRO RESUMEN DE SITIOS '!$C$5:$L$1052,8,FALSE())</f>
        <v>CENTRO SUR/ NORTE</v>
      </c>
      <c r="K273" s="23" t="str">
        <f>VLOOKUP(C273,'[1]1.CUADRO RESUMEN DE SITIOS '!$C$5:$L$1052,9,FALSE())</f>
        <v>Alejandro Sanchez</v>
      </c>
      <c r="L273" s="26" t="str">
        <f>VLOOKUP(C273,'[1]1.CUADRO RESUMEN DE SITIOS '!$C$5:$L$1052,10,FALSE())</f>
        <v>Terminado</v>
      </c>
      <c r="M273" s="26">
        <v>8828118889</v>
      </c>
      <c r="N273" s="26">
        <f>VLOOKUP(M273,[1]LPU!$A$2:$G$1512,2,FALSE())</f>
        <v>3.02</v>
      </c>
      <c r="O273" s="26" t="str">
        <f>VLOOKUP(M273,[1]LPU!$A$2:$G$1512,3,FALSE)</f>
        <v>Suministro e instalación de Concreto 3000 PSI. Incluye Formaleta o encofrado. No incluye acero de refuerzo.</v>
      </c>
      <c r="P273" s="26" t="str">
        <f>VLOOKUP(M273,[1]LPU!$A$2:$G$1512,4,FALSE())</f>
        <v>Mantenimiento CW</v>
      </c>
      <c r="Q273" s="26" t="str">
        <f>VLOOKUP(M273,[1]LPU!$A$2:$G$1512,5,FALSE())</f>
        <v>m3</v>
      </c>
      <c r="R273" s="27">
        <f>VLOOKUP(M273,[1]LPU!$A$2:$G$1512,6,FALSE())</f>
        <v>843174.5</v>
      </c>
      <c r="S273" s="27" t="str">
        <f>VLOOKUP(M273,[1]LPU!$A$2:$G$1512,7,FALSE())</f>
        <v>Mantenimiento CW</v>
      </c>
      <c r="T273" s="28">
        <v>0.25</v>
      </c>
      <c r="U273" s="29">
        <f t="shared" si="4"/>
        <v>210793.625</v>
      </c>
      <c r="V273" s="29" t="s">
        <v>178</v>
      </c>
      <c r="W273" s="30"/>
      <c r="X273" s="29" t="s">
        <v>38</v>
      </c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ht="21" customHeight="1" x14ac:dyDescent="0.3">
      <c r="A274" s="22">
        <v>270</v>
      </c>
      <c r="B274" s="23">
        <v>1</v>
      </c>
      <c r="C274" s="23" t="s">
        <v>177</v>
      </c>
      <c r="D274" s="23" t="str">
        <f>VLOOKUP(C274,'[1]1.CUADRO RESUMEN DE SITIOS '!$C$5:$L$1052,2,FALSE())</f>
        <v>TOL_06365</v>
      </c>
      <c r="E274" s="24">
        <f>VLOOKUP(C274,'[1]1.CUADRO RESUMEN DE SITIOS '!$C$5:$L$1052,3,FALSE())</f>
        <v>46007</v>
      </c>
      <c r="F274" s="23">
        <f>VLOOKUP(C274,'[1]1.CUADRO RESUMEN DE SITIOS '!$C$5:$L$1052,4,FALSE())</f>
        <v>0</v>
      </c>
      <c r="G274" s="23">
        <f>VLOOKUP(C274,'[1]1.CUADRO RESUMEN DE SITIOS '!$C$5:$L$1052,5,FALSE())</f>
        <v>0</v>
      </c>
      <c r="H274" s="23" t="str">
        <f>VLOOKUP(C274,'[1]1.CUADRO RESUMEN DE SITIOS '!$C$5:$L$1052,6,FALSE())</f>
        <v>Tolima</v>
      </c>
      <c r="I274" s="23" t="str">
        <f>VLOOKUP(C274,'[1]1.CUADRO RESUMEN DE SITIOS '!$C$5:$L$1052,7,FALSE())</f>
        <v>WOM-HUAWEI</v>
      </c>
      <c r="J274" s="25" t="str">
        <f>VLOOKUP(C274,'[1]1.CUADRO RESUMEN DE SITIOS '!$C$5:$L$1052,8,FALSE())</f>
        <v>CENTRO SUR/ NORTE</v>
      </c>
      <c r="K274" s="23" t="str">
        <f>VLOOKUP(C274,'[1]1.CUADRO RESUMEN DE SITIOS '!$C$5:$L$1052,9,FALSE())</f>
        <v>Alejandro Sanchez</v>
      </c>
      <c r="L274" s="26" t="str">
        <f>VLOOKUP(C274,'[1]1.CUADRO RESUMEN DE SITIOS '!$C$5:$L$1052,10,FALSE())</f>
        <v>Terminado</v>
      </c>
      <c r="M274" s="26">
        <v>8828118926</v>
      </c>
      <c r="N274" s="26">
        <f>VLOOKUP(M274,[1]LPU!$A$2:$G$1512,2,FALSE())</f>
        <v>3.06</v>
      </c>
      <c r="O274" s="26" t="str">
        <f>VLOOKUP(M274,[1]LPU!$A$2:$G$1512,3,FALSE)</f>
        <v>Suministro e instalación de relleno en material recebo compactado en capa de 10 cms a una h=0,30m. Incluye equipo o maquinaria requerida para compactación.</v>
      </c>
      <c r="P274" s="26" t="str">
        <f>VLOOKUP(M274,[1]LPU!$A$2:$G$1512,4,FALSE())</f>
        <v>Mantenimiento CW</v>
      </c>
      <c r="Q274" s="26" t="str">
        <f>VLOOKUP(M274,[1]LPU!$A$2:$G$1512,5,FALSE())</f>
        <v>M3</v>
      </c>
      <c r="R274" s="27">
        <f>VLOOKUP(M274,[1]LPU!$A$2:$G$1512,6,FALSE())</f>
        <v>73819.100000000006</v>
      </c>
      <c r="S274" s="27" t="str">
        <f>VLOOKUP(M274,[1]LPU!$A$2:$G$1512,7,FALSE())</f>
        <v>Mantenimiento CW</v>
      </c>
      <c r="T274" s="28">
        <v>3</v>
      </c>
      <c r="U274" s="29">
        <f t="shared" si="4"/>
        <v>221457.30000000002</v>
      </c>
      <c r="V274" s="29" t="s">
        <v>178</v>
      </c>
      <c r="W274" s="30"/>
      <c r="X274" s="29" t="s">
        <v>38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ht="21" customHeight="1" x14ac:dyDescent="0.3">
      <c r="A275" s="22">
        <v>271</v>
      </c>
      <c r="B275" s="23">
        <v>1</v>
      </c>
      <c r="C275" s="23" t="s">
        <v>177</v>
      </c>
      <c r="D275" s="23" t="str">
        <f>VLOOKUP(C275,'[1]1.CUADRO RESUMEN DE SITIOS '!$C$5:$L$1052,2,FALSE())</f>
        <v>TOL_06365</v>
      </c>
      <c r="E275" s="24">
        <f>VLOOKUP(C275,'[1]1.CUADRO RESUMEN DE SITIOS '!$C$5:$L$1052,3,FALSE())</f>
        <v>46007</v>
      </c>
      <c r="F275" s="23">
        <f>VLOOKUP(C275,'[1]1.CUADRO RESUMEN DE SITIOS '!$C$5:$L$1052,4,FALSE())</f>
        <v>0</v>
      </c>
      <c r="G275" s="23">
        <f>VLOOKUP(C275,'[1]1.CUADRO RESUMEN DE SITIOS '!$C$5:$L$1052,5,FALSE())</f>
        <v>0</v>
      </c>
      <c r="H275" s="23" t="str">
        <f>VLOOKUP(C275,'[1]1.CUADRO RESUMEN DE SITIOS '!$C$5:$L$1052,6,FALSE())</f>
        <v>Tolima</v>
      </c>
      <c r="I275" s="23" t="str">
        <f>VLOOKUP(C275,'[1]1.CUADRO RESUMEN DE SITIOS '!$C$5:$L$1052,7,FALSE())</f>
        <v>WOM-HUAWEI</v>
      </c>
      <c r="J275" s="25" t="str">
        <f>VLOOKUP(C275,'[1]1.CUADRO RESUMEN DE SITIOS '!$C$5:$L$1052,8,FALSE())</f>
        <v>CENTRO SUR/ NORTE</v>
      </c>
      <c r="K275" s="23" t="str">
        <f>VLOOKUP(C275,'[1]1.CUADRO RESUMEN DE SITIOS '!$C$5:$L$1052,9,FALSE())</f>
        <v>Alejandro Sanchez</v>
      </c>
      <c r="L275" s="26" t="str">
        <f>VLOOKUP(C275,'[1]1.CUADRO RESUMEN DE SITIOS '!$C$5:$L$1052,10,FALSE())</f>
        <v>Terminado</v>
      </c>
      <c r="M275" s="26">
        <v>8828119117</v>
      </c>
      <c r="N275" s="26">
        <f>VLOOKUP(M275,[1]LPU!$A$2:$G$1512,2,FALSE())</f>
        <v>1.02</v>
      </c>
      <c r="O275" s="26" t="str">
        <f>VLOOKUP(M275,[1]LPU!$A$2:$G$1512,3,FALSE)</f>
        <v>Retiro sistema de puesta a tierra y busbar existentes, existente en Estación base, Incluye retiro omegas, soportes, cable 2/0, terminales, busbar con sus accesorios y elaboración del inventario.</v>
      </c>
      <c r="P275" s="26" t="str">
        <f>VLOOKUP(M275,[1]LPU!$A$2:$G$1512,4,FALSE())</f>
        <v>Mantenimiento Electrico</v>
      </c>
      <c r="Q275" s="26" t="str">
        <f>VLOOKUP(M275,[1]LPU!$A$2:$G$1512,5,FALSE())</f>
        <v>Glb</v>
      </c>
      <c r="R275" s="27">
        <f>VLOOKUP(M275,[1]LPU!$A$2:$G$1512,6,FALSE())</f>
        <v>121863.65</v>
      </c>
      <c r="S275" s="27" t="str">
        <f>VLOOKUP(M275,[1]LPU!$A$2:$G$1512,7,FALSE())</f>
        <v>Mantenimiento Electrico</v>
      </c>
      <c r="T275" s="28">
        <v>1</v>
      </c>
      <c r="U275" s="29">
        <f t="shared" si="4"/>
        <v>121863.65</v>
      </c>
      <c r="V275" s="29" t="s">
        <v>178</v>
      </c>
      <c r="W275" s="30"/>
      <c r="X275" s="29" t="s">
        <v>38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ht="21" customHeight="1" x14ac:dyDescent="0.3">
      <c r="A276" s="22">
        <v>272</v>
      </c>
      <c r="B276" s="23">
        <v>1</v>
      </c>
      <c r="C276" s="23" t="s">
        <v>179</v>
      </c>
      <c r="D276" s="23" t="str">
        <f>VLOOKUP(C276,'[1]1.CUADRO RESUMEN DE SITIOS '!$C$5:$L$1052,2,FALSE())</f>
        <v>BOY0003</v>
      </c>
      <c r="E276" s="24">
        <f>VLOOKUP(C276,'[1]1.CUADRO RESUMEN DE SITIOS '!$C$5:$L$1052,3,FALSE())</f>
        <v>46008</v>
      </c>
      <c r="F276" s="35">
        <f>VLOOKUP(C276,'[1]1.CUADRO RESUMEN DE SITIOS '!$C$5:$L$1052,4,FALSE())</f>
        <v>5429</v>
      </c>
      <c r="G276" s="23" t="str">
        <f>VLOOKUP(C276,'[1]1.CUADRO RESUMEN DE SITIOS '!$C$5:$L$1052,5,FALSE())</f>
        <v>_-73,444</v>
      </c>
      <c r="H276" s="23" t="str">
        <f>VLOOKUP(C276,'[1]1.CUADRO RESUMEN DE SITIOS '!$C$5:$L$1052,6,FALSE())</f>
        <v>Boyacá</v>
      </c>
      <c r="I276" s="23" t="str">
        <f>VLOOKUP(C276,'[1]1.CUADRO RESUMEN DE SITIOS '!$C$5:$L$1052,7,FALSE())</f>
        <v>UNIRED</v>
      </c>
      <c r="J276" s="25" t="str">
        <f>VLOOKUP(C276,'[1]1.CUADRO RESUMEN DE SITIOS '!$C$5:$L$1052,8,FALSE())</f>
        <v>NOROCCIDENTE</v>
      </c>
      <c r="K276" s="23" t="str">
        <f>VLOOKUP(C276,'[1]1.CUADRO RESUMEN DE SITIOS '!$C$5:$L$1052,9,FALSE())</f>
        <v>Carlos Eduardo Montoya</v>
      </c>
      <c r="L276" s="26" t="str">
        <f>VLOOKUP(C276,'[1]1.CUADRO RESUMEN DE SITIOS '!$C$5:$L$1052,10,FALSE())</f>
        <v>Terminado</v>
      </c>
      <c r="M276" s="26">
        <v>1</v>
      </c>
      <c r="N276" s="26">
        <v>1</v>
      </c>
      <c r="O276" s="26" t="s">
        <v>35</v>
      </c>
      <c r="P276" s="26" t="s">
        <v>139</v>
      </c>
      <c r="Q276" s="26" t="s">
        <v>139</v>
      </c>
      <c r="R276" s="27">
        <v>19657900</v>
      </c>
      <c r="S276" s="27" t="s">
        <v>139</v>
      </c>
      <c r="T276" s="28">
        <v>1</v>
      </c>
      <c r="U276" s="29">
        <f t="shared" si="4"/>
        <v>19657900</v>
      </c>
      <c r="V276" s="29" t="s">
        <v>35</v>
      </c>
      <c r="W276" s="30"/>
      <c r="X276" s="29" t="s">
        <v>82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ht="21" customHeight="1" x14ac:dyDescent="0.3">
      <c r="A277" s="22">
        <v>273</v>
      </c>
      <c r="B277" s="23">
        <v>1</v>
      </c>
      <c r="C277" s="23" t="s">
        <v>180</v>
      </c>
      <c r="D277" s="23" t="str">
        <f>VLOOKUP(C277,'[1]1.CUADRO RESUMEN DE SITIOS '!$C$5:$L$1052,2,FALSE())</f>
        <v>NEI_04419</v>
      </c>
      <c r="E277" s="24">
        <f>VLOOKUP(C277,'[1]1.CUADRO RESUMEN DE SITIOS '!$C$5:$L$1052,3,FALSE())</f>
        <v>46014</v>
      </c>
      <c r="F277" s="23">
        <f>VLOOKUP(C277,'[1]1.CUADRO RESUMEN DE SITIOS '!$C$5:$L$1052,4,FALSE())</f>
        <v>295221365</v>
      </c>
      <c r="G277" s="23">
        <f>VLOOKUP(C277,'[1]1.CUADRO RESUMEN DE SITIOS '!$C$5:$L$1052,5,FALSE())</f>
        <v>-7530110574</v>
      </c>
      <c r="H277" s="23" t="str">
        <f>VLOOKUP(C277,'[1]1.CUADRO RESUMEN DE SITIOS '!$C$5:$L$1052,6,FALSE())</f>
        <v>Huila</v>
      </c>
      <c r="I277" s="23" t="str">
        <f>VLOOKUP(C277,'[1]1.CUADRO RESUMEN DE SITIOS '!$C$5:$L$1052,7,FALSE())</f>
        <v>WOM-HUAWEI</v>
      </c>
      <c r="J277" s="25" t="str">
        <f>VLOOKUP(C277,'[1]1.CUADRO RESUMEN DE SITIOS '!$C$5:$L$1052,8,FALSE())</f>
        <v>NOROCCIDENTE</v>
      </c>
      <c r="K277" s="23" t="str">
        <f>VLOOKUP(C277,'[1]1.CUADRO RESUMEN DE SITIOS '!$C$5:$L$1052,9,FALSE())</f>
        <v>Alejandro Sanchez</v>
      </c>
      <c r="L277" s="26" t="str">
        <f>VLOOKUP(C277,'[1]1.CUADRO RESUMEN DE SITIOS '!$C$5:$L$1052,10,FALSE())</f>
        <v>Terminado</v>
      </c>
      <c r="M277" s="26">
        <v>8828118877</v>
      </c>
      <c r="N277" s="26">
        <f>VLOOKUP(M277,[1]LPU!$A$2:$G$1512,2,FALSE())</f>
        <v>82</v>
      </c>
      <c r="O277" s="26" t="str">
        <f>VLOOKUP(M277,[1]LPU!$A$2:$G$1512,3,FALSE)</f>
        <v>Suministro e Instalacion de terminal para cable awg # 6 en cobre estañado un ojo</v>
      </c>
      <c r="P277" s="26" t="str">
        <f>VLOOKUP(M277,[1]LPU!$A$2:$G$1512,4,FALSE())</f>
        <v>ENERGÍA</v>
      </c>
      <c r="Q277" s="26" t="str">
        <f>VLOOKUP(M277,[1]LPU!$A$2:$G$1512,5,FALSE())</f>
        <v>U</v>
      </c>
      <c r="R277" s="27">
        <f>VLOOKUP(M277,[1]LPU!$A$2:$G$1512,6,FALSE())</f>
        <v>1081</v>
      </c>
      <c r="S277" s="27" t="str">
        <f>VLOOKUP(M277,[1]LPU!$A$2:$G$1512,7,FALSE())</f>
        <v>LPU FLM</v>
      </c>
      <c r="T277" s="28">
        <v>12</v>
      </c>
      <c r="U277" s="29">
        <f t="shared" si="4"/>
        <v>12972</v>
      </c>
      <c r="V277" s="29" t="s">
        <v>181</v>
      </c>
      <c r="W277" s="30"/>
      <c r="X277" s="29" t="s">
        <v>27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ht="21" customHeight="1" x14ac:dyDescent="0.3">
      <c r="A278" s="22">
        <v>274</v>
      </c>
      <c r="B278" s="23">
        <v>1</v>
      </c>
      <c r="C278" s="23" t="s">
        <v>180</v>
      </c>
      <c r="D278" s="23" t="str">
        <f>VLOOKUP(C278,'[1]1.CUADRO RESUMEN DE SITIOS '!$C$5:$L$1052,2,FALSE())</f>
        <v>NEI_04419</v>
      </c>
      <c r="E278" s="24">
        <f>VLOOKUP(C278,'[1]1.CUADRO RESUMEN DE SITIOS '!$C$5:$L$1052,3,FALSE())</f>
        <v>46014</v>
      </c>
      <c r="F278" s="23">
        <f>VLOOKUP(C278,'[1]1.CUADRO RESUMEN DE SITIOS '!$C$5:$L$1052,4,FALSE())</f>
        <v>295221365</v>
      </c>
      <c r="G278" s="23">
        <f>VLOOKUP(C278,'[1]1.CUADRO RESUMEN DE SITIOS '!$C$5:$L$1052,5,FALSE())</f>
        <v>-7530110574</v>
      </c>
      <c r="H278" s="23" t="str">
        <f>VLOOKUP(C278,'[1]1.CUADRO RESUMEN DE SITIOS '!$C$5:$L$1052,6,FALSE())</f>
        <v>Huila</v>
      </c>
      <c r="I278" s="23" t="str">
        <f>VLOOKUP(C278,'[1]1.CUADRO RESUMEN DE SITIOS '!$C$5:$L$1052,7,FALSE())</f>
        <v>WOM-HUAWEI</v>
      </c>
      <c r="J278" s="25" t="str">
        <f>VLOOKUP(C278,'[1]1.CUADRO RESUMEN DE SITIOS '!$C$5:$L$1052,8,FALSE())</f>
        <v>NOROCCIDENTE</v>
      </c>
      <c r="K278" s="23" t="str">
        <f>VLOOKUP(C278,'[1]1.CUADRO RESUMEN DE SITIOS '!$C$5:$L$1052,9,FALSE())</f>
        <v>Alejandro Sanchez</v>
      </c>
      <c r="L278" s="26" t="str">
        <f>VLOOKUP(C278,'[1]1.CUADRO RESUMEN DE SITIOS '!$C$5:$L$1052,10,FALSE())</f>
        <v>Terminado</v>
      </c>
      <c r="M278" s="26">
        <v>8828119073</v>
      </c>
      <c r="N278" s="26">
        <f>VLOOKUP(M278,[1]LPU!$A$2:$G$1512,2,FALSE())</f>
        <v>2.2599999999999998</v>
      </c>
      <c r="O278" s="26" t="str">
        <f>VLOOKUP(M278,[1]LPU!$A$2:$G$1512,3,FALSE)</f>
        <v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v>
      </c>
      <c r="P278" s="26" t="str">
        <f>VLOOKUP(M278,[1]LPU!$A$2:$G$1512,4,FALSE())</f>
        <v>Mantenimiento Electrico</v>
      </c>
      <c r="Q278" s="26" t="str">
        <f>VLOOKUP(M278,[1]LPU!$A$2:$G$1512,5,FALSE())</f>
        <v>ML</v>
      </c>
      <c r="R278" s="27">
        <f>VLOOKUP(M278,[1]LPU!$A$2:$G$1512,6,FALSE())</f>
        <v>3413.6</v>
      </c>
      <c r="S278" s="27" t="str">
        <f>VLOOKUP(M278,[1]LPU!$A$2:$G$1512,7,FALSE())</f>
        <v>Mantenimiento Electrico</v>
      </c>
      <c r="T278" s="28">
        <v>360</v>
      </c>
      <c r="U278" s="29">
        <f t="shared" si="4"/>
        <v>1228896</v>
      </c>
      <c r="V278" s="29" t="s">
        <v>181</v>
      </c>
      <c r="W278" s="30"/>
      <c r="X278" s="29" t="s">
        <v>38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ht="21" customHeight="1" x14ac:dyDescent="0.3">
      <c r="A279" s="22">
        <v>275</v>
      </c>
      <c r="B279" s="23">
        <v>1</v>
      </c>
      <c r="C279" s="23" t="s">
        <v>180</v>
      </c>
      <c r="D279" s="23" t="str">
        <f>VLOOKUP(C279,'[1]1.CUADRO RESUMEN DE SITIOS '!$C$5:$L$1052,2,FALSE())</f>
        <v>NEI_04419</v>
      </c>
      <c r="E279" s="24">
        <f>VLOOKUP(C279,'[1]1.CUADRO RESUMEN DE SITIOS '!$C$5:$L$1052,3,FALSE())</f>
        <v>46014</v>
      </c>
      <c r="F279" s="23">
        <f>VLOOKUP(C279,'[1]1.CUADRO RESUMEN DE SITIOS '!$C$5:$L$1052,4,FALSE())</f>
        <v>295221365</v>
      </c>
      <c r="G279" s="23">
        <f>VLOOKUP(C279,'[1]1.CUADRO RESUMEN DE SITIOS '!$C$5:$L$1052,5,FALSE())</f>
        <v>-7530110574</v>
      </c>
      <c r="H279" s="23" t="str">
        <f>VLOOKUP(C279,'[1]1.CUADRO RESUMEN DE SITIOS '!$C$5:$L$1052,6,FALSE())</f>
        <v>Huila</v>
      </c>
      <c r="I279" s="23" t="str">
        <f>VLOOKUP(C279,'[1]1.CUADRO RESUMEN DE SITIOS '!$C$5:$L$1052,7,FALSE())</f>
        <v>WOM-HUAWEI</v>
      </c>
      <c r="J279" s="25" t="str">
        <f>VLOOKUP(C279,'[1]1.CUADRO RESUMEN DE SITIOS '!$C$5:$L$1052,8,FALSE())</f>
        <v>NOROCCIDENTE</v>
      </c>
      <c r="K279" s="23" t="str">
        <f>VLOOKUP(C279,'[1]1.CUADRO RESUMEN DE SITIOS '!$C$5:$L$1052,9,FALSE())</f>
        <v>Alejandro Sanchez</v>
      </c>
      <c r="L279" s="26" t="str">
        <f>VLOOKUP(C279,'[1]1.CUADRO RESUMEN DE SITIOS '!$C$5:$L$1052,10,FALSE())</f>
        <v>Terminado</v>
      </c>
      <c r="M279" s="26">
        <v>8828119016</v>
      </c>
      <c r="N279" s="26">
        <f>VLOOKUP(M279,[1]LPU!$A$2:$G$1512,2,FALSE())</f>
        <v>498</v>
      </c>
      <c r="O279" s="26" t="str">
        <f>VLOOKUP(M279,[1]LPU!$A$2:$G$1512,3,FALSE)</f>
        <v>CAJA PARA CONTADOR MONOFASICO N2 23</v>
      </c>
      <c r="P279" s="26" t="str">
        <f>VLOOKUP(M279,[1]LPU!$A$2:$G$1512,4,FALSE())</f>
        <v>Nivel 2</v>
      </c>
      <c r="Q279" s="26" t="str">
        <f>VLOOKUP(M279,[1]LPU!$A$2:$G$1512,5,FALSE())</f>
        <v>Uni</v>
      </c>
      <c r="R279" s="27">
        <f>VLOOKUP(M279,[1]LPU!$A$2:$G$1512,6,FALSE())</f>
        <v>104374</v>
      </c>
      <c r="S279" s="27" t="str">
        <f>VLOOKUP(M279,[1]LPU!$A$2:$G$1512,7,FALSE())</f>
        <v>N2</v>
      </c>
      <c r="T279" s="28">
        <v>1</v>
      </c>
      <c r="U279" s="29">
        <f t="shared" si="4"/>
        <v>104374</v>
      </c>
      <c r="V279" s="29" t="s">
        <v>182</v>
      </c>
      <c r="W279" s="30"/>
      <c r="X279" s="29" t="s">
        <v>38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ht="21" customHeight="1" x14ac:dyDescent="0.3">
      <c r="A280" s="22">
        <v>276</v>
      </c>
      <c r="B280" s="23">
        <v>1</v>
      </c>
      <c r="C280" s="23" t="s">
        <v>180</v>
      </c>
      <c r="D280" s="23" t="str">
        <f>VLOOKUP(C280,'[1]1.CUADRO RESUMEN DE SITIOS '!$C$5:$L$1052,2,FALSE())</f>
        <v>NEI_04419</v>
      </c>
      <c r="E280" s="24">
        <f>VLOOKUP(C280,'[1]1.CUADRO RESUMEN DE SITIOS '!$C$5:$L$1052,3,FALSE())</f>
        <v>46014</v>
      </c>
      <c r="F280" s="23">
        <f>VLOOKUP(C280,'[1]1.CUADRO RESUMEN DE SITIOS '!$C$5:$L$1052,4,FALSE())</f>
        <v>295221365</v>
      </c>
      <c r="G280" s="23">
        <f>VLOOKUP(C280,'[1]1.CUADRO RESUMEN DE SITIOS '!$C$5:$L$1052,5,FALSE())</f>
        <v>-7530110574</v>
      </c>
      <c r="H280" s="23" t="str">
        <f>VLOOKUP(C280,'[1]1.CUADRO RESUMEN DE SITIOS '!$C$5:$L$1052,6,FALSE())</f>
        <v>Huila</v>
      </c>
      <c r="I280" s="23" t="str">
        <f>VLOOKUP(C280,'[1]1.CUADRO RESUMEN DE SITIOS '!$C$5:$L$1052,7,FALSE())</f>
        <v>WOM-HUAWEI</v>
      </c>
      <c r="J280" s="25" t="str">
        <f>VLOOKUP(C280,'[1]1.CUADRO RESUMEN DE SITIOS '!$C$5:$L$1052,8,FALSE())</f>
        <v>NOROCCIDENTE</v>
      </c>
      <c r="K280" s="23" t="str">
        <f>VLOOKUP(C280,'[1]1.CUADRO RESUMEN DE SITIOS '!$C$5:$L$1052,9,FALSE())</f>
        <v>Alejandro Sanchez</v>
      </c>
      <c r="L280" s="26" t="str">
        <f>VLOOKUP(C280,'[1]1.CUADRO RESUMEN DE SITIOS '!$C$5:$L$1052,10,FALSE())</f>
        <v>Terminado</v>
      </c>
      <c r="M280" s="26">
        <v>8828119178</v>
      </c>
      <c r="N280" s="26">
        <f>VLOOKUP(M280,[1]LPU!$A$2:$G$1512,2,FALSE())</f>
        <v>516</v>
      </c>
      <c r="O280" s="26" t="str">
        <f>VLOOKUP(M280,[1]LPU!$A$2:$G$1512,3,FALSE)</f>
        <v>CINTA BANDIT 3/4” N2 23</v>
      </c>
      <c r="P280" s="26" t="str">
        <f>VLOOKUP(M280,[1]LPU!$A$2:$G$1512,4,FALSE())</f>
        <v>Nivel 2</v>
      </c>
      <c r="Q280" s="26" t="str">
        <f>VLOOKUP(M280,[1]LPU!$A$2:$G$1512,5,FALSE())</f>
        <v>Uni</v>
      </c>
      <c r="R280" s="27">
        <f>VLOOKUP(M280,[1]LPU!$A$2:$G$1512,6,FALSE())</f>
        <v>4997</v>
      </c>
      <c r="S280" s="27" t="str">
        <f>VLOOKUP(M280,[1]LPU!$A$2:$G$1512,7,FALSE())</f>
        <v>N2</v>
      </c>
      <c r="T280" s="28">
        <v>4</v>
      </c>
      <c r="U280" s="29">
        <f t="shared" si="4"/>
        <v>19988</v>
      </c>
      <c r="V280" s="29" t="s">
        <v>182</v>
      </c>
      <c r="W280" s="30"/>
      <c r="X280" s="29" t="s">
        <v>38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ht="21" customHeight="1" x14ac:dyDescent="0.3">
      <c r="A281" s="22">
        <v>277</v>
      </c>
      <c r="B281" s="23">
        <v>1</v>
      </c>
      <c r="C281" s="23" t="s">
        <v>180</v>
      </c>
      <c r="D281" s="23" t="str">
        <f>VLOOKUP(C281,'[1]1.CUADRO RESUMEN DE SITIOS '!$C$5:$L$1052,2,FALSE())</f>
        <v>NEI_04419</v>
      </c>
      <c r="E281" s="24">
        <f>VLOOKUP(C281,'[1]1.CUADRO RESUMEN DE SITIOS '!$C$5:$L$1052,3,FALSE())</f>
        <v>46014</v>
      </c>
      <c r="F281" s="23">
        <f>VLOOKUP(C281,'[1]1.CUADRO RESUMEN DE SITIOS '!$C$5:$L$1052,4,FALSE())</f>
        <v>295221365</v>
      </c>
      <c r="G281" s="23">
        <f>VLOOKUP(C281,'[1]1.CUADRO RESUMEN DE SITIOS '!$C$5:$L$1052,5,FALSE())</f>
        <v>-7530110574</v>
      </c>
      <c r="H281" s="23" t="str">
        <f>VLOOKUP(C281,'[1]1.CUADRO RESUMEN DE SITIOS '!$C$5:$L$1052,6,FALSE())</f>
        <v>Huila</v>
      </c>
      <c r="I281" s="23" t="str">
        <f>VLOOKUP(C281,'[1]1.CUADRO RESUMEN DE SITIOS '!$C$5:$L$1052,7,FALSE())</f>
        <v>WOM-HUAWEI</v>
      </c>
      <c r="J281" s="25" t="str">
        <f>VLOOKUP(C281,'[1]1.CUADRO RESUMEN DE SITIOS '!$C$5:$L$1052,8,FALSE())</f>
        <v>NOROCCIDENTE</v>
      </c>
      <c r="K281" s="23" t="str">
        <f>VLOOKUP(C281,'[1]1.CUADRO RESUMEN DE SITIOS '!$C$5:$L$1052,9,FALSE())</f>
        <v>Alejandro Sanchez</v>
      </c>
      <c r="L281" s="26" t="str">
        <f>VLOOKUP(C281,'[1]1.CUADRO RESUMEN DE SITIOS '!$C$5:$L$1052,10,FALSE())</f>
        <v>Terminado</v>
      </c>
      <c r="M281" s="26">
        <v>8828118947</v>
      </c>
      <c r="N281" s="26">
        <f>VLOOKUP(M281,[1]LPU!$A$2:$G$1512,2,FALSE())</f>
        <v>112</v>
      </c>
      <c r="O281" s="26" t="str">
        <f>VLOOKUP(M281,[1]LPU!$A$2:$G$1512,3,FALSE)</f>
        <v>HEBILLA CINTA BANDIT 3/4” N2 23</v>
      </c>
      <c r="P281" s="26" t="str">
        <f>VLOOKUP(M281,[1]LPU!$A$2:$G$1512,4,FALSE())</f>
        <v>Nivel 2</v>
      </c>
      <c r="Q281" s="26" t="str">
        <f>VLOOKUP(M281,[1]LPU!$A$2:$G$1512,5,FALSE())</f>
        <v>Uni</v>
      </c>
      <c r="R281" s="27">
        <f>VLOOKUP(M281,[1]LPU!$A$2:$G$1512,6,FALSE())</f>
        <v>1316</v>
      </c>
      <c r="S281" s="27" t="str">
        <f>VLOOKUP(M281,[1]LPU!$A$2:$G$1512,7,FALSE())</f>
        <v>N2</v>
      </c>
      <c r="T281" s="28">
        <v>4</v>
      </c>
      <c r="U281" s="29">
        <f t="shared" si="4"/>
        <v>5264</v>
      </c>
      <c r="V281" s="29" t="s">
        <v>182</v>
      </c>
      <c r="W281" s="30"/>
      <c r="X281" s="29" t="s">
        <v>38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ht="21" customHeight="1" x14ac:dyDescent="0.3">
      <c r="A282" s="22">
        <v>278</v>
      </c>
      <c r="B282" s="23">
        <v>1</v>
      </c>
      <c r="C282" s="23" t="s">
        <v>180</v>
      </c>
      <c r="D282" s="23" t="str">
        <f>VLOOKUP(C282,'[1]1.CUADRO RESUMEN DE SITIOS '!$C$5:$L$1052,2,FALSE())</f>
        <v>NEI_04419</v>
      </c>
      <c r="E282" s="24">
        <f>VLOOKUP(C282,'[1]1.CUADRO RESUMEN DE SITIOS '!$C$5:$L$1052,3,FALSE())</f>
        <v>46014</v>
      </c>
      <c r="F282" s="23">
        <f>VLOOKUP(C282,'[1]1.CUADRO RESUMEN DE SITIOS '!$C$5:$L$1052,4,FALSE())</f>
        <v>295221365</v>
      </c>
      <c r="G282" s="23">
        <f>VLOOKUP(C282,'[1]1.CUADRO RESUMEN DE SITIOS '!$C$5:$L$1052,5,FALSE())</f>
        <v>-7530110574</v>
      </c>
      <c r="H282" s="23" t="str">
        <f>VLOOKUP(C282,'[1]1.CUADRO RESUMEN DE SITIOS '!$C$5:$L$1052,6,FALSE())</f>
        <v>Huila</v>
      </c>
      <c r="I282" s="23" t="str">
        <f>VLOOKUP(C282,'[1]1.CUADRO RESUMEN DE SITIOS '!$C$5:$L$1052,7,FALSE())</f>
        <v>WOM-HUAWEI</v>
      </c>
      <c r="J282" s="25" t="str">
        <f>VLOOKUP(C282,'[1]1.CUADRO RESUMEN DE SITIOS '!$C$5:$L$1052,8,FALSE())</f>
        <v>NOROCCIDENTE</v>
      </c>
      <c r="K282" s="23" t="str">
        <f>VLOOKUP(C282,'[1]1.CUADRO RESUMEN DE SITIOS '!$C$5:$L$1052,9,FALSE())</f>
        <v>Alejandro Sanchez</v>
      </c>
      <c r="L282" s="26" t="str">
        <f>VLOOKUP(C282,'[1]1.CUADRO RESUMEN DE SITIOS '!$C$5:$L$1052,10,FALSE())</f>
        <v>Terminado</v>
      </c>
      <c r="M282" s="26">
        <v>8828119931</v>
      </c>
      <c r="N282" s="26">
        <f>VLOOKUP(M282,[1]LPU!$A$2:$G$1512,2,FALSE())</f>
        <v>164</v>
      </c>
      <c r="O282" s="26" t="str">
        <f>VLOOKUP(M282,[1]LPU!$A$2:$G$1512,3,FALSE)</f>
        <v>Tansporte tipo B, fuera de área metropolitana</v>
      </c>
      <c r="P282" s="26" t="str">
        <f>VLOOKUP(M282,[1]LPU!$A$2:$G$1512,4,FALSE())</f>
        <v>LOCATIVO</v>
      </c>
      <c r="Q282" s="26" t="str">
        <f>VLOOKUP(M282,[1]LPU!$A$2:$G$1512,5,FALSE())</f>
        <v>Global</v>
      </c>
      <c r="R282" s="27">
        <f>VLOOKUP(M282,[1]LPU!$A$2:$G$1512,6,FALSE())</f>
        <v>253785</v>
      </c>
      <c r="S282" s="27" t="str">
        <f>VLOOKUP(M282,[1]LPU!$A$2:$G$1512,7,FALSE())</f>
        <v>LPU FLM</v>
      </c>
      <c r="T282" s="28">
        <v>1</v>
      </c>
      <c r="U282" s="29">
        <f t="shared" si="4"/>
        <v>253785</v>
      </c>
      <c r="V282" s="29" t="s">
        <v>182</v>
      </c>
      <c r="W282" s="30"/>
      <c r="X282" s="29" t="s">
        <v>38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ht="21" customHeight="1" x14ac:dyDescent="0.3">
      <c r="A283" s="22">
        <v>279</v>
      </c>
      <c r="B283" s="23">
        <v>1</v>
      </c>
      <c r="C283" s="23" t="s">
        <v>180</v>
      </c>
      <c r="D283" s="23" t="str">
        <f>VLOOKUP(C283,'[1]1.CUADRO RESUMEN DE SITIOS '!$C$5:$L$1052,2,FALSE())</f>
        <v>NEI_04419</v>
      </c>
      <c r="E283" s="24">
        <f>VLOOKUP(C283,'[1]1.CUADRO RESUMEN DE SITIOS '!$C$5:$L$1052,3,FALSE())</f>
        <v>46014</v>
      </c>
      <c r="F283" s="23">
        <f>VLOOKUP(C283,'[1]1.CUADRO RESUMEN DE SITIOS '!$C$5:$L$1052,4,FALSE())</f>
        <v>295221365</v>
      </c>
      <c r="G283" s="23">
        <f>VLOOKUP(C283,'[1]1.CUADRO RESUMEN DE SITIOS '!$C$5:$L$1052,5,FALSE())</f>
        <v>-7530110574</v>
      </c>
      <c r="H283" s="23" t="str">
        <f>VLOOKUP(C283,'[1]1.CUADRO RESUMEN DE SITIOS '!$C$5:$L$1052,6,FALSE())</f>
        <v>Huila</v>
      </c>
      <c r="I283" s="23" t="str">
        <f>VLOOKUP(C283,'[1]1.CUADRO RESUMEN DE SITIOS '!$C$5:$L$1052,7,FALSE())</f>
        <v>WOM-HUAWEI</v>
      </c>
      <c r="J283" s="25" t="str">
        <f>VLOOKUP(C283,'[1]1.CUADRO RESUMEN DE SITIOS '!$C$5:$L$1052,8,FALSE())</f>
        <v>NOROCCIDENTE</v>
      </c>
      <c r="K283" s="23" t="str">
        <f>VLOOKUP(C283,'[1]1.CUADRO RESUMEN DE SITIOS '!$C$5:$L$1052,9,FALSE())</f>
        <v>Alejandro Sanchez</v>
      </c>
      <c r="L283" s="26" t="str">
        <f>VLOOKUP(C283,'[1]1.CUADRO RESUMEN DE SITIOS '!$C$5:$L$1052,10,FALSE())</f>
        <v>Terminado</v>
      </c>
      <c r="M283" s="26">
        <v>8828119110</v>
      </c>
      <c r="N283" s="26">
        <f>VLOOKUP(M283,[1]LPU!$A$2:$G$1512,2,FALSE())</f>
        <v>107</v>
      </c>
      <c r="O283" s="26" t="str">
        <f>VLOOKUP(M283,[1]LPU!$A$2:$G$1512,3,FALSE)</f>
        <v>Mano de Obra Tecnico Electricista Certficado CONTE</v>
      </c>
      <c r="P283" s="26" t="str">
        <f>VLOOKUP(M283,[1]LPU!$A$2:$G$1512,4,FALSE())</f>
        <v>ENERGÍA</v>
      </c>
      <c r="Q283" s="26" t="str">
        <f>VLOOKUP(M283,[1]LPU!$A$2:$G$1512,5,FALSE())</f>
        <v>DIA</v>
      </c>
      <c r="R283" s="27">
        <f>VLOOKUP(M283,[1]LPU!$A$2:$G$1512,6,FALSE())</f>
        <v>136000</v>
      </c>
      <c r="S283" s="27" t="str">
        <f>VLOOKUP(M283,[1]LPU!$A$2:$G$1512,7,FALSE())</f>
        <v>LPU FLM</v>
      </c>
      <c r="T283" s="28">
        <v>1</v>
      </c>
      <c r="U283" s="29">
        <f t="shared" si="4"/>
        <v>136000</v>
      </c>
      <c r="V283" s="29" t="s">
        <v>182</v>
      </c>
      <c r="W283" s="30"/>
      <c r="X283" s="29" t="s">
        <v>38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ht="21" customHeight="1" x14ac:dyDescent="0.3">
      <c r="A284" s="22">
        <v>280</v>
      </c>
      <c r="B284" s="23">
        <v>1</v>
      </c>
      <c r="C284" s="23" t="s">
        <v>33</v>
      </c>
      <c r="D284" s="23" t="str">
        <f>VLOOKUP(C284,'[1]1.CUADRO RESUMEN DE SITIOS '!$C$5:$L$1052,2,FALSE())</f>
        <v>JSUC_00070</v>
      </c>
      <c r="E284" s="24">
        <f>VLOOKUP(C284,'[1]1.CUADRO RESUMEN DE SITIOS '!$C$5:$L$1052,3,FALSE())</f>
        <v>45787</v>
      </c>
      <c r="F284" s="23">
        <f>VLOOKUP(C284,'[1]1.CUADRO RESUMEN DE SITIOS '!$C$5:$L$1052,4,FALSE())</f>
        <v>8.70627</v>
      </c>
      <c r="G284" s="23">
        <f>VLOOKUP(C284,'[1]1.CUADRO RESUMEN DE SITIOS '!$C$5:$L$1052,5,FALSE())</f>
        <v>-75.221459999999993</v>
      </c>
      <c r="H284" s="23" t="str">
        <f>VLOOKUP(C284,'[1]1.CUADRO RESUMEN DE SITIOS '!$C$5:$L$1052,6,FALSE())</f>
        <v>Sucre</v>
      </c>
      <c r="I284" s="23" t="str">
        <f>VLOOKUP(C284,'[1]1.CUADRO RESUMEN DE SITIOS '!$C$5:$L$1052,7,FALSE())</f>
        <v>WOM</v>
      </c>
      <c r="J284" s="25" t="str">
        <f>VLOOKUP(C284,'[1]1.CUADRO RESUMEN DE SITIOS '!$C$5:$L$1052,8,FALSE())</f>
        <v>COSTA</v>
      </c>
      <c r="K284" s="23" t="str">
        <f>VLOOKUP(C284,'[1]1.CUADRO RESUMEN DE SITIOS '!$C$5:$L$1052,9,FALSE())</f>
        <v>Elkis Sandoval</v>
      </c>
      <c r="L284" s="26" t="str">
        <f>VLOOKUP(C284,'[1]1.CUADRO RESUMEN DE SITIOS '!$C$5:$L$1052,10,FALSE())</f>
        <v>Terminado</v>
      </c>
      <c r="M284" s="26">
        <v>8828118979</v>
      </c>
      <c r="N284" s="26">
        <f>VLOOKUP(M284,[1]LPU!$A$2:$G$1512,2,FALSE())</f>
        <v>157</v>
      </c>
      <c r="O284" s="26" t="str">
        <f>VLOOKUP(M284,[1]LPU!$A$2:$G$1512,3,FALSE)</f>
        <v>PARARRAYOS DE 13 2 KV N2 23</v>
      </c>
      <c r="P284" s="26" t="str">
        <f>VLOOKUP(M284,[1]LPU!$A$2:$G$1512,4,FALSE())</f>
        <v>Nivel 2</v>
      </c>
      <c r="Q284" s="26" t="str">
        <f>VLOOKUP(M284,[1]LPU!$A$2:$G$1512,5,FALSE())</f>
        <v>Uni</v>
      </c>
      <c r="R284" s="27">
        <f>VLOOKUP(M284,[1]LPU!$A$2:$G$1512,6,FALSE())</f>
        <v>397488</v>
      </c>
      <c r="S284" s="27" t="str">
        <f>VLOOKUP(M284,[1]LPU!$A$2:$G$1512,7,FALSE())</f>
        <v>N2</v>
      </c>
      <c r="T284" s="28">
        <v>4</v>
      </c>
      <c r="U284" s="29">
        <f t="shared" si="4"/>
        <v>1589952</v>
      </c>
      <c r="V284" s="29" t="s">
        <v>183</v>
      </c>
      <c r="W284" s="30"/>
      <c r="X284" s="29" t="s">
        <v>38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ht="21" customHeight="1" x14ac:dyDescent="0.3">
      <c r="A285" s="22">
        <v>281</v>
      </c>
      <c r="B285" s="23">
        <v>1</v>
      </c>
      <c r="C285" s="23" t="s">
        <v>184</v>
      </c>
      <c r="D285" s="23" t="str">
        <f>VLOOKUP(C285,'[1]1.CUADRO RESUMEN DE SITIOS '!$C$5:$L$1052,2,FALSE())</f>
        <v>CMED_01747</v>
      </c>
      <c r="E285" s="24">
        <f>VLOOKUP(C285,'[1]1.CUADRO RESUMEN DE SITIOS '!$C$5:$L$1052,3,FALSE())</f>
        <v>46021</v>
      </c>
      <c r="F285" s="23" t="str">
        <f>VLOOKUP(C285,'[1]1.CUADRO RESUMEN DE SITIOS '!$C$5:$L$1052,4,FALSE())</f>
        <v>N/A</v>
      </c>
      <c r="G285" s="23" t="str">
        <f>VLOOKUP(C285,'[1]1.CUADRO RESUMEN DE SITIOS '!$C$5:$L$1052,5,FALSE())</f>
        <v>N/A</v>
      </c>
      <c r="H285" s="23" t="str">
        <f>VLOOKUP(C285,'[1]1.CUADRO RESUMEN DE SITIOS '!$C$5:$L$1052,6,FALSE())</f>
        <v>Antioquia</v>
      </c>
      <c r="I285" s="23" t="str">
        <f>VLOOKUP(C285,'[1]1.CUADRO RESUMEN DE SITIOS '!$C$5:$L$1052,7,FALSE())</f>
        <v>WOM-HUAWEI</v>
      </c>
      <c r="J285" s="25" t="str">
        <f>VLOOKUP(C285,'[1]1.CUADRO RESUMEN DE SITIOS '!$C$5:$L$1052,8,FALSE())</f>
        <v>NOROCCIDENTE</v>
      </c>
      <c r="K285" s="23" t="str">
        <f>VLOOKUP(C285,'[1]1.CUADRO RESUMEN DE SITIOS '!$C$5:$L$1052,9,FALSE())</f>
        <v>Alejandro Sanchez</v>
      </c>
      <c r="L285" s="26" t="str">
        <f>VLOOKUP(C285,'[1]1.CUADRO RESUMEN DE SITIOS '!$C$5:$L$1052,10,FALSE())</f>
        <v>Terminado</v>
      </c>
      <c r="M285" s="26">
        <v>8828119073</v>
      </c>
      <c r="N285" s="26">
        <f>VLOOKUP(M285,[1]LPU!$A$2:$G$1512,2,FALSE())</f>
        <v>2.2599999999999998</v>
      </c>
      <c r="O285" s="26" t="str">
        <f>VLOOKUP(M285,[1]LPU!$A$2:$G$1512,3,FALSE)</f>
        <v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v>
      </c>
      <c r="P285" s="26" t="str">
        <f>VLOOKUP(M285,[1]LPU!$A$2:$G$1512,4,FALSE())</f>
        <v>Mantenimiento Electrico</v>
      </c>
      <c r="Q285" s="26" t="str">
        <f>VLOOKUP(M285,[1]LPU!$A$2:$G$1512,5,FALSE())</f>
        <v>ML</v>
      </c>
      <c r="R285" s="27">
        <f>VLOOKUP(M285,[1]LPU!$A$2:$G$1512,6,FALSE())</f>
        <v>3413.6</v>
      </c>
      <c r="S285" s="27" t="str">
        <f>VLOOKUP(M285,[1]LPU!$A$2:$G$1512,7,FALSE())</f>
        <v>Mantenimiento Electrico</v>
      </c>
      <c r="T285" s="28">
        <v>100</v>
      </c>
      <c r="U285" s="29">
        <f t="shared" si="4"/>
        <v>341360</v>
      </c>
      <c r="V285" s="29" t="s">
        <v>185</v>
      </c>
      <c r="W285" s="30"/>
      <c r="X285" s="29" t="s">
        <v>38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ht="21" customHeight="1" x14ac:dyDescent="0.3">
      <c r="A286" s="22">
        <v>282</v>
      </c>
      <c r="B286" s="23">
        <v>1</v>
      </c>
      <c r="C286" s="23" t="s">
        <v>184</v>
      </c>
      <c r="D286" s="23" t="str">
        <f>VLOOKUP(C286,'[1]1.CUADRO RESUMEN DE SITIOS '!$C$5:$L$1052,2,FALSE())</f>
        <v>CMED_01747</v>
      </c>
      <c r="E286" s="24">
        <f>VLOOKUP(C286,'[1]1.CUADRO RESUMEN DE SITIOS '!$C$5:$L$1052,3,FALSE())</f>
        <v>46021</v>
      </c>
      <c r="F286" s="23" t="str">
        <f>VLOOKUP(C286,'[1]1.CUADRO RESUMEN DE SITIOS '!$C$5:$L$1052,4,FALSE())</f>
        <v>N/A</v>
      </c>
      <c r="G286" s="23" t="str">
        <f>VLOOKUP(C286,'[1]1.CUADRO RESUMEN DE SITIOS '!$C$5:$L$1052,5,FALSE())</f>
        <v>N/A</v>
      </c>
      <c r="H286" s="23" t="str">
        <f>VLOOKUP(C286,'[1]1.CUADRO RESUMEN DE SITIOS '!$C$5:$L$1052,6,FALSE())</f>
        <v>Antioquia</v>
      </c>
      <c r="I286" s="23" t="str">
        <f>VLOOKUP(C286,'[1]1.CUADRO RESUMEN DE SITIOS '!$C$5:$L$1052,7,FALSE())</f>
        <v>WOM-HUAWEI</v>
      </c>
      <c r="J286" s="25" t="str">
        <f>VLOOKUP(C286,'[1]1.CUADRO RESUMEN DE SITIOS '!$C$5:$L$1052,8,FALSE())</f>
        <v>NOROCCIDENTE</v>
      </c>
      <c r="K286" s="23" t="str">
        <f>VLOOKUP(C286,'[1]1.CUADRO RESUMEN DE SITIOS '!$C$5:$L$1052,9,FALSE())</f>
        <v>Alejandro Sanchez</v>
      </c>
      <c r="L286" s="26" t="str">
        <f>VLOOKUP(C286,'[1]1.CUADRO RESUMEN DE SITIOS '!$C$5:$L$1052,10,FALSE())</f>
        <v>Terminado</v>
      </c>
      <c r="M286" s="26">
        <v>8828118877</v>
      </c>
      <c r="N286" s="26">
        <f>VLOOKUP(M286,[1]LPU!$A$2:$G$1512,2,FALSE())</f>
        <v>82</v>
      </c>
      <c r="O286" s="26" t="str">
        <f>VLOOKUP(M286,[1]LPU!$A$2:$G$1512,3,FALSE)</f>
        <v>Suministro e Instalacion de terminal para cable awg # 6 en cobre estañado un ojo</v>
      </c>
      <c r="P286" s="26" t="str">
        <f>VLOOKUP(M286,[1]LPU!$A$2:$G$1512,4,FALSE())</f>
        <v>ENERGÍA</v>
      </c>
      <c r="Q286" s="26" t="str">
        <f>VLOOKUP(M286,[1]LPU!$A$2:$G$1512,5,FALSE())</f>
        <v>U</v>
      </c>
      <c r="R286" s="27">
        <f>VLOOKUP(M286,[1]LPU!$A$2:$G$1512,6,FALSE())</f>
        <v>1081</v>
      </c>
      <c r="S286" s="27" t="str">
        <f>VLOOKUP(M286,[1]LPU!$A$2:$G$1512,7,FALSE())</f>
        <v>LPU FLM</v>
      </c>
      <c r="T286" s="28">
        <v>8</v>
      </c>
      <c r="U286" s="29">
        <v>8650</v>
      </c>
      <c r="V286" s="29" t="s">
        <v>185</v>
      </c>
      <c r="W286" s="30"/>
      <c r="X286" s="29" t="s">
        <v>38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ht="21" customHeight="1" x14ac:dyDescent="0.3">
      <c r="A287" s="22">
        <v>283</v>
      </c>
      <c r="B287" s="23">
        <v>1</v>
      </c>
      <c r="C287" s="23" t="s">
        <v>184</v>
      </c>
      <c r="D287" s="23" t="str">
        <f>VLOOKUP(C287,'[1]1.CUADRO RESUMEN DE SITIOS '!$C$5:$L$1052,2,FALSE())</f>
        <v>CMED_01747</v>
      </c>
      <c r="E287" s="24">
        <f>VLOOKUP(C287,'[1]1.CUADRO RESUMEN DE SITIOS '!$C$5:$L$1052,3,FALSE())</f>
        <v>46021</v>
      </c>
      <c r="F287" s="23" t="str">
        <f>VLOOKUP(C287,'[1]1.CUADRO RESUMEN DE SITIOS '!$C$5:$L$1052,4,FALSE())</f>
        <v>N/A</v>
      </c>
      <c r="G287" s="23" t="str">
        <f>VLOOKUP(C287,'[1]1.CUADRO RESUMEN DE SITIOS '!$C$5:$L$1052,5,FALSE())</f>
        <v>N/A</v>
      </c>
      <c r="H287" s="23" t="str">
        <f>VLOOKUP(C287,'[1]1.CUADRO RESUMEN DE SITIOS '!$C$5:$L$1052,6,FALSE())</f>
        <v>Antioquia</v>
      </c>
      <c r="I287" s="23" t="str">
        <f>VLOOKUP(C287,'[1]1.CUADRO RESUMEN DE SITIOS '!$C$5:$L$1052,7,FALSE())</f>
        <v>WOM-HUAWEI</v>
      </c>
      <c r="J287" s="25" t="str">
        <f>VLOOKUP(C287,'[1]1.CUADRO RESUMEN DE SITIOS '!$C$5:$L$1052,8,FALSE())</f>
        <v>NOROCCIDENTE</v>
      </c>
      <c r="K287" s="23" t="str">
        <f>VLOOKUP(C287,'[1]1.CUADRO RESUMEN DE SITIOS '!$C$5:$L$1052,9,FALSE())</f>
        <v>Alejandro Sanchez</v>
      </c>
      <c r="L287" s="26" t="str">
        <f>VLOOKUP(C287,'[1]1.CUADRO RESUMEN DE SITIOS '!$C$5:$L$1052,10,FALSE())</f>
        <v>Terminado</v>
      </c>
      <c r="M287" s="26">
        <v>8828120286</v>
      </c>
      <c r="N287" s="26">
        <f>VLOOKUP(M287,[1]LPU!$A$2:$G$1512,2,FALSE())</f>
        <v>288</v>
      </c>
      <c r="O287" s="26" t="str">
        <f>VLOOKUP(M287,[1]LPU!$A$2:$G$1512,3,FALSE)</f>
        <v>ROLLO CINTA FOIL N2 23</v>
      </c>
      <c r="P287" s="26" t="str">
        <f>VLOOKUP(M287,[1]LPU!$A$2:$G$1512,4,FALSE())</f>
        <v>Nivel 2</v>
      </c>
      <c r="Q287" s="26" t="str">
        <f>VLOOKUP(M287,[1]LPU!$A$2:$G$1512,5,FALSE())</f>
        <v>Uni</v>
      </c>
      <c r="R287" s="27">
        <f>VLOOKUP(M287,[1]LPU!$A$2:$G$1512,6,FALSE())</f>
        <v>26775</v>
      </c>
      <c r="S287" s="27" t="str">
        <f>VLOOKUP(M287,[1]LPU!$A$2:$G$1512,7,FALSE())</f>
        <v>N2</v>
      </c>
      <c r="T287" s="28">
        <v>1</v>
      </c>
      <c r="U287" s="29">
        <f t="shared" ref="U287:U296" si="5">T287*R287</f>
        <v>26775</v>
      </c>
      <c r="V287" s="29" t="s">
        <v>185</v>
      </c>
      <c r="W287" s="30"/>
      <c r="X287" s="29" t="s">
        <v>38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ht="21" customHeight="1" x14ac:dyDescent="0.3">
      <c r="A288" s="22">
        <v>284</v>
      </c>
      <c r="B288" s="23">
        <v>1</v>
      </c>
      <c r="C288" s="23" t="s">
        <v>186</v>
      </c>
      <c r="D288" s="23" t="str">
        <f>VLOOKUP(C288,'[1]1.CUADRO RESUMEN DE SITIOS '!$C$5:$L$1052,2,FALSE())</f>
        <v>JCOR_00030</v>
      </c>
      <c r="E288" s="24">
        <f>VLOOKUP(C288,'[1]1.CUADRO RESUMEN DE SITIOS '!$C$5:$L$1052,3,FALSE())</f>
        <v>46021</v>
      </c>
      <c r="F288" s="23">
        <f>VLOOKUP(C288,'[1]1.CUADRO RESUMEN DE SITIOS '!$C$5:$L$1052,4,FALSE())</f>
        <v>892078</v>
      </c>
      <c r="G288" s="23">
        <f>VLOOKUP(C288,'[1]1.CUADRO RESUMEN DE SITIOS '!$C$5:$L$1052,5,FALSE())</f>
        <v>-7557667</v>
      </c>
      <c r="H288" s="23" t="str">
        <f>VLOOKUP(C288,'[1]1.CUADRO RESUMEN DE SITIOS '!$C$5:$L$1052,6,FALSE())</f>
        <v>Cordoba</v>
      </c>
      <c r="I288" s="23" t="str">
        <f>VLOOKUP(C288,'[1]1.CUADRO RESUMEN DE SITIOS '!$C$5:$L$1052,7,FALSE())</f>
        <v>WOM-HUAWEI</v>
      </c>
      <c r="J288" s="25" t="str">
        <f>VLOOKUP(C288,'[1]1.CUADRO RESUMEN DE SITIOS '!$C$5:$L$1052,8,FALSE())</f>
        <v>NOROCCIDENTE</v>
      </c>
      <c r="K288" s="23" t="str">
        <f>VLOOKUP(C288,'[1]1.CUADRO RESUMEN DE SITIOS '!$C$5:$L$1052,9,FALSE())</f>
        <v>Cesar Osorio</v>
      </c>
      <c r="L288" s="26" t="str">
        <f>VLOOKUP(C288,'[1]1.CUADRO RESUMEN DE SITIOS '!$C$5:$L$1052,10,FALSE())</f>
        <v>Terminado</v>
      </c>
      <c r="M288" s="26">
        <v>8828119492</v>
      </c>
      <c r="N288" s="26">
        <f>VLOOKUP(M288,[1]LPU!$A$2:$G$1512,2,FALSE())</f>
        <v>53</v>
      </c>
      <c r="O288" s="26" t="str">
        <f>VLOOKUP(M288,[1]LPU!$A$2:$G$1512,3,FALSE)</f>
        <v>Instalación Banco de Baterias para Rectificadores - Aplica para ampliaciones.</v>
      </c>
      <c r="P288" s="26" t="str">
        <f>VLOOKUP(M288,[1]LPU!$A$2:$G$1512,4,FALSE())</f>
        <v>ENERGÍA</v>
      </c>
      <c r="Q288" s="26" t="str">
        <f>VLOOKUP(M288,[1]LPU!$A$2:$G$1512,5,FALSE())</f>
        <v>U</v>
      </c>
      <c r="R288" s="27">
        <f>VLOOKUP(M288,[1]LPU!$A$2:$G$1512,6,FALSE())</f>
        <v>102340</v>
      </c>
      <c r="S288" s="27" t="str">
        <f>VLOOKUP(M288,[1]LPU!$A$2:$G$1512,7,FALSE())</f>
        <v>LPU FLM</v>
      </c>
      <c r="T288" s="28">
        <v>2</v>
      </c>
      <c r="U288" s="29">
        <f t="shared" si="5"/>
        <v>204680</v>
      </c>
      <c r="V288" s="29" t="s">
        <v>187</v>
      </c>
      <c r="W288" s="30"/>
      <c r="X288" s="29" t="s">
        <v>120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ht="21" customHeight="1" x14ac:dyDescent="0.3">
      <c r="A289" s="22">
        <v>285</v>
      </c>
      <c r="B289" s="23">
        <v>1</v>
      </c>
      <c r="C289" s="23" t="s">
        <v>186</v>
      </c>
      <c r="D289" s="23" t="str">
        <f>VLOOKUP(C289,'[1]1.CUADRO RESUMEN DE SITIOS '!$C$5:$L$1052,2,FALSE())</f>
        <v>JCOR_00030</v>
      </c>
      <c r="E289" s="24">
        <f>VLOOKUP(C289,'[1]1.CUADRO RESUMEN DE SITIOS '!$C$5:$L$1052,3,FALSE())</f>
        <v>46021</v>
      </c>
      <c r="F289" s="23">
        <f>VLOOKUP(C289,'[1]1.CUADRO RESUMEN DE SITIOS '!$C$5:$L$1052,4,FALSE())</f>
        <v>892078</v>
      </c>
      <c r="G289" s="23">
        <f>VLOOKUP(C289,'[1]1.CUADRO RESUMEN DE SITIOS '!$C$5:$L$1052,5,FALSE())</f>
        <v>-7557667</v>
      </c>
      <c r="H289" s="23" t="str">
        <f>VLOOKUP(C289,'[1]1.CUADRO RESUMEN DE SITIOS '!$C$5:$L$1052,6,FALSE())</f>
        <v>Cordoba</v>
      </c>
      <c r="I289" s="23" t="str">
        <f>VLOOKUP(C289,'[1]1.CUADRO RESUMEN DE SITIOS '!$C$5:$L$1052,7,FALSE())</f>
        <v>WOM-HUAWEI</v>
      </c>
      <c r="J289" s="25" t="str">
        <f>VLOOKUP(C289,'[1]1.CUADRO RESUMEN DE SITIOS '!$C$5:$L$1052,8,FALSE())</f>
        <v>NOROCCIDENTE</v>
      </c>
      <c r="K289" s="23" t="str">
        <f>VLOOKUP(C289,'[1]1.CUADRO RESUMEN DE SITIOS '!$C$5:$L$1052,9,FALSE())</f>
        <v>Cesar Osorio</v>
      </c>
      <c r="L289" s="26" t="str">
        <f>VLOOKUP(C289,'[1]1.CUADRO RESUMEN DE SITIOS '!$C$5:$L$1052,10,FALSE())</f>
        <v>Terminado</v>
      </c>
      <c r="M289" s="26">
        <v>8828118999</v>
      </c>
      <c r="N289" s="26">
        <f>VLOOKUP(M289,[1]LPU!$A$2:$G$1512,2,FALSE())</f>
        <v>0</v>
      </c>
      <c r="O289" s="26" t="str">
        <f>VLOOKUP(M289,[1]LPU!$A$2:$G$1512,3,FALSE)</f>
        <v>Suministro e instalación de cable UTP Categoría 6, con conectores en sus extremos, certificado</v>
      </c>
      <c r="P289" s="26" t="str">
        <f>VLOOKUP(M289,[1]LPU!$A$2:$G$1512,4,FALSE())</f>
        <v>Item Critico</v>
      </c>
      <c r="Q289" s="26" t="str">
        <f>VLOOKUP(M289,[1]LPU!$A$2:$G$1512,5,FALSE())</f>
        <v>m</v>
      </c>
      <c r="R289" s="27">
        <f>VLOOKUP(M289,[1]LPU!$A$2:$G$1512,6,FALSE())</f>
        <v>5913</v>
      </c>
      <c r="S289" s="27" t="str">
        <f>VLOOKUP(M289,[1]LPU!$A$2:$G$1512,7,FALSE())</f>
        <v>LPU FO Propia</v>
      </c>
      <c r="T289" s="28">
        <v>70</v>
      </c>
      <c r="U289" s="29">
        <f t="shared" si="5"/>
        <v>413910</v>
      </c>
      <c r="V289" s="29" t="s">
        <v>187</v>
      </c>
      <c r="W289" s="30"/>
      <c r="X289" s="29" t="s">
        <v>120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ht="21" customHeight="1" x14ac:dyDescent="0.3">
      <c r="A290" s="22">
        <v>286</v>
      </c>
      <c r="B290" s="23">
        <v>1</v>
      </c>
      <c r="C290" s="23" t="s">
        <v>186</v>
      </c>
      <c r="D290" s="23" t="str">
        <f>VLOOKUP(C290,'[1]1.CUADRO RESUMEN DE SITIOS '!$C$5:$L$1052,2,FALSE())</f>
        <v>JCOR_00030</v>
      </c>
      <c r="E290" s="24">
        <f>VLOOKUP(C290,'[1]1.CUADRO RESUMEN DE SITIOS '!$C$5:$L$1052,3,FALSE())</f>
        <v>46021</v>
      </c>
      <c r="F290" s="23">
        <f>VLOOKUP(C290,'[1]1.CUADRO RESUMEN DE SITIOS '!$C$5:$L$1052,4,FALSE())</f>
        <v>892078</v>
      </c>
      <c r="G290" s="23">
        <f>VLOOKUP(C290,'[1]1.CUADRO RESUMEN DE SITIOS '!$C$5:$L$1052,5,FALSE())</f>
        <v>-7557667</v>
      </c>
      <c r="H290" s="23" t="str">
        <f>VLOOKUP(C290,'[1]1.CUADRO RESUMEN DE SITIOS '!$C$5:$L$1052,6,FALSE())</f>
        <v>Cordoba</v>
      </c>
      <c r="I290" s="23" t="str">
        <f>VLOOKUP(C290,'[1]1.CUADRO RESUMEN DE SITIOS '!$C$5:$L$1052,7,FALSE())</f>
        <v>WOM-HUAWEI</v>
      </c>
      <c r="J290" s="25" t="str">
        <f>VLOOKUP(C290,'[1]1.CUADRO RESUMEN DE SITIOS '!$C$5:$L$1052,8,FALSE())</f>
        <v>NOROCCIDENTE</v>
      </c>
      <c r="K290" s="23" t="str">
        <f>VLOOKUP(C290,'[1]1.CUADRO RESUMEN DE SITIOS '!$C$5:$L$1052,9,FALSE())</f>
        <v>Cesar Osorio</v>
      </c>
      <c r="L290" s="26" t="str">
        <f>VLOOKUP(C290,'[1]1.CUADRO RESUMEN DE SITIOS '!$C$5:$L$1052,10,FALSE())</f>
        <v>Terminado</v>
      </c>
      <c r="M290" s="26">
        <v>8828119751</v>
      </c>
      <c r="N290" s="26">
        <f>VLOOKUP(M290,[1]LPU!$A$2:$G$1512,2,FALSE())</f>
        <v>490</v>
      </c>
      <c r="O290" s="26" t="str">
        <f>VLOOKUP(M290,[1]LPU!$A$2:$G$1512,3,FALSE)</f>
        <v>CABLE CONCENTRICO ANTIFRAUDE AWG 2X6+6 N2 23</v>
      </c>
      <c r="P290" s="26" t="str">
        <f>VLOOKUP(M290,[1]LPU!$A$2:$G$1512,4,FALSE())</f>
        <v>Nivel 2</v>
      </c>
      <c r="Q290" s="26" t="str">
        <f>VLOOKUP(M290,[1]LPU!$A$2:$G$1512,5,FALSE())</f>
        <v>M</v>
      </c>
      <c r="R290" s="27">
        <f>VLOOKUP(M290,[1]LPU!$A$2:$G$1512,6,FALSE())</f>
        <v>27844</v>
      </c>
      <c r="S290" s="27" t="str">
        <f>VLOOKUP(M290,[1]LPU!$A$2:$G$1512,7,FALSE())</f>
        <v>N2</v>
      </c>
      <c r="T290" s="28">
        <v>70</v>
      </c>
      <c r="U290" s="29">
        <f t="shared" si="5"/>
        <v>1949080</v>
      </c>
      <c r="V290" s="29" t="s">
        <v>187</v>
      </c>
      <c r="W290" s="30"/>
      <c r="X290" s="29" t="s">
        <v>120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ht="21" customHeight="1" x14ac:dyDescent="0.3">
      <c r="A291" s="22">
        <v>287</v>
      </c>
      <c r="B291" s="23">
        <v>1</v>
      </c>
      <c r="C291" s="23" t="s">
        <v>186</v>
      </c>
      <c r="D291" s="23" t="str">
        <f>VLOOKUP(C291,'[1]1.CUADRO RESUMEN DE SITIOS '!$C$5:$L$1052,2,FALSE())</f>
        <v>JCOR_00030</v>
      </c>
      <c r="E291" s="24">
        <f>VLOOKUP(C291,'[1]1.CUADRO RESUMEN DE SITIOS '!$C$5:$L$1052,3,FALSE())</f>
        <v>46021</v>
      </c>
      <c r="F291" s="23">
        <f>VLOOKUP(C291,'[1]1.CUADRO RESUMEN DE SITIOS '!$C$5:$L$1052,4,FALSE())</f>
        <v>892078</v>
      </c>
      <c r="G291" s="23">
        <f>VLOOKUP(C291,'[1]1.CUADRO RESUMEN DE SITIOS '!$C$5:$L$1052,5,FALSE())</f>
        <v>-7557667</v>
      </c>
      <c r="H291" s="23" t="str">
        <f>VLOOKUP(C291,'[1]1.CUADRO RESUMEN DE SITIOS '!$C$5:$L$1052,6,FALSE())</f>
        <v>Cordoba</v>
      </c>
      <c r="I291" s="23" t="str">
        <f>VLOOKUP(C291,'[1]1.CUADRO RESUMEN DE SITIOS '!$C$5:$L$1052,7,FALSE())</f>
        <v>WOM-HUAWEI</v>
      </c>
      <c r="J291" s="25" t="str">
        <f>VLOOKUP(C291,'[1]1.CUADRO RESUMEN DE SITIOS '!$C$5:$L$1052,8,FALSE())</f>
        <v>NOROCCIDENTE</v>
      </c>
      <c r="K291" s="23" t="str">
        <f>VLOOKUP(C291,'[1]1.CUADRO RESUMEN DE SITIOS '!$C$5:$L$1052,9,FALSE())</f>
        <v>Cesar Osorio</v>
      </c>
      <c r="L291" s="26" t="str">
        <f>VLOOKUP(C291,'[1]1.CUADRO RESUMEN DE SITIOS '!$C$5:$L$1052,10,FALSE())</f>
        <v>Terminado</v>
      </c>
      <c r="M291" s="26">
        <v>8828118877</v>
      </c>
      <c r="N291" s="26">
        <f>VLOOKUP(M291,[1]LPU!$A$2:$G$1512,2,FALSE())</f>
        <v>82</v>
      </c>
      <c r="O291" s="26" t="str">
        <f>VLOOKUP(M291,[1]LPU!$A$2:$G$1512,3,FALSE)</f>
        <v>Suministro e Instalacion de terminal para cable awg # 6 en cobre estañado un ojo</v>
      </c>
      <c r="P291" s="26" t="str">
        <f>VLOOKUP(M291,[1]LPU!$A$2:$G$1512,4,FALSE())</f>
        <v>ENERGÍA</v>
      </c>
      <c r="Q291" s="26" t="str">
        <f>VLOOKUP(M291,[1]LPU!$A$2:$G$1512,5,FALSE())</f>
        <v>U</v>
      </c>
      <c r="R291" s="27">
        <f>VLOOKUP(M291,[1]LPU!$A$2:$G$1512,6,FALSE())</f>
        <v>1081</v>
      </c>
      <c r="S291" s="27" t="str">
        <f>VLOOKUP(M291,[1]LPU!$A$2:$G$1512,7,FALSE())</f>
        <v>LPU FLM</v>
      </c>
      <c r="T291" s="28">
        <v>2</v>
      </c>
      <c r="U291" s="29">
        <f t="shared" si="5"/>
        <v>2162</v>
      </c>
      <c r="V291" s="29" t="s">
        <v>187</v>
      </c>
      <c r="W291" s="30"/>
      <c r="X291" s="29" t="s">
        <v>120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ht="21" customHeight="1" x14ac:dyDescent="0.3">
      <c r="A292" s="22">
        <v>288</v>
      </c>
      <c r="B292" s="23">
        <v>1</v>
      </c>
      <c r="C292" s="23" t="s">
        <v>186</v>
      </c>
      <c r="D292" s="23" t="str">
        <f>VLOOKUP(C292,'[1]1.CUADRO RESUMEN DE SITIOS '!$C$5:$L$1052,2,FALSE())</f>
        <v>JCOR_00030</v>
      </c>
      <c r="E292" s="24">
        <f>VLOOKUP(C292,'[1]1.CUADRO RESUMEN DE SITIOS '!$C$5:$L$1052,3,FALSE())</f>
        <v>46021</v>
      </c>
      <c r="F292" s="23">
        <f>VLOOKUP(C292,'[1]1.CUADRO RESUMEN DE SITIOS '!$C$5:$L$1052,4,FALSE())</f>
        <v>892078</v>
      </c>
      <c r="G292" s="23">
        <f>VLOOKUP(C292,'[1]1.CUADRO RESUMEN DE SITIOS '!$C$5:$L$1052,5,FALSE())</f>
        <v>-7557667</v>
      </c>
      <c r="H292" s="23" t="str">
        <f>VLOOKUP(C292,'[1]1.CUADRO RESUMEN DE SITIOS '!$C$5:$L$1052,6,FALSE())</f>
        <v>Cordoba</v>
      </c>
      <c r="I292" s="23" t="str">
        <f>VLOOKUP(C292,'[1]1.CUADRO RESUMEN DE SITIOS '!$C$5:$L$1052,7,FALSE())</f>
        <v>WOM-HUAWEI</v>
      </c>
      <c r="J292" s="25" t="str">
        <f>VLOOKUP(C292,'[1]1.CUADRO RESUMEN DE SITIOS '!$C$5:$L$1052,8,FALSE())</f>
        <v>NOROCCIDENTE</v>
      </c>
      <c r="K292" s="23" t="str">
        <f>VLOOKUP(C292,'[1]1.CUADRO RESUMEN DE SITIOS '!$C$5:$L$1052,9,FALSE())</f>
        <v>Cesar Osorio</v>
      </c>
      <c r="L292" s="26" t="str">
        <f>VLOOKUP(C292,'[1]1.CUADRO RESUMEN DE SITIOS '!$C$5:$L$1052,10,FALSE())</f>
        <v>Terminado</v>
      </c>
      <c r="M292" s="26">
        <v>8828119941</v>
      </c>
      <c r="N292" s="26">
        <f>VLOOKUP(M292,[1]LPU!$A$2:$G$1512,2,FALSE())</f>
        <v>165</v>
      </c>
      <c r="O292" s="26" t="str">
        <f>VLOOKUP(M292,[1]LPU!$A$2:$G$1512,3,FALSE)</f>
        <v>Transporte tipo C, zona de dificil acceso</v>
      </c>
      <c r="P292" s="26" t="str">
        <f>VLOOKUP(M292,[1]LPU!$A$2:$G$1512,4,FALSE())</f>
        <v>LOCATIVO</v>
      </c>
      <c r="Q292" s="26" t="str">
        <f>VLOOKUP(M292,[1]LPU!$A$2:$G$1512,5,FALSE())</f>
        <v>Global</v>
      </c>
      <c r="R292" s="27">
        <f>VLOOKUP(M292,[1]LPU!$A$2:$G$1512,6,FALSE())</f>
        <v>388801.05</v>
      </c>
      <c r="S292" s="27" t="str">
        <f>VLOOKUP(M292,[1]LPU!$A$2:$G$1512,7,FALSE())</f>
        <v>LPU FLM</v>
      </c>
      <c r="T292" s="28">
        <v>1</v>
      </c>
      <c r="U292" s="29">
        <f t="shared" si="5"/>
        <v>388801.05</v>
      </c>
      <c r="V292" s="29" t="s">
        <v>187</v>
      </c>
      <c r="W292" s="30"/>
      <c r="X292" s="29" t="s">
        <v>120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ht="21" customHeight="1" x14ac:dyDescent="0.3">
      <c r="A293" s="22">
        <v>289</v>
      </c>
      <c r="B293" s="23">
        <v>1</v>
      </c>
      <c r="C293" s="23" t="s">
        <v>186</v>
      </c>
      <c r="D293" s="23" t="str">
        <f>VLOOKUP(C293,'[1]1.CUADRO RESUMEN DE SITIOS '!$C$5:$L$1052,2,FALSE())</f>
        <v>JCOR_00030</v>
      </c>
      <c r="E293" s="24">
        <f>VLOOKUP(C293,'[1]1.CUADRO RESUMEN DE SITIOS '!$C$5:$L$1052,3,FALSE())</f>
        <v>46021</v>
      </c>
      <c r="F293" s="23">
        <f>VLOOKUP(C293,'[1]1.CUADRO RESUMEN DE SITIOS '!$C$5:$L$1052,4,FALSE())</f>
        <v>892078</v>
      </c>
      <c r="G293" s="23">
        <f>VLOOKUP(C293,'[1]1.CUADRO RESUMEN DE SITIOS '!$C$5:$L$1052,5,FALSE())</f>
        <v>-7557667</v>
      </c>
      <c r="H293" s="23" t="str">
        <f>VLOOKUP(C293,'[1]1.CUADRO RESUMEN DE SITIOS '!$C$5:$L$1052,6,FALSE())</f>
        <v>Cordoba</v>
      </c>
      <c r="I293" s="23" t="str">
        <f>VLOOKUP(C293,'[1]1.CUADRO RESUMEN DE SITIOS '!$C$5:$L$1052,7,FALSE())</f>
        <v>WOM-HUAWEI</v>
      </c>
      <c r="J293" s="25" t="str">
        <f>VLOOKUP(C293,'[1]1.CUADRO RESUMEN DE SITIOS '!$C$5:$L$1052,8,FALSE())</f>
        <v>NOROCCIDENTE</v>
      </c>
      <c r="K293" s="23" t="str">
        <f>VLOOKUP(C293,'[1]1.CUADRO RESUMEN DE SITIOS '!$C$5:$L$1052,9,FALSE())</f>
        <v>Cesar Osorio</v>
      </c>
      <c r="L293" s="26" t="str">
        <f>VLOOKUP(C293,'[1]1.CUADRO RESUMEN DE SITIOS '!$C$5:$L$1052,10,FALSE())</f>
        <v>Terminado</v>
      </c>
      <c r="M293" s="26">
        <v>8828120183</v>
      </c>
      <c r="N293" s="26">
        <f>VLOOKUP(M293,[1]LPU!$A$2:$G$1512,2,FALSE())</f>
        <v>51</v>
      </c>
      <c r="O293" s="26" t="str">
        <f>VLOOKUP(M293,[1]LPU!$A$2:$G$1512,3,FALSE)</f>
        <v>Suministro e Instalación de Pegamento SIKA a la bandeja inferior de los gabinetes de Baterias y a las baterias del sitio, hasta 3 baterias</v>
      </c>
      <c r="P293" s="26" t="str">
        <f>VLOOKUP(M293,[1]LPU!$A$2:$G$1512,4,FALSE())</f>
        <v>ENERGÍA</v>
      </c>
      <c r="Q293" s="26" t="str">
        <f>VLOOKUP(M293,[1]LPU!$A$2:$G$1512,5,FALSE())</f>
        <v>U</v>
      </c>
      <c r="R293" s="27">
        <f>VLOOKUP(M293,[1]LPU!$A$2:$G$1512,6,FALSE())</f>
        <v>39780</v>
      </c>
      <c r="S293" s="27" t="str">
        <f>VLOOKUP(M293,[1]LPU!$A$2:$G$1512,7,FALSE())</f>
        <v>LPU FLM</v>
      </c>
      <c r="T293" s="28">
        <v>1</v>
      </c>
      <c r="U293" s="29">
        <f t="shared" si="5"/>
        <v>39780</v>
      </c>
      <c r="V293" s="29" t="s">
        <v>187</v>
      </c>
      <c r="W293" s="30"/>
      <c r="X293" s="29" t="s">
        <v>120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ht="21" customHeight="1" x14ac:dyDescent="0.3">
      <c r="A294" s="22">
        <v>290</v>
      </c>
      <c r="B294" s="23">
        <v>1</v>
      </c>
      <c r="C294" s="23" t="s">
        <v>180</v>
      </c>
      <c r="D294" s="23" t="str">
        <f>VLOOKUP(C294,'[1]1.CUADRO RESUMEN DE SITIOS '!$C$5:$L$1052,2,FALSE())</f>
        <v>NEI_04419</v>
      </c>
      <c r="E294" s="24">
        <f>VLOOKUP(C294,'[1]1.CUADRO RESUMEN DE SITIOS '!$C$5:$L$1052,3,FALSE())</f>
        <v>46014</v>
      </c>
      <c r="F294" s="23">
        <f>VLOOKUP(C294,'[1]1.CUADRO RESUMEN DE SITIOS '!$C$5:$L$1052,4,FALSE())</f>
        <v>295221365</v>
      </c>
      <c r="G294" s="23">
        <f>VLOOKUP(C294,'[1]1.CUADRO RESUMEN DE SITIOS '!$C$5:$L$1052,5,FALSE())</f>
        <v>-7530110574</v>
      </c>
      <c r="H294" s="23" t="str">
        <f>VLOOKUP(C294,'[1]1.CUADRO RESUMEN DE SITIOS '!$C$5:$L$1052,6,FALSE())</f>
        <v>Huila</v>
      </c>
      <c r="I294" s="23" t="str">
        <f>VLOOKUP(C294,'[1]1.CUADRO RESUMEN DE SITIOS '!$C$5:$L$1052,7,FALSE())</f>
        <v>WOM-HUAWEI</v>
      </c>
      <c r="J294" s="25" t="str">
        <f>VLOOKUP(C294,'[1]1.CUADRO RESUMEN DE SITIOS '!$C$5:$L$1052,8,FALSE())</f>
        <v>NOROCCIDENTE</v>
      </c>
      <c r="K294" s="23" t="str">
        <f>VLOOKUP(C294,'[1]1.CUADRO RESUMEN DE SITIOS '!$C$5:$L$1052,9,FALSE())</f>
        <v>Alejandro Sanchez</v>
      </c>
      <c r="L294" s="26" t="str">
        <f>VLOOKUP(C294,'[1]1.CUADRO RESUMEN DE SITIOS '!$C$5:$L$1052,10,FALSE())</f>
        <v>Terminado</v>
      </c>
      <c r="M294" s="26">
        <v>8828119060</v>
      </c>
      <c r="N294" s="26">
        <f>VLOOKUP(M294,[1]LPU!$A$2:$G$1512,2,FALSE())</f>
        <v>101</v>
      </c>
      <c r="O294" s="26" t="str">
        <f>VLOOKUP(M294,[1]LPU!$A$2:$G$1512,3,FALSE)</f>
        <v>Suministro e Instalacion de terminal # 6 awg ponchar con ojo sencillo</v>
      </c>
      <c r="P294" s="26" t="str">
        <f>VLOOKUP(M294,[1]LPU!$A$2:$G$1512,4,FALSE())</f>
        <v>ENERGÍA</v>
      </c>
      <c r="Q294" s="26" t="str">
        <f>VLOOKUP(M294,[1]LPU!$A$2:$G$1512,5,FALSE())</f>
        <v>U</v>
      </c>
      <c r="R294" s="27">
        <f>VLOOKUP(M294,[1]LPU!$A$2:$G$1512,6,FALSE())</f>
        <v>1660</v>
      </c>
      <c r="S294" s="27" t="str">
        <f>VLOOKUP(M294,[1]LPU!$A$2:$G$1512,7,FALSE())</f>
        <v>LPU FLM</v>
      </c>
      <c r="T294" s="28">
        <v>20</v>
      </c>
      <c r="U294" s="29">
        <f t="shared" si="5"/>
        <v>33200</v>
      </c>
      <c r="V294" s="29" t="s">
        <v>185</v>
      </c>
      <c r="W294" s="30"/>
      <c r="X294" s="29" t="s">
        <v>27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ht="21" customHeight="1" x14ac:dyDescent="0.3">
      <c r="A295" s="22">
        <v>291</v>
      </c>
      <c r="B295" s="23">
        <v>1</v>
      </c>
      <c r="C295" s="23" t="s">
        <v>180</v>
      </c>
      <c r="D295" s="23" t="str">
        <f>VLOOKUP(C295,'[1]1.CUADRO RESUMEN DE SITIOS '!$C$5:$L$1052,2,FALSE())</f>
        <v>NEI_04419</v>
      </c>
      <c r="E295" s="24">
        <f>VLOOKUP(C295,'[1]1.CUADRO RESUMEN DE SITIOS '!$C$5:$L$1052,3,FALSE())</f>
        <v>46014</v>
      </c>
      <c r="F295" s="23">
        <f>VLOOKUP(C295,'[1]1.CUADRO RESUMEN DE SITIOS '!$C$5:$L$1052,4,FALSE())</f>
        <v>295221365</v>
      </c>
      <c r="G295" s="23">
        <f>VLOOKUP(C295,'[1]1.CUADRO RESUMEN DE SITIOS '!$C$5:$L$1052,5,FALSE())</f>
        <v>-7530110574</v>
      </c>
      <c r="H295" s="23" t="str">
        <f>VLOOKUP(C295,'[1]1.CUADRO RESUMEN DE SITIOS '!$C$5:$L$1052,6,FALSE())</f>
        <v>Huila</v>
      </c>
      <c r="I295" s="23" t="str">
        <f>VLOOKUP(C295,'[1]1.CUADRO RESUMEN DE SITIOS '!$C$5:$L$1052,7,FALSE())</f>
        <v>WOM-HUAWEI</v>
      </c>
      <c r="J295" s="25" t="str">
        <f>VLOOKUP(C295,'[1]1.CUADRO RESUMEN DE SITIOS '!$C$5:$L$1052,8,FALSE())</f>
        <v>NOROCCIDENTE</v>
      </c>
      <c r="K295" s="23" t="str">
        <f>VLOOKUP(C295,'[1]1.CUADRO RESUMEN DE SITIOS '!$C$5:$L$1052,9,FALSE())</f>
        <v>Alejandro Sanchez</v>
      </c>
      <c r="L295" s="26" t="str">
        <f>VLOOKUP(C295,'[1]1.CUADRO RESUMEN DE SITIOS '!$C$5:$L$1052,10,FALSE())</f>
        <v>Terminado</v>
      </c>
      <c r="M295" s="26">
        <v>8828119073</v>
      </c>
      <c r="N295" s="26">
        <f>VLOOKUP(M295,[1]LPU!$A$2:$G$1512,2,FALSE())</f>
        <v>2.2599999999999998</v>
      </c>
      <c r="O295" s="26" t="str">
        <f>VLOOKUP(M295,[1]LPU!$A$2:$G$1512,3,FALSE)</f>
        <v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v>
      </c>
      <c r="P295" s="26" t="str">
        <f>VLOOKUP(M295,[1]LPU!$A$2:$G$1512,4,FALSE())</f>
        <v>Mantenimiento Electrico</v>
      </c>
      <c r="Q295" s="26" t="str">
        <f>VLOOKUP(M295,[1]LPU!$A$2:$G$1512,5,FALSE())</f>
        <v>ML</v>
      </c>
      <c r="R295" s="27">
        <f>VLOOKUP(M295,[1]LPU!$A$2:$G$1512,6,FALSE())</f>
        <v>3413.6</v>
      </c>
      <c r="S295" s="27" t="str">
        <f>VLOOKUP(M295,[1]LPU!$A$2:$G$1512,7,FALSE())</f>
        <v>Mantenimiento Electrico</v>
      </c>
      <c r="T295" s="28">
        <v>120</v>
      </c>
      <c r="U295" s="29">
        <f t="shared" si="5"/>
        <v>409632</v>
      </c>
      <c r="V295" s="29" t="s">
        <v>185</v>
      </c>
      <c r="W295" s="30"/>
      <c r="X295" s="29" t="s">
        <v>27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ht="21" customHeight="1" x14ac:dyDescent="0.3">
      <c r="A296" s="22">
        <v>292</v>
      </c>
      <c r="B296" s="23">
        <v>1</v>
      </c>
      <c r="C296" s="23" t="s">
        <v>188</v>
      </c>
      <c r="D296" s="23" t="str">
        <f>VLOOKUP(C296,'[1]1.CUADRO RESUMEN DE SITIOS '!$C$5:$L$1052,2,FALSE())</f>
        <v>JCOR_00119</v>
      </c>
      <c r="E296" s="24">
        <f>VLOOKUP(C296,'[1]1.CUADRO RESUMEN DE SITIOS '!$C$5:$L$1052,3,FALSE())</f>
        <v>46022</v>
      </c>
      <c r="F296" s="23">
        <f>VLOOKUP(C296,'[1]1.CUADRO RESUMEN DE SITIOS '!$C$5:$L$1052,4,FALSE())</f>
        <v>842256</v>
      </c>
      <c r="G296" s="23">
        <f>VLOOKUP(C296,'[1]1.CUADRO RESUMEN DE SITIOS '!$C$5:$L$1052,5,FALSE())</f>
        <v>-758282397</v>
      </c>
      <c r="H296" s="23" t="str">
        <f>VLOOKUP(C296,'[1]1.CUADRO RESUMEN DE SITIOS '!$C$5:$L$1052,6,FALSE())</f>
        <v>Cordoba</v>
      </c>
      <c r="I296" s="23" t="str">
        <f>VLOOKUP(C296,'[1]1.CUADRO RESUMEN DE SITIOS '!$C$5:$L$1052,7,FALSE())</f>
        <v>WOM-HUAWEI</v>
      </c>
      <c r="J296" s="25" t="str">
        <f>VLOOKUP(C296,'[1]1.CUADRO RESUMEN DE SITIOS '!$C$5:$L$1052,8,FALSE())</f>
        <v>NOROCCIDENTE</v>
      </c>
      <c r="K296" s="23" t="str">
        <f>VLOOKUP(C296,'[1]1.CUADRO RESUMEN DE SITIOS '!$C$5:$L$1052,9,FALSE())</f>
        <v>Cesar Osorio</v>
      </c>
      <c r="L296" s="26" t="str">
        <f>VLOOKUP(C296,'[1]1.CUADRO RESUMEN DE SITIOS '!$C$5:$L$1052,10,FALSE())</f>
        <v>Terminado</v>
      </c>
      <c r="M296" s="26">
        <v>8828119492</v>
      </c>
      <c r="N296" s="26">
        <f>VLOOKUP(M296,[1]LPU!$A$2:$G$1512,2,FALSE())</f>
        <v>53</v>
      </c>
      <c r="O296" s="26" t="str">
        <f>VLOOKUP(M296,[1]LPU!$A$2:$G$1512,3,FALSE)</f>
        <v>Instalación Banco de Baterias para Rectificadores - Aplica para ampliaciones.</v>
      </c>
      <c r="P296" s="26" t="str">
        <f>VLOOKUP(M296,[1]LPU!$A$2:$G$1512,4,FALSE())</f>
        <v>ENERGÍA</v>
      </c>
      <c r="Q296" s="26" t="str">
        <f>VLOOKUP(M296,[1]LPU!$A$2:$G$1512,5,FALSE())</f>
        <v>U</v>
      </c>
      <c r="R296" s="27">
        <f>VLOOKUP(M296,[1]LPU!$A$2:$G$1512,6,FALSE())</f>
        <v>102340</v>
      </c>
      <c r="S296" s="27" t="str">
        <f>VLOOKUP(M296,[1]LPU!$A$2:$G$1512,7,FALSE())</f>
        <v>LPU FLM</v>
      </c>
      <c r="T296" s="28">
        <v>2</v>
      </c>
      <c r="U296" s="29">
        <f t="shared" si="5"/>
        <v>204680</v>
      </c>
      <c r="V296" s="29" t="s">
        <v>187</v>
      </c>
      <c r="W296" s="30"/>
      <c r="X296" s="29" t="s">
        <v>38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ht="21" customHeight="1" x14ac:dyDescent="0.3">
      <c r="A297" s="22">
        <v>293</v>
      </c>
      <c r="B297" s="23">
        <v>1</v>
      </c>
      <c r="C297" s="23" t="s">
        <v>188</v>
      </c>
      <c r="D297" s="23" t="str">
        <f>VLOOKUP(C297,'[1]1.CUADRO RESUMEN DE SITIOS '!$C$5:$L$1052,2,FALSE())</f>
        <v>JCOR_00119</v>
      </c>
      <c r="E297" s="24">
        <f>VLOOKUP(C297,'[1]1.CUADRO RESUMEN DE SITIOS '!$C$5:$L$1052,3,FALSE())</f>
        <v>46022</v>
      </c>
      <c r="F297" s="23">
        <f>VLOOKUP(C297,'[1]1.CUADRO RESUMEN DE SITIOS '!$C$5:$L$1052,4,FALSE())</f>
        <v>842256</v>
      </c>
      <c r="G297" s="23">
        <f>VLOOKUP(C297,'[1]1.CUADRO RESUMEN DE SITIOS '!$C$5:$L$1052,5,FALSE())</f>
        <v>-758282397</v>
      </c>
      <c r="H297" s="23" t="str">
        <f>VLOOKUP(C297,'[1]1.CUADRO RESUMEN DE SITIOS '!$C$5:$L$1052,6,FALSE())</f>
        <v>Cordoba</v>
      </c>
      <c r="I297" s="23" t="str">
        <f>VLOOKUP(C297,'[1]1.CUADRO RESUMEN DE SITIOS '!$C$5:$L$1052,7,FALSE())</f>
        <v>WOM-HUAWEI</v>
      </c>
      <c r="J297" s="25" t="str">
        <f>VLOOKUP(C297,'[1]1.CUADRO RESUMEN DE SITIOS '!$C$5:$L$1052,8,FALSE())</f>
        <v>NOROCCIDENTE</v>
      </c>
      <c r="K297" s="23" t="str">
        <f>VLOOKUP(C297,'[1]1.CUADRO RESUMEN DE SITIOS '!$C$5:$L$1052,9,FALSE())</f>
        <v>Cesar Osorio</v>
      </c>
      <c r="L297" s="26" t="str">
        <f>VLOOKUP(C297,'[1]1.CUADRO RESUMEN DE SITIOS '!$C$5:$L$1052,10,FALSE())</f>
        <v>Terminado</v>
      </c>
      <c r="M297" s="26">
        <v>8828118999</v>
      </c>
      <c r="N297" s="26">
        <f>VLOOKUP(M297,[1]LPU!$A$2:$G$1512,2,FALSE())</f>
        <v>0</v>
      </c>
      <c r="O297" s="26" t="str">
        <f>VLOOKUP(M297,[1]LPU!$A$2:$G$1512,3,FALSE)</f>
        <v>Suministro e instalación de cable UTP Categoría 6, con conectores en sus extremos, certificado</v>
      </c>
      <c r="P297" s="26" t="str">
        <f>VLOOKUP(M297,[1]LPU!$A$2:$G$1512,4,FALSE())</f>
        <v>Item Critico</v>
      </c>
      <c r="Q297" s="26" t="str">
        <f>VLOOKUP(M297,[1]LPU!$A$2:$G$1512,5,FALSE())</f>
        <v>m</v>
      </c>
      <c r="R297" s="27">
        <f>VLOOKUP(M297,[1]LPU!$A$2:$G$1512,6,FALSE())</f>
        <v>5913</v>
      </c>
      <c r="S297" s="27" t="str">
        <f>VLOOKUP(M297,[1]LPU!$A$2:$G$1512,7,FALSE())</f>
        <v>LPU FO Propia</v>
      </c>
      <c r="T297" s="28">
        <v>65</v>
      </c>
      <c r="U297" s="29">
        <v>384338</v>
      </c>
      <c r="V297" s="29" t="s">
        <v>187</v>
      </c>
      <c r="W297" s="30"/>
      <c r="X297" s="29" t="s">
        <v>38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ht="21" customHeight="1" x14ac:dyDescent="0.3">
      <c r="A298" s="22">
        <v>294</v>
      </c>
      <c r="B298" s="23">
        <v>1</v>
      </c>
      <c r="C298" s="23" t="s">
        <v>188</v>
      </c>
      <c r="D298" s="23" t="str">
        <f>VLOOKUP(C298,'[1]1.CUADRO RESUMEN DE SITIOS '!$C$5:$L$1052,2,FALSE())</f>
        <v>JCOR_00119</v>
      </c>
      <c r="E298" s="24">
        <f>VLOOKUP(C298,'[1]1.CUADRO RESUMEN DE SITIOS '!$C$5:$L$1052,3,FALSE())</f>
        <v>46022</v>
      </c>
      <c r="F298" s="23">
        <f>VLOOKUP(C298,'[1]1.CUADRO RESUMEN DE SITIOS '!$C$5:$L$1052,4,FALSE())</f>
        <v>842256</v>
      </c>
      <c r="G298" s="23">
        <f>VLOOKUP(C298,'[1]1.CUADRO RESUMEN DE SITIOS '!$C$5:$L$1052,5,FALSE())</f>
        <v>-758282397</v>
      </c>
      <c r="H298" s="23" t="str">
        <f>VLOOKUP(C298,'[1]1.CUADRO RESUMEN DE SITIOS '!$C$5:$L$1052,6,FALSE())</f>
        <v>Cordoba</v>
      </c>
      <c r="I298" s="23" t="str">
        <f>VLOOKUP(C298,'[1]1.CUADRO RESUMEN DE SITIOS '!$C$5:$L$1052,7,FALSE())</f>
        <v>WOM-HUAWEI</v>
      </c>
      <c r="J298" s="25" t="str">
        <f>VLOOKUP(C298,'[1]1.CUADRO RESUMEN DE SITIOS '!$C$5:$L$1052,8,FALSE())</f>
        <v>NOROCCIDENTE</v>
      </c>
      <c r="K298" s="23" t="str">
        <f>VLOOKUP(C298,'[1]1.CUADRO RESUMEN DE SITIOS '!$C$5:$L$1052,9,FALSE())</f>
        <v>Cesar Osorio</v>
      </c>
      <c r="L298" s="26" t="str">
        <f>VLOOKUP(C298,'[1]1.CUADRO RESUMEN DE SITIOS '!$C$5:$L$1052,10,FALSE())</f>
        <v>Terminado</v>
      </c>
      <c r="M298" s="26">
        <v>8828119751</v>
      </c>
      <c r="N298" s="26">
        <f>VLOOKUP(M298,[1]LPU!$A$2:$G$1512,2,FALSE())</f>
        <v>490</v>
      </c>
      <c r="O298" s="26" t="str">
        <f>VLOOKUP(M298,[1]LPU!$A$2:$G$1512,3,FALSE)</f>
        <v>CABLE CONCENTRICO ANTIFRAUDE AWG 2X6+6 N2 23</v>
      </c>
      <c r="P298" s="26" t="str">
        <f>VLOOKUP(M298,[1]LPU!$A$2:$G$1512,4,FALSE())</f>
        <v>Nivel 2</v>
      </c>
      <c r="Q298" s="26" t="str">
        <f>VLOOKUP(M298,[1]LPU!$A$2:$G$1512,5,FALSE())</f>
        <v>M</v>
      </c>
      <c r="R298" s="27">
        <f>VLOOKUP(M298,[1]LPU!$A$2:$G$1512,6,FALSE())</f>
        <v>27844</v>
      </c>
      <c r="S298" s="27" t="str">
        <f>VLOOKUP(M298,[1]LPU!$A$2:$G$1512,7,FALSE())</f>
        <v>N2</v>
      </c>
      <c r="T298" s="28">
        <v>65</v>
      </c>
      <c r="U298" s="29">
        <v>1809880</v>
      </c>
      <c r="V298" s="29" t="s">
        <v>187</v>
      </c>
      <c r="W298" s="30"/>
      <c r="X298" s="29" t="s">
        <v>38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ht="21" customHeight="1" x14ac:dyDescent="0.3">
      <c r="A299" s="22">
        <v>295</v>
      </c>
      <c r="B299" s="23">
        <v>1</v>
      </c>
      <c r="C299" s="23" t="s">
        <v>188</v>
      </c>
      <c r="D299" s="23" t="str">
        <f>VLOOKUP(C299,'[1]1.CUADRO RESUMEN DE SITIOS '!$C$5:$L$1052,2,FALSE())</f>
        <v>JCOR_00119</v>
      </c>
      <c r="E299" s="24">
        <f>VLOOKUP(C299,'[1]1.CUADRO RESUMEN DE SITIOS '!$C$5:$L$1052,3,FALSE())</f>
        <v>46022</v>
      </c>
      <c r="F299" s="23">
        <f>VLOOKUP(C299,'[1]1.CUADRO RESUMEN DE SITIOS '!$C$5:$L$1052,4,FALSE())</f>
        <v>842256</v>
      </c>
      <c r="G299" s="23">
        <f>VLOOKUP(C299,'[1]1.CUADRO RESUMEN DE SITIOS '!$C$5:$L$1052,5,FALSE())</f>
        <v>-758282397</v>
      </c>
      <c r="H299" s="23" t="str">
        <f>VLOOKUP(C299,'[1]1.CUADRO RESUMEN DE SITIOS '!$C$5:$L$1052,6,FALSE())</f>
        <v>Cordoba</v>
      </c>
      <c r="I299" s="23" t="str">
        <f>VLOOKUP(C299,'[1]1.CUADRO RESUMEN DE SITIOS '!$C$5:$L$1052,7,FALSE())</f>
        <v>WOM-HUAWEI</v>
      </c>
      <c r="J299" s="25" t="str">
        <f>VLOOKUP(C299,'[1]1.CUADRO RESUMEN DE SITIOS '!$C$5:$L$1052,8,FALSE())</f>
        <v>NOROCCIDENTE</v>
      </c>
      <c r="K299" s="23" t="str">
        <f>VLOOKUP(C299,'[1]1.CUADRO RESUMEN DE SITIOS '!$C$5:$L$1052,9,FALSE())</f>
        <v>Cesar Osorio</v>
      </c>
      <c r="L299" s="26" t="str">
        <f>VLOOKUP(C299,'[1]1.CUADRO RESUMEN DE SITIOS '!$C$5:$L$1052,10,FALSE())</f>
        <v>Terminado</v>
      </c>
      <c r="M299" s="26">
        <v>8828118877</v>
      </c>
      <c r="N299" s="26">
        <f>VLOOKUP(M299,[1]LPU!$A$2:$G$1512,2,FALSE())</f>
        <v>82</v>
      </c>
      <c r="O299" s="26" t="str">
        <f>VLOOKUP(M299,[1]LPU!$A$2:$G$1512,3,FALSE)</f>
        <v>Suministro e Instalacion de terminal para cable awg # 6 en cobre estañado un ojo</v>
      </c>
      <c r="P299" s="26" t="str">
        <f>VLOOKUP(M299,[1]LPU!$A$2:$G$1512,4,FALSE())</f>
        <v>ENERGÍA</v>
      </c>
      <c r="Q299" s="26" t="str">
        <f>VLOOKUP(M299,[1]LPU!$A$2:$G$1512,5,FALSE())</f>
        <v>U</v>
      </c>
      <c r="R299" s="27">
        <f>VLOOKUP(M299,[1]LPU!$A$2:$G$1512,6,FALSE())</f>
        <v>1081</v>
      </c>
      <c r="S299" s="27" t="str">
        <f>VLOOKUP(M299,[1]LPU!$A$2:$G$1512,7,FALSE())</f>
        <v>LPU FLM</v>
      </c>
      <c r="T299" s="28">
        <v>2</v>
      </c>
      <c r="U299" s="29">
        <f t="shared" ref="U299:U358" si="6">T299*R299</f>
        <v>2162</v>
      </c>
      <c r="V299" s="29" t="s">
        <v>187</v>
      </c>
      <c r="W299" s="30"/>
      <c r="X299" s="29" t="s">
        <v>38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ht="21" customHeight="1" x14ac:dyDescent="0.3">
      <c r="A300" s="22">
        <v>296</v>
      </c>
      <c r="B300" s="23">
        <v>1</v>
      </c>
      <c r="C300" s="23" t="s">
        <v>188</v>
      </c>
      <c r="D300" s="23" t="str">
        <f>VLOOKUP(C300,'[1]1.CUADRO RESUMEN DE SITIOS '!$C$5:$L$1052,2,FALSE())</f>
        <v>JCOR_00119</v>
      </c>
      <c r="E300" s="24">
        <f>VLOOKUP(C300,'[1]1.CUADRO RESUMEN DE SITIOS '!$C$5:$L$1052,3,FALSE())</f>
        <v>46022</v>
      </c>
      <c r="F300" s="23">
        <f>VLOOKUP(C300,'[1]1.CUADRO RESUMEN DE SITIOS '!$C$5:$L$1052,4,FALSE())</f>
        <v>842256</v>
      </c>
      <c r="G300" s="23">
        <f>VLOOKUP(C300,'[1]1.CUADRO RESUMEN DE SITIOS '!$C$5:$L$1052,5,FALSE())</f>
        <v>-758282397</v>
      </c>
      <c r="H300" s="23" t="str">
        <f>VLOOKUP(C300,'[1]1.CUADRO RESUMEN DE SITIOS '!$C$5:$L$1052,6,FALSE())</f>
        <v>Cordoba</v>
      </c>
      <c r="I300" s="23" t="str">
        <f>VLOOKUP(C300,'[1]1.CUADRO RESUMEN DE SITIOS '!$C$5:$L$1052,7,FALSE())</f>
        <v>WOM-HUAWEI</v>
      </c>
      <c r="J300" s="25" t="str">
        <f>VLOOKUP(C300,'[1]1.CUADRO RESUMEN DE SITIOS '!$C$5:$L$1052,8,FALSE())</f>
        <v>NOROCCIDENTE</v>
      </c>
      <c r="K300" s="23" t="str">
        <f>VLOOKUP(C300,'[1]1.CUADRO RESUMEN DE SITIOS '!$C$5:$L$1052,9,FALSE())</f>
        <v>Cesar Osorio</v>
      </c>
      <c r="L300" s="26" t="str">
        <f>VLOOKUP(C300,'[1]1.CUADRO RESUMEN DE SITIOS '!$C$5:$L$1052,10,FALSE())</f>
        <v>Terminado</v>
      </c>
      <c r="M300" s="26">
        <v>8828119941</v>
      </c>
      <c r="N300" s="26">
        <f>VLOOKUP(M300,[1]LPU!$A$2:$G$1512,2,FALSE())</f>
        <v>165</v>
      </c>
      <c r="O300" s="26" t="str">
        <f>VLOOKUP(M300,[1]LPU!$A$2:$G$1512,3,FALSE)</f>
        <v>Transporte tipo C, zona de dificil acceso</v>
      </c>
      <c r="P300" s="26" t="str">
        <f>VLOOKUP(M300,[1]LPU!$A$2:$G$1512,4,FALSE())</f>
        <v>LOCATIVO</v>
      </c>
      <c r="Q300" s="26" t="str">
        <f>VLOOKUP(M300,[1]LPU!$A$2:$G$1512,5,FALSE())</f>
        <v>Global</v>
      </c>
      <c r="R300" s="27">
        <f>VLOOKUP(M300,[1]LPU!$A$2:$G$1512,6,FALSE())</f>
        <v>388801.05</v>
      </c>
      <c r="S300" s="27" t="str">
        <f>VLOOKUP(M300,[1]LPU!$A$2:$G$1512,7,FALSE())</f>
        <v>LPU FLM</v>
      </c>
      <c r="T300" s="28">
        <v>1</v>
      </c>
      <c r="U300" s="29">
        <f t="shared" si="6"/>
        <v>388801.05</v>
      </c>
      <c r="V300" s="29" t="s">
        <v>187</v>
      </c>
      <c r="W300" s="30"/>
      <c r="X300" s="29" t="s">
        <v>38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ht="21" customHeight="1" x14ac:dyDescent="0.3">
      <c r="A301" s="22">
        <v>297</v>
      </c>
      <c r="B301" s="23">
        <v>1</v>
      </c>
      <c r="C301" s="23" t="s">
        <v>188</v>
      </c>
      <c r="D301" s="23" t="str">
        <f>VLOOKUP(C301,'[1]1.CUADRO RESUMEN DE SITIOS '!$C$5:$L$1052,2,FALSE())</f>
        <v>JCOR_00119</v>
      </c>
      <c r="E301" s="24">
        <f>VLOOKUP(C301,'[1]1.CUADRO RESUMEN DE SITIOS '!$C$5:$L$1052,3,FALSE())</f>
        <v>46022</v>
      </c>
      <c r="F301" s="23">
        <f>VLOOKUP(C301,'[1]1.CUADRO RESUMEN DE SITIOS '!$C$5:$L$1052,4,FALSE())</f>
        <v>842256</v>
      </c>
      <c r="G301" s="23">
        <f>VLOOKUP(C301,'[1]1.CUADRO RESUMEN DE SITIOS '!$C$5:$L$1052,5,FALSE())</f>
        <v>-758282397</v>
      </c>
      <c r="H301" s="23" t="str">
        <f>VLOOKUP(C301,'[1]1.CUADRO RESUMEN DE SITIOS '!$C$5:$L$1052,6,FALSE())</f>
        <v>Cordoba</v>
      </c>
      <c r="I301" s="23" t="str">
        <f>VLOOKUP(C301,'[1]1.CUADRO RESUMEN DE SITIOS '!$C$5:$L$1052,7,FALSE())</f>
        <v>WOM-HUAWEI</v>
      </c>
      <c r="J301" s="25" t="str">
        <f>VLOOKUP(C301,'[1]1.CUADRO RESUMEN DE SITIOS '!$C$5:$L$1052,8,FALSE())</f>
        <v>NOROCCIDENTE</v>
      </c>
      <c r="K301" s="23" t="str">
        <f>VLOOKUP(C301,'[1]1.CUADRO RESUMEN DE SITIOS '!$C$5:$L$1052,9,FALSE())</f>
        <v>Cesar Osorio</v>
      </c>
      <c r="L301" s="26" t="str">
        <f>VLOOKUP(C301,'[1]1.CUADRO RESUMEN DE SITIOS '!$C$5:$L$1052,10,FALSE())</f>
        <v>Terminado</v>
      </c>
      <c r="M301" s="26">
        <v>8828119110</v>
      </c>
      <c r="N301" s="26">
        <f>VLOOKUP(M301,[1]LPU!$A$2:$G$1512,2,FALSE())</f>
        <v>107</v>
      </c>
      <c r="O301" s="26" t="str">
        <f>VLOOKUP(M301,[1]LPU!$A$2:$G$1512,3,FALSE)</f>
        <v>Mano de Obra Tecnico Electricista Certficado CONTE</v>
      </c>
      <c r="P301" s="26" t="str">
        <f>VLOOKUP(M301,[1]LPU!$A$2:$G$1512,4,FALSE())</f>
        <v>ENERGÍA</v>
      </c>
      <c r="Q301" s="26" t="str">
        <f>VLOOKUP(M301,[1]LPU!$A$2:$G$1512,5,FALSE())</f>
        <v>DIA</v>
      </c>
      <c r="R301" s="27">
        <f>VLOOKUP(M301,[1]LPU!$A$2:$G$1512,6,FALSE())</f>
        <v>136000</v>
      </c>
      <c r="S301" s="27" t="str">
        <f>VLOOKUP(M301,[1]LPU!$A$2:$G$1512,7,FALSE())</f>
        <v>LPU FLM</v>
      </c>
      <c r="T301" s="28">
        <v>1</v>
      </c>
      <c r="U301" s="29">
        <f t="shared" si="6"/>
        <v>136000</v>
      </c>
      <c r="V301" s="29" t="s">
        <v>187</v>
      </c>
      <c r="W301" s="30"/>
      <c r="X301" s="29" t="s">
        <v>38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ht="21" customHeight="1" x14ac:dyDescent="0.3">
      <c r="A302" s="22">
        <v>298</v>
      </c>
      <c r="B302" s="23">
        <v>1</v>
      </c>
      <c r="C302" s="23" t="s">
        <v>188</v>
      </c>
      <c r="D302" s="23" t="str">
        <f>VLOOKUP(C302,'[1]1.CUADRO RESUMEN DE SITIOS '!$C$5:$L$1052,2,FALSE())</f>
        <v>JCOR_00119</v>
      </c>
      <c r="E302" s="24">
        <f>VLOOKUP(C302,'[1]1.CUADRO RESUMEN DE SITIOS '!$C$5:$L$1052,3,FALSE())</f>
        <v>46022</v>
      </c>
      <c r="F302" s="23">
        <f>VLOOKUP(C302,'[1]1.CUADRO RESUMEN DE SITIOS '!$C$5:$L$1052,4,FALSE())</f>
        <v>842256</v>
      </c>
      <c r="G302" s="23">
        <f>VLOOKUP(C302,'[1]1.CUADRO RESUMEN DE SITIOS '!$C$5:$L$1052,5,FALSE())</f>
        <v>-758282397</v>
      </c>
      <c r="H302" s="23" t="str">
        <f>VLOOKUP(C302,'[1]1.CUADRO RESUMEN DE SITIOS '!$C$5:$L$1052,6,FALSE())</f>
        <v>Cordoba</v>
      </c>
      <c r="I302" s="23" t="str">
        <f>VLOOKUP(C302,'[1]1.CUADRO RESUMEN DE SITIOS '!$C$5:$L$1052,7,FALSE())</f>
        <v>WOM-HUAWEI</v>
      </c>
      <c r="J302" s="25" t="str">
        <f>VLOOKUP(C302,'[1]1.CUADRO RESUMEN DE SITIOS '!$C$5:$L$1052,8,FALSE())</f>
        <v>NOROCCIDENTE</v>
      </c>
      <c r="K302" s="23" t="str">
        <f>VLOOKUP(C302,'[1]1.CUADRO RESUMEN DE SITIOS '!$C$5:$L$1052,9,FALSE())</f>
        <v>Cesar Osorio</v>
      </c>
      <c r="L302" s="26" t="str">
        <f>VLOOKUP(C302,'[1]1.CUADRO RESUMEN DE SITIOS '!$C$5:$L$1052,10,FALSE())</f>
        <v>Terminado</v>
      </c>
      <c r="M302" s="26">
        <v>8828120183</v>
      </c>
      <c r="N302" s="26">
        <f>VLOOKUP(M302,[1]LPU!$A$2:$G$1512,2,FALSE())</f>
        <v>51</v>
      </c>
      <c r="O302" s="26" t="str">
        <f>VLOOKUP(M302,[1]LPU!$A$2:$G$1512,3,FALSE)</f>
        <v>Suministro e Instalación de Pegamento SIKA a la bandeja inferior de los gabinetes de Baterias y a las baterias del sitio, hasta 3 baterias</v>
      </c>
      <c r="P302" s="26" t="str">
        <f>VLOOKUP(M302,[1]LPU!$A$2:$G$1512,4,FALSE())</f>
        <v>ENERGÍA</v>
      </c>
      <c r="Q302" s="26" t="str">
        <f>VLOOKUP(M302,[1]LPU!$A$2:$G$1512,5,FALSE())</f>
        <v>U</v>
      </c>
      <c r="R302" s="27">
        <f>VLOOKUP(M302,[1]LPU!$A$2:$G$1512,6,FALSE())</f>
        <v>39780</v>
      </c>
      <c r="S302" s="27" t="str">
        <f>VLOOKUP(M302,[1]LPU!$A$2:$G$1512,7,FALSE())</f>
        <v>LPU FLM</v>
      </c>
      <c r="T302" s="28">
        <v>1</v>
      </c>
      <c r="U302" s="29">
        <f t="shared" si="6"/>
        <v>39780</v>
      </c>
      <c r="V302" s="29" t="s">
        <v>187</v>
      </c>
      <c r="W302" s="30"/>
      <c r="X302" s="29" t="s">
        <v>38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ht="21" customHeight="1" x14ac:dyDescent="0.3">
      <c r="A303" s="22">
        <v>299</v>
      </c>
      <c r="B303" s="23">
        <v>1</v>
      </c>
      <c r="C303" s="23" t="s">
        <v>188</v>
      </c>
      <c r="D303" s="23" t="str">
        <f>VLOOKUP(C303,'[1]1.CUADRO RESUMEN DE SITIOS '!$C$5:$L$1052,2,FALSE())</f>
        <v>JCOR_00119</v>
      </c>
      <c r="E303" s="24">
        <f>VLOOKUP(C303,'[1]1.CUADRO RESUMEN DE SITIOS '!$C$5:$L$1052,3,FALSE())</f>
        <v>46022</v>
      </c>
      <c r="F303" s="23">
        <f>VLOOKUP(C303,'[1]1.CUADRO RESUMEN DE SITIOS '!$C$5:$L$1052,4,FALSE())</f>
        <v>842256</v>
      </c>
      <c r="G303" s="23">
        <f>VLOOKUP(C303,'[1]1.CUADRO RESUMEN DE SITIOS '!$C$5:$L$1052,5,FALSE())</f>
        <v>-758282397</v>
      </c>
      <c r="H303" s="23" t="str">
        <f>VLOOKUP(C303,'[1]1.CUADRO RESUMEN DE SITIOS '!$C$5:$L$1052,6,FALSE())</f>
        <v>Cordoba</v>
      </c>
      <c r="I303" s="23" t="str">
        <f>VLOOKUP(C303,'[1]1.CUADRO RESUMEN DE SITIOS '!$C$5:$L$1052,7,FALSE())</f>
        <v>WOM-HUAWEI</v>
      </c>
      <c r="J303" s="25" t="str">
        <f>VLOOKUP(C303,'[1]1.CUADRO RESUMEN DE SITIOS '!$C$5:$L$1052,8,FALSE())</f>
        <v>NOROCCIDENTE</v>
      </c>
      <c r="K303" s="23" t="str">
        <f>VLOOKUP(C303,'[1]1.CUADRO RESUMEN DE SITIOS '!$C$5:$L$1052,9,FALSE())</f>
        <v>Cesar Osorio</v>
      </c>
      <c r="L303" s="26" t="str">
        <f>VLOOKUP(C303,'[1]1.CUADRO RESUMEN DE SITIOS '!$C$5:$L$1052,10,FALSE())</f>
        <v>Terminado</v>
      </c>
      <c r="M303" s="26">
        <v>8828120192</v>
      </c>
      <c r="N303" s="26">
        <f>VLOOKUP(M303,[1]LPU!$A$2:$G$1512,2,FALSE())</f>
        <v>52</v>
      </c>
      <c r="O303" s="26" t="str">
        <f>VLOOKUP(M303,[1]LPU!$A$2:$G$1512,3,FALSE)</f>
        <v>Desmonte Banco de Baterias para Rectificadores - Aplica para ampliaciones.</v>
      </c>
      <c r="P303" s="26" t="str">
        <f>VLOOKUP(M303,[1]LPU!$A$2:$G$1512,4,FALSE())</f>
        <v>ENERGÍA</v>
      </c>
      <c r="Q303" s="26" t="str">
        <f>VLOOKUP(M303,[1]LPU!$A$2:$G$1512,5,FALSE())</f>
        <v>U</v>
      </c>
      <c r="R303" s="27">
        <f>VLOOKUP(M303,[1]LPU!$A$2:$G$1512,6,FALSE())</f>
        <v>61880</v>
      </c>
      <c r="S303" s="27" t="str">
        <f>VLOOKUP(M303,[1]LPU!$A$2:$G$1512,7,FALSE())</f>
        <v>LPU FLM</v>
      </c>
      <c r="T303" s="28">
        <v>2</v>
      </c>
      <c r="U303" s="29">
        <f t="shared" si="6"/>
        <v>123760</v>
      </c>
      <c r="V303" s="29" t="s">
        <v>187</v>
      </c>
      <c r="W303" s="30"/>
      <c r="X303" s="29" t="s">
        <v>38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ht="21" customHeight="1" x14ac:dyDescent="0.3">
      <c r="A304" s="22">
        <v>300</v>
      </c>
      <c r="B304" s="23">
        <v>1</v>
      </c>
      <c r="C304" s="23" t="s">
        <v>188</v>
      </c>
      <c r="D304" s="23" t="str">
        <f>VLOOKUP(C304,'[1]1.CUADRO RESUMEN DE SITIOS '!$C$5:$L$1052,2,FALSE())</f>
        <v>JCOR_00119</v>
      </c>
      <c r="E304" s="24">
        <f>VLOOKUP(C304,'[1]1.CUADRO RESUMEN DE SITIOS '!$C$5:$L$1052,3,FALSE())</f>
        <v>46022</v>
      </c>
      <c r="F304" s="23">
        <f>VLOOKUP(C304,'[1]1.CUADRO RESUMEN DE SITIOS '!$C$5:$L$1052,4,FALSE())</f>
        <v>842256</v>
      </c>
      <c r="G304" s="23">
        <f>VLOOKUP(C304,'[1]1.CUADRO RESUMEN DE SITIOS '!$C$5:$L$1052,5,FALSE())</f>
        <v>-758282397</v>
      </c>
      <c r="H304" s="23" t="str">
        <f>VLOOKUP(C304,'[1]1.CUADRO RESUMEN DE SITIOS '!$C$5:$L$1052,6,FALSE())</f>
        <v>Cordoba</v>
      </c>
      <c r="I304" s="23" t="str">
        <f>VLOOKUP(C304,'[1]1.CUADRO RESUMEN DE SITIOS '!$C$5:$L$1052,7,FALSE())</f>
        <v>WOM-HUAWEI</v>
      </c>
      <c r="J304" s="25" t="str">
        <f>VLOOKUP(C304,'[1]1.CUADRO RESUMEN DE SITIOS '!$C$5:$L$1052,8,FALSE())</f>
        <v>NOROCCIDENTE</v>
      </c>
      <c r="K304" s="23" t="str">
        <f>VLOOKUP(C304,'[1]1.CUADRO RESUMEN DE SITIOS '!$C$5:$L$1052,9,FALSE())</f>
        <v>Cesar Osorio</v>
      </c>
      <c r="L304" s="26" t="str">
        <f>VLOOKUP(C304,'[1]1.CUADRO RESUMEN DE SITIOS '!$C$5:$L$1052,10,FALSE())</f>
        <v>Terminado</v>
      </c>
      <c r="M304" s="26">
        <v>8828119823</v>
      </c>
      <c r="N304" s="26">
        <f>VLOOKUP(M304,[1]LPU!$A$2:$G$1512,2,FALSE())</f>
        <v>3.07</v>
      </c>
      <c r="O304" s="26" t="str">
        <f>VLOOKUP(M304,[1]LPU!$A$2:$G$1512,3,FALSE)</f>
        <v>Anclajes en concreto, con epoxico Hilti 1/2" y sikadur 32.</v>
      </c>
      <c r="P304" s="26" t="str">
        <f>VLOOKUP(M304,[1]LPU!$A$2:$G$1512,4,FALSE())</f>
        <v>Mantenimiento CW</v>
      </c>
      <c r="Q304" s="26" t="str">
        <f>VLOOKUP(M304,[1]LPU!$A$2:$G$1512,5,FALSE())</f>
        <v>UN</v>
      </c>
      <c r="R304" s="27">
        <f>VLOOKUP(M304,[1]LPU!$A$2:$G$1512,6,FALSE())</f>
        <v>29551.1</v>
      </c>
      <c r="S304" s="27" t="str">
        <f>VLOOKUP(M304,[1]LPU!$A$2:$G$1512,7,FALSE())</f>
        <v>Mantenimiento CW</v>
      </c>
      <c r="T304" s="28">
        <v>4</v>
      </c>
      <c r="U304" s="29">
        <f t="shared" si="6"/>
        <v>118204.4</v>
      </c>
      <c r="V304" s="29" t="s">
        <v>187</v>
      </c>
      <c r="W304" s="30"/>
      <c r="X304" s="29" t="s">
        <v>38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ht="21" customHeight="1" x14ac:dyDescent="0.3">
      <c r="A305" s="22">
        <v>301</v>
      </c>
      <c r="B305" s="23">
        <v>1</v>
      </c>
      <c r="C305" s="23" t="s">
        <v>188</v>
      </c>
      <c r="D305" s="23" t="str">
        <f>VLOOKUP(C305,'[1]1.CUADRO RESUMEN DE SITIOS '!$C$5:$L$1052,2,FALSE())</f>
        <v>JCOR_00119</v>
      </c>
      <c r="E305" s="24">
        <f>VLOOKUP(C305,'[1]1.CUADRO RESUMEN DE SITIOS '!$C$5:$L$1052,3,FALSE())</f>
        <v>46022</v>
      </c>
      <c r="F305" s="23">
        <f>VLOOKUP(C305,'[1]1.CUADRO RESUMEN DE SITIOS '!$C$5:$L$1052,4,FALSE())</f>
        <v>842256</v>
      </c>
      <c r="G305" s="23">
        <f>VLOOKUP(C305,'[1]1.CUADRO RESUMEN DE SITIOS '!$C$5:$L$1052,5,FALSE())</f>
        <v>-758282397</v>
      </c>
      <c r="H305" s="23" t="str">
        <f>VLOOKUP(C305,'[1]1.CUADRO RESUMEN DE SITIOS '!$C$5:$L$1052,6,FALSE())</f>
        <v>Cordoba</v>
      </c>
      <c r="I305" s="23" t="str">
        <f>VLOOKUP(C305,'[1]1.CUADRO RESUMEN DE SITIOS '!$C$5:$L$1052,7,FALSE())</f>
        <v>WOM-HUAWEI</v>
      </c>
      <c r="J305" s="25" t="str">
        <f>VLOOKUP(C305,'[1]1.CUADRO RESUMEN DE SITIOS '!$C$5:$L$1052,8,FALSE())</f>
        <v>NOROCCIDENTE</v>
      </c>
      <c r="K305" s="23" t="str">
        <f>VLOOKUP(C305,'[1]1.CUADRO RESUMEN DE SITIOS '!$C$5:$L$1052,9,FALSE())</f>
        <v>Cesar Osorio</v>
      </c>
      <c r="L305" s="26" t="str">
        <f>VLOOKUP(C305,'[1]1.CUADRO RESUMEN DE SITIOS '!$C$5:$L$1052,10,FALSE())</f>
        <v>Terminado</v>
      </c>
      <c r="M305" s="26">
        <v>8828119251</v>
      </c>
      <c r="N305" s="26">
        <f>VLOOKUP(M305,[1]LPU!$A$2:$G$1512,2,FALSE())</f>
        <v>182</v>
      </c>
      <c r="O305" s="26" t="str">
        <f>VLOOKUP(M305,[1]LPU!$A$2:$G$1512,3,FALSE)</f>
        <v>PERNOS DE ANCLAJE 1/2"*3" N2 23</v>
      </c>
      <c r="P305" s="26" t="str">
        <f>VLOOKUP(M305,[1]LPU!$A$2:$G$1512,4,FALSE())</f>
        <v>Nivel 2</v>
      </c>
      <c r="Q305" s="26" t="str">
        <f>VLOOKUP(M305,[1]LPU!$A$2:$G$1512,5,FALSE())</f>
        <v>Uni</v>
      </c>
      <c r="R305" s="27">
        <f>VLOOKUP(M305,[1]LPU!$A$2:$G$1512,6,FALSE())</f>
        <v>35774</v>
      </c>
      <c r="S305" s="27" t="str">
        <f>VLOOKUP(M305,[1]LPU!$A$2:$G$1512,7,FALSE())</f>
        <v>N2</v>
      </c>
      <c r="T305" s="28">
        <v>4</v>
      </c>
      <c r="U305" s="29">
        <f t="shared" si="6"/>
        <v>143096</v>
      </c>
      <c r="V305" s="29" t="s">
        <v>187</v>
      </c>
      <c r="W305" s="30"/>
      <c r="X305" s="29" t="s">
        <v>38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ht="21" customHeight="1" x14ac:dyDescent="0.3">
      <c r="A306" s="22">
        <v>302</v>
      </c>
      <c r="B306" s="23">
        <v>1</v>
      </c>
      <c r="C306" s="23" t="s">
        <v>189</v>
      </c>
      <c r="D306" s="23" t="str">
        <f>VLOOKUP(C306,'[1]1.CUADRO RESUMEN DE SITIOS '!$C$5:$L$1052,2,FALSE())</f>
        <v>JCOR_00068</v>
      </c>
      <c r="E306" s="24">
        <f>VLOOKUP(C306,'[1]1.CUADRO RESUMEN DE SITIOS '!$C$5:$L$1052,3,FALSE())</f>
        <v>46027</v>
      </c>
      <c r="F306" s="23">
        <f>VLOOKUP(C306,'[1]1.CUADRO RESUMEN DE SITIOS '!$C$5:$L$1052,4,FALSE())</f>
        <v>814791</v>
      </c>
      <c r="G306" s="23">
        <f>VLOOKUP(C306,'[1]1.CUADRO RESUMEN DE SITIOS '!$C$5:$L$1052,5,FALSE())</f>
        <v>-7631523</v>
      </c>
      <c r="H306" s="23" t="str">
        <f>VLOOKUP(C306,'[1]1.CUADRO RESUMEN DE SITIOS '!$C$5:$L$1052,6,FALSE())</f>
        <v>CORDOBA</v>
      </c>
      <c r="I306" s="23" t="str">
        <f>VLOOKUP(C306,'[1]1.CUADRO RESUMEN DE SITIOS '!$C$5:$L$1052,7,FALSE())</f>
        <v>WOM-HUAWEI</v>
      </c>
      <c r="J306" s="25" t="str">
        <f>VLOOKUP(C306,'[1]1.CUADRO RESUMEN DE SITIOS '!$C$5:$L$1052,8,FALSE())</f>
        <v>NOROCCIDENTE</v>
      </c>
      <c r="K306" s="23" t="str">
        <f>VLOOKUP(C306,'[1]1.CUADRO RESUMEN DE SITIOS '!$C$5:$L$1052,9,FALSE())</f>
        <v>Cesar Osorio</v>
      </c>
      <c r="L306" s="26" t="str">
        <f>VLOOKUP(C306,'[1]1.CUADRO RESUMEN DE SITIOS '!$C$5:$L$1052,10,FALSE())</f>
        <v>Terminado</v>
      </c>
      <c r="M306" s="26">
        <v>8828119492</v>
      </c>
      <c r="N306" s="26">
        <f>VLOOKUP(M306,[1]LPU!$A$2:$G$1512,2,FALSE())</f>
        <v>53</v>
      </c>
      <c r="O306" s="26" t="str">
        <f>VLOOKUP(M306,[1]LPU!$A$2:$G$1512,3,FALSE)</f>
        <v>Instalación Banco de Baterias para Rectificadores - Aplica para ampliaciones.</v>
      </c>
      <c r="P306" s="26" t="str">
        <f>VLOOKUP(M306,[1]LPU!$A$2:$G$1512,4,FALSE())</f>
        <v>ENERGÍA</v>
      </c>
      <c r="Q306" s="26" t="str">
        <f>VLOOKUP(M306,[1]LPU!$A$2:$G$1512,5,FALSE())</f>
        <v>U</v>
      </c>
      <c r="R306" s="27">
        <f>VLOOKUP(M306,[1]LPU!$A$2:$G$1512,6,FALSE())</f>
        <v>102340</v>
      </c>
      <c r="S306" s="27" t="str">
        <f>VLOOKUP(M306,[1]LPU!$A$2:$G$1512,7,FALSE())</f>
        <v>LPU FLM</v>
      </c>
      <c r="T306" s="28">
        <v>2</v>
      </c>
      <c r="U306" s="29">
        <f t="shared" si="6"/>
        <v>204680</v>
      </c>
      <c r="V306" s="29" t="s">
        <v>187</v>
      </c>
      <c r="W306" s="30"/>
      <c r="X306" s="29" t="s">
        <v>190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ht="21" customHeight="1" x14ac:dyDescent="0.3">
      <c r="A307" s="22">
        <v>303</v>
      </c>
      <c r="B307" s="23">
        <v>1</v>
      </c>
      <c r="C307" s="23" t="s">
        <v>189</v>
      </c>
      <c r="D307" s="23" t="str">
        <f>VLOOKUP(C307,'[1]1.CUADRO RESUMEN DE SITIOS '!$C$5:$L$1052,2,FALSE())</f>
        <v>JCOR_00068</v>
      </c>
      <c r="E307" s="24">
        <f>VLOOKUP(C307,'[1]1.CUADRO RESUMEN DE SITIOS '!$C$5:$L$1052,3,FALSE())</f>
        <v>46027</v>
      </c>
      <c r="F307" s="23">
        <f>VLOOKUP(C307,'[1]1.CUADRO RESUMEN DE SITIOS '!$C$5:$L$1052,4,FALSE())</f>
        <v>814791</v>
      </c>
      <c r="G307" s="23">
        <f>VLOOKUP(C307,'[1]1.CUADRO RESUMEN DE SITIOS '!$C$5:$L$1052,5,FALSE())</f>
        <v>-7631523</v>
      </c>
      <c r="H307" s="23" t="str">
        <f>VLOOKUP(C307,'[1]1.CUADRO RESUMEN DE SITIOS '!$C$5:$L$1052,6,FALSE())</f>
        <v>CORDOBA</v>
      </c>
      <c r="I307" s="23" t="str">
        <f>VLOOKUP(C307,'[1]1.CUADRO RESUMEN DE SITIOS '!$C$5:$L$1052,7,FALSE())</f>
        <v>WOM-HUAWEI</v>
      </c>
      <c r="J307" s="25" t="str">
        <f>VLOOKUP(C307,'[1]1.CUADRO RESUMEN DE SITIOS '!$C$5:$L$1052,8,FALSE())</f>
        <v>NOROCCIDENTE</v>
      </c>
      <c r="K307" s="23" t="str">
        <f>VLOOKUP(C307,'[1]1.CUADRO RESUMEN DE SITIOS '!$C$5:$L$1052,9,FALSE())</f>
        <v>Cesar Osorio</v>
      </c>
      <c r="L307" s="26" t="str">
        <f>VLOOKUP(C307,'[1]1.CUADRO RESUMEN DE SITIOS '!$C$5:$L$1052,10,FALSE())</f>
        <v>Terminado</v>
      </c>
      <c r="M307" s="26">
        <v>8828119512</v>
      </c>
      <c r="N307" s="26">
        <f>VLOOKUP(M307,[1]LPU!$A$2:$G$1512,2,FALSE())</f>
        <v>55</v>
      </c>
      <c r="O307" s="26" t="str">
        <f>VLOOKUP(M307,[1]LPU!$A$2:$G$1512,3,FALSE)</f>
        <v>Transporte Banco de Baterias</v>
      </c>
      <c r="P307" s="26" t="str">
        <f>VLOOKUP(M307,[1]LPU!$A$2:$G$1512,4,FALSE())</f>
        <v>ENERGÍA</v>
      </c>
      <c r="Q307" s="26" t="str">
        <f>VLOOKUP(M307,[1]LPU!$A$2:$G$1512,5,FALSE())</f>
        <v>U</v>
      </c>
      <c r="R307" s="27">
        <f>VLOOKUP(M307,[1]LPU!$A$2:$G$1512,6,FALSE())</f>
        <v>82212</v>
      </c>
      <c r="S307" s="27" t="str">
        <f>VLOOKUP(M307,[1]LPU!$A$2:$G$1512,7,FALSE())</f>
        <v>LPU FLM</v>
      </c>
      <c r="T307" s="28">
        <v>1</v>
      </c>
      <c r="U307" s="29">
        <f t="shared" si="6"/>
        <v>82212</v>
      </c>
      <c r="V307" s="29" t="s">
        <v>187</v>
      </c>
      <c r="W307" s="30"/>
      <c r="X307" s="29" t="s">
        <v>190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ht="21" customHeight="1" x14ac:dyDescent="0.3">
      <c r="A308" s="22">
        <v>304</v>
      </c>
      <c r="B308" s="23">
        <v>1</v>
      </c>
      <c r="C308" s="23" t="s">
        <v>189</v>
      </c>
      <c r="D308" s="23" t="str">
        <f>VLOOKUP(C308,'[1]1.CUADRO RESUMEN DE SITIOS '!$C$5:$L$1052,2,FALSE())</f>
        <v>JCOR_00068</v>
      </c>
      <c r="E308" s="24">
        <f>VLOOKUP(C308,'[1]1.CUADRO RESUMEN DE SITIOS '!$C$5:$L$1052,3,FALSE())</f>
        <v>46027</v>
      </c>
      <c r="F308" s="23">
        <f>VLOOKUP(C308,'[1]1.CUADRO RESUMEN DE SITIOS '!$C$5:$L$1052,4,FALSE())</f>
        <v>814791</v>
      </c>
      <c r="G308" s="23">
        <f>VLOOKUP(C308,'[1]1.CUADRO RESUMEN DE SITIOS '!$C$5:$L$1052,5,FALSE())</f>
        <v>-7631523</v>
      </c>
      <c r="H308" s="23" t="str">
        <f>VLOOKUP(C308,'[1]1.CUADRO RESUMEN DE SITIOS '!$C$5:$L$1052,6,FALSE())</f>
        <v>CORDOBA</v>
      </c>
      <c r="I308" s="23" t="str">
        <f>VLOOKUP(C308,'[1]1.CUADRO RESUMEN DE SITIOS '!$C$5:$L$1052,7,FALSE())</f>
        <v>WOM-HUAWEI</v>
      </c>
      <c r="J308" s="25" t="str">
        <f>VLOOKUP(C308,'[1]1.CUADRO RESUMEN DE SITIOS '!$C$5:$L$1052,8,FALSE())</f>
        <v>NOROCCIDENTE</v>
      </c>
      <c r="K308" s="23" t="str">
        <f>VLOOKUP(C308,'[1]1.CUADRO RESUMEN DE SITIOS '!$C$5:$L$1052,9,FALSE())</f>
        <v>Cesar Osorio</v>
      </c>
      <c r="L308" s="26" t="str">
        <f>VLOOKUP(C308,'[1]1.CUADRO RESUMEN DE SITIOS '!$C$5:$L$1052,10,FALSE())</f>
        <v>Terminado</v>
      </c>
      <c r="M308" s="26">
        <v>8828118999</v>
      </c>
      <c r="N308" s="26">
        <f>VLOOKUP(M308,[1]LPU!$A$2:$G$1512,2,FALSE())</f>
        <v>0</v>
      </c>
      <c r="O308" s="26" t="str">
        <f>VLOOKUP(M308,[1]LPU!$A$2:$G$1512,3,FALSE)</f>
        <v>Suministro e instalación de cable UTP Categoría 6, con conectores en sus extremos, certificado</v>
      </c>
      <c r="P308" s="26" t="str">
        <f>VLOOKUP(M308,[1]LPU!$A$2:$G$1512,4,FALSE())</f>
        <v>Item Critico</v>
      </c>
      <c r="Q308" s="26" t="str">
        <f>VLOOKUP(M308,[1]LPU!$A$2:$G$1512,5,FALSE())</f>
        <v>m</v>
      </c>
      <c r="R308" s="27">
        <f>VLOOKUP(M308,[1]LPU!$A$2:$G$1512,6,FALSE())</f>
        <v>5913</v>
      </c>
      <c r="S308" s="27" t="str">
        <f>VLOOKUP(M308,[1]LPU!$A$2:$G$1512,7,FALSE())</f>
        <v>LPU FO Propia</v>
      </c>
      <c r="T308" s="28">
        <v>45</v>
      </c>
      <c r="U308" s="29">
        <f t="shared" si="6"/>
        <v>266085</v>
      </c>
      <c r="V308" s="29" t="s">
        <v>187</v>
      </c>
      <c r="W308" s="30"/>
      <c r="X308" s="29" t="s">
        <v>190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ht="21" customHeight="1" x14ac:dyDescent="0.3">
      <c r="A309" s="22">
        <v>305</v>
      </c>
      <c r="B309" s="23">
        <v>1</v>
      </c>
      <c r="C309" s="23" t="s">
        <v>189</v>
      </c>
      <c r="D309" s="23" t="str">
        <f>VLOOKUP(C309,'[1]1.CUADRO RESUMEN DE SITIOS '!$C$5:$L$1052,2,FALSE())</f>
        <v>JCOR_00068</v>
      </c>
      <c r="E309" s="24">
        <f>VLOOKUP(C309,'[1]1.CUADRO RESUMEN DE SITIOS '!$C$5:$L$1052,3,FALSE())</f>
        <v>46027</v>
      </c>
      <c r="F309" s="23">
        <f>VLOOKUP(C309,'[1]1.CUADRO RESUMEN DE SITIOS '!$C$5:$L$1052,4,FALSE())</f>
        <v>814791</v>
      </c>
      <c r="G309" s="23">
        <f>VLOOKUP(C309,'[1]1.CUADRO RESUMEN DE SITIOS '!$C$5:$L$1052,5,FALSE())</f>
        <v>-7631523</v>
      </c>
      <c r="H309" s="23" t="str">
        <f>VLOOKUP(C309,'[1]1.CUADRO RESUMEN DE SITIOS '!$C$5:$L$1052,6,FALSE())</f>
        <v>CORDOBA</v>
      </c>
      <c r="I309" s="23" t="str">
        <f>VLOOKUP(C309,'[1]1.CUADRO RESUMEN DE SITIOS '!$C$5:$L$1052,7,FALSE())</f>
        <v>WOM-HUAWEI</v>
      </c>
      <c r="J309" s="25" t="str">
        <f>VLOOKUP(C309,'[1]1.CUADRO RESUMEN DE SITIOS '!$C$5:$L$1052,8,FALSE())</f>
        <v>NOROCCIDENTE</v>
      </c>
      <c r="K309" s="23" t="str">
        <f>VLOOKUP(C309,'[1]1.CUADRO RESUMEN DE SITIOS '!$C$5:$L$1052,9,FALSE())</f>
        <v>Cesar Osorio</v>
      </c>
      <c r="L309" s="26" t="str">
        <f>VLOOKUP(C309,'[1]1.CUADRO RESUMEN DE SITIOS '!$C$5:$L$1052,10,FALSE())</f>
        <v>Terminado</v>
      </c>
      <c r="M309" s="26">
        <v>8828119751</v>
      </c>
      <c r="N309" s="26">
        <f>VLOOKUP(M309,[1]LPU!$A$2:$G$1512,2,FALSE())</f>
        <v>490</v>
      </c>
      <c r="O309" s="26" t="str">
        <f>VLOOKUP(M309,[1]LPU!$A$2:$G$1512,3,FALSE)</f>
        <v>CABLE CONCENTRICO ANTIFRAUDE AWG 2X6+6 N2 23</v>
      </c>
      <c r="P309" s="26" t="str">
        <f>VLOOKUP(M309,[1]LPU!$A$2:$G$1512,4,FALSE())</f>
        <v>Nivel 2</v>
      </c>
      <c r="Q309" s="26" t="str">
        <f>VLOOKUP(M309,[1]LPU!$A$2:$G$1512,5,FALSE())</f>
        <v>M</v>
      </c>
      <c r="R309" s="27">
        <f>VLOOKUP(M309,[1]LPU!$A$2:$G$1512,6,FALSE())</f>
        <v>27844</v>
      </c>
      <c r="S309" s="27" t="str">
        <f>VLOOKUP(M309,[1]LPU!$A$2:$G$1512,7,FALSE())</f>
        <v>N2</v>
      </c>
      <c r="T309" s="28">
        <v>45</v>
      </c>
      <c r="U309" s="29">
        <f t="shared" si="6"/>
        <v>1252980</v>
      </c>
      <c r="V309" s="29" t="s">
        <v>187</v>
      </c>
      <c r="W309" s="30"/>
      <c r="X309" s="29" t="s">
        <v>190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ht="21" customHeight="1" x14ac:dyDescent="0.3">
      <c r="A310" s="22">
        <v>306</v>
      </c>
      <c r="B310" s="23">
        <v>1</v>
      </c>
      <c r="C310" s="23" t="s">
        <v>189</v>
      </c>
      <c r="D310" s="23" t="str">
        <f>VLOOKUP(C310,'[1]1.CUADRO RESUMEN DE SITIOS '!$C$5:$L$1052,2,FALSE())</f>
        <v>JCOR_00068</v>
      </c>
      <c r="E310" s="24">
        <f>VLOOKUP(C310,'[1]1.CUADRO RESUMEN DE SITIOS '!$C$5:$L$1052,3,FALSE())</f>
        <v>46027</v>
      </c>
      <c r="F310" s="23">
        <f>VLOOKUP(C310,'[1]1.CUADRO RESUMEN DE SITIOS '!$C$5:$L$1052,4,FALSE())</f>
        <v>814791</v>
      </c>
      <c r="G310" s="23">
        <f>VLOOKUP(C310,'[1]1.CUADRO RESUMEN DE SITIOS '!$C$5:$L$1052,5,FALSE())</f>
        <v>-7631523</v>
      </c>
      <c r="H310" s="23" t="str">
        <f>VLOOKUP(C310,'[1]1.CUADRO RESUMEN DE SITIOS '!$C$5:$L$1052,6,FALSE())</f>
        <v>CORDOBA</v>
      </c>
      <c r="I310" s="23" t="str">
        <f>VLOOKUP(C310,'[1]1.CUADRO RESUMEN DE SITIOS '!$C$5:$L$1052,7,FALSE())</f>
        <v>WOM-HUAWEI</v>
      </c>
      <c r="J310" s="25" t="str">
        <f>VLOOKUP(C310,'[1]1.CUADRO RESUMEN DE SITIOS '!$C$5:$L$1052,8,FALSE())</f>
        <v>NOROCCIDENTE</v>
      </c>
      <c r="K310" s="23" t="str">
        <f>VLOOKUP(C310,'[1]1.CUADRO RESUMEN DE SITIOS '!$C$5:$L$1052,9,FALSE())</f>
        <v>Cesar Osorio</v>
      </c>
      <c r="L310" s="26" t="str">
        <f>VLOOKUP(C310,'[1]1.CUADRO RESUMEN DE SITIOS '!$C$5:$L$1052,10,FALSE())</f>
        <v>Terminado</v>
      </c>
      <c r="M310" s="26">
        <v>8828118877</v>
      </c>
      <c r="N310" s="26">
        <f>VLOOKUP(M310,[1]LPU!$A$2:$G$1512,2,FALSE())</f>
        <v>82</v>
      </c>
      <c r="O310" s="26" t="str">
        <f>VLOOKUP(M310,[1]LPU!$A$2:$G$1512,3,FALSE)</f>
        <v>Suministro e Instalacion de terminal para cable awg # 6 en cobre estañado un ojo</v>
      </c>
      <c r="P310" s="26" t="str">
        <f>VLOOKUP(M310,[1]LPU!$A$2:$G$1512,4,FALSE())</f>
        <v>ENERGÍA</v>
      </c>
      <c r="Q310" s="26" t="str">
        <f>VLOOKUP(M310,[1]LPU!$A$2:$G$1512,5,FALSE())</f>
        <v>U</v>
      </c>
      <c r="R310" s="27">
        <f>VLOOKUP(M310,[1]LPU!$A$2:$G$1512,6,FALSE())</f>
        <v>1081</v>
      </c>
      <c r="S310" s="27" t="str">
        <f>VLOOKUP(M310,[1]LPU!$A$2:$G$1512,7,FALSE())</f>
        <v>LPU FLM</v>
      </c>
      <c r="T310" s="28">
        <v>2</v>
      </c>
      <c r="U310" s="29">
        <f t="shared" si="6"/>
        <v>2162</v>
      </c>
      <c r="V310" s="29" t="s">
        <v>187</v>
      </c>
      <c r="W310" s="30"/>
      <c r="X310" s="29" t="s">
        <v>190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ht="21" customHeight="1" x14ac:dyDescent="0.3">
      <c r="A311" s="22">
        <v>307</v>
      </c>
      <c r="B311" s="23">
        <v>1</v>
      </c>
      <c r="C311" s="23" t="s">
        <v>189</v>
      </c>
      <c r="D311" s="23" t="str">
        <f>VLOOKUP(C311,'[1]1.CUADRO RESUMEN DE SITIOS '!$C$5:$L$1052,2,FALSE())</f>
        <v>JCOR_00068</v>
      </c>
      <c r="E311" s="24">
        <f>VLOOKUP(C311,'[1]1.CUADRO RESUMEN DE SITIOS '!$C$5:$L$1052,3,FALSE())</f>
        <v>46027</v>
      </c>
      <c r="F311" s="23">
        <f>VLOOKUP(C311,'[1]1.CUADRO RESUMEN DE SITIOS '!$C$5:$L$1052,4,FALSE())</f>
        <v>814791</v>
      </c>
      <c r="G311" s="23">
        <f>VLOOKUP(C311,'[1]1.CUADRO RESUMEN DE SITIOS '!$C$5:$L$1052,5,FALSE())</f>
        <v>-7631523</v>
      </c>
      <c r="H311" s="23" t="str">
        <f>VLOOKUP(C311,'[1]1.CUADRO RESUMEN DE SITIOS '!$C$5:$L$1052,6,FALSE())</f>
        <v>CORDOBA</v>
      </c>
      <c r="I311" s="23" t="str">
        <f>VLOOKUP(C311,'[1]1.CUADRO RESUMEN DE SITIOS '!$C$5:$L$1052,7,FALSE())</f>
        <v>WOM-HUAWEI</v>
      </c>
      <c r="J311" s="25" t="str">
        <f>VLOOKUP(C311,'[1]1.CUADRO RESUMEN DE SITIOS '!$C$5:$L$1052,8,FALSE())</f>
        <v>NOROCCIDENTE</v>
      </c>
      <c r="K311" s="23" t="str">
        <f>VLOOKUP(C311,'[1]1.CUADRO RESUMEN DE SITIOS '!$C$5:$L$1052,9,FALSE())</f>
        <v>Cesar Osorio</v>
      </c>
      <c r="L311" s="26" t="str">
        <f>VLOOKUP(C311,'[1]1.CUADRO RESUMEN DE SITIOS '!$C$5:$L$1052,10,FALSE())</f>
        <v>Terminado</v>
      </c>
      <c r="M311" s="26">
        <v>8828119941</v>
      </c>
      <c r="N311" s="26">
        <f>VLOOKUP(M311,[1]LPU!$A$2:$G$1512,2,FALSE())</f>
        <v>165</v>
      </c>
      <c r="O311" s="26" t="str">
        <f>VLOOKUP(M311,[1]LPU!$A$2:$G$1512,3,FALSE)</f>
        <v>Transporte tipo C, zona de dificil acceso</v>
      </c>
      <c r="P311" s="26" t="str">
        <f>VLOOKUP(M311,[1]LPU!$A$2:$G$1512,4,FALSE())</f>
        <v>LOCATIVO</v>
      </c>
      <c r="Q311" s="26" t="str">
        <f>VLOOKUP(M311,[1]LPU!$A$2:$G$1512,5,FALSE())</f>
        <v>Global</v>
      </c>
      <c r="R311" s="27">
        <f>VLOOKUP(M311,[1]LPU!$A$2:$G$1512,6,FALSE())</f>
        <v>388801.05</v>
      </c>
      <c r="S311" s="27" t="str">
        <f>VLOOKUP(M311,[1]LPU!$A$2:$G$1512,7,FALSE())</f>
        <v>LPU FLM</v>
      </c>
      <c r="T311" s="28">
        <v>1</v>
      </c>
      <c r="U311" s="29">
        <f t="shared" si="6"/>
        <v>388801.05</v>
      </c>
      <c r="V311" s="29" t="s">
        <v>187</v>
      </c>
      <c r="W311" s="30"/>
      <c r="X311" s="29" t="s">
        <v>190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ht="21" customHeight="1" x14ac:dyDescent="0.3">
      <c r="A312" s="22">
        <v>308</v>
      </c>
      <c r="B312" s="23">
        <v>1</v>
      </c>
      <c r="C312" s="23" t="s">
        <v>189</v>
      </c>
      <c r="D312" s="23" t="str">
        <f>VLOOKUP(C312,'[1]1.CUADRO RESUMEN DE SITIOS '!$C$5:$L$1052,2,FALSE())</f>
        <v>JCOR_00068</v>
      </c>
      <c r="E312" s="24">
        <f>VLOOKUP(C312,'[1]1.CUADRO RESUMEN DE SITIOS '!$C$5:$L$1052,3,FALSE())</f>
        <v>46027</v>
      </c>
      <c r="F312" s="23">
        <f>VLOOKUP(C312,'[1]1.CUADRO RESUMEN DE SITIOS '!$C$5:$L$1052,4,FALSE())</f>
        <v>814791</v>
      </c>
      <c r="G312" s="23">
        <f>VLOOKUP(C312,'[1]1.CUADRO RESUMEN DE SITIOS '!$C$5:$L$1052,5,FALSE())</f>
        <v>-7631523</v>
      </c>
      <c r="H312" s="23" t="str">
        <f>VLOOKUP(C312,'[1]1.CUADRO RESUMEN DE SITIOS '!$C$5:$L$1052,6,FALSE())</f>
        <v>CORDOBA</v>
      </c>
      <c r="I312" s="23" t="str">
        <f>VLOOKUP(C312,'[1]1.CUADRO RESUMEN DE SITIOS '!$C$5:$L$1052,7,FALSE())</f>
        <v>WOM-HUAWEI</v>
      </c>
      <c r="J312" s="25" t="str">
        <f>VLOOKUP(C312,'[1]1.CUADRO RESUMEN DE SITIOS '!$C$5:$L$1052,8,FALSE())</f>
        <v>NOROCCIDENTE</v>
      </c>
      <c r="K312" s="23" t="str">
        <f>VLOOKUP(C312,'[1]1.CUADRO RESUMEN DE SITIOS '!$C$5:$L$1052,9,FALSE())</f>
        <v>Cesar Osorio</v>
      </c>
      <c r="L312" s="26" t="str">
        <f>VLOOKUP(C312,'[1]1.CUADRO RESUMEN DE SITIOS '!$C$5:$L$1052,10,FALSE())</f>
        <v>Terminado</v>
      </c>
      <c r="M312" s="26">
        <v>8828120183</v>
      </c>
      <c r="N312" s="26">
        <f>VLOOKUP(M312,[1]LPU!$A$2:$G$1512,2,FALSE())</f>
        <v>51</v>
      </c>
      <c r="O312" s="26" t="str">
        <f>VLOOKUP(M312,[1]LPU!$A$2:$G$1512,3,FALSE)</f>
        <v>Suministro e Instalación de Pegamento SIKA a la bandeja inferior de los gabinetes de Baterias y a las baterias del sitio, hasta 3 baterias</v>
      </c>
      <c r="P312" s="26" t="str">
        <f>VLOOKUP(M312,[1]LPU!$A$2:$G$1512,4,FALSE())</f>
        <v>ENERGÍA</v>
      </c>
      <c r="Q312" s="26" t="str">
        <f>VLOOKUP(M312,[1]LPU!$A$2:$G$1512,5,FALSE())</f>
        <v>U</v>
      </c>
      <c r="R312" s="27">
        <f>VLOOKUP(M312,[1]LPU!$A$2:$G$1512,6,FALSE())</f>
        <v>39780</v>
      </c>
      <c r="S312" s="27" t="str">
        <f>VLOOKUP(M312,[1]LPU!$A$2:$G$1512,7,FALSE())</f>
        <v>LPU FLM</v>
      </c>
      <c r="T312" s="28">
        <v>1</v>
      </c>
      <c r="U312" s="29">
        <f t="shared" si="6"/>
        <v>39780</v>
      </c>
      <c r="V312" s="29" t="s">
        <v>187</v>
      </c>
      <c r="W312" s="30"/>
      <c r="X312" s="29" t="s">
        <v>190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ht="21" customHeight="1" x14ac:dyDescent="0.3">
      <c r="A313" s="22">
        <v>309</v>
      </c>
      <c r="B313" s="23">
        <v>1</v>
      </c>
      <c r="C313" s="23" t="s">
        <v>189</v>
      </c>
      <c r="D313" s="23" t="str">
        <f>VLOOKUP(C313,'[1]1.CUADRO RESUMEN DE SITIOS '!$C$5:$L$1052,2,FALSE())</f>
        <v>JCOR_00068</v>
      </c>
      <c r="E313" s="24">
        <f>VLOOKUP(C313,'[1]1.CUADRO RESUMEN DE SITIOS '!$C$5:$L$1052,3,FALSE())</f>
        <v>46027</v>
      </c>
      <c r="F313" s="23">
        <f>VLOOKUP(C313,'[1]1.CUADRO RESUMEN DE SITIOS '!$C$5:$L$1052,4,FALSE())</f>
        <v>814791</v>
      </c>
      <c r="G313" s="23">
        <f>VLOOKUP(C313,'[1]1.CUADRO RESUMEN DE SITIOS '!$C$5:$L$1052,5,FALSE())</f>
        <v>-7631523</v>
      </c>
      <c r="H313" s="23" t="str">
        <f>VLOOKUP(C313,'[1]1.CUADRO RESUMEN DE SITIOS '!$C$5:$L$1052,6,FALSE())</f>
        <v>CORDOBA</v>
      </c>
      <c r="I313" s="23" t="str">
        <f>VLOOKUP(C313,'[1]1.CUADRO RESUMEN DE SITIOS '!$C$5:$L$1052,7,FALSE())</f>
        <v>WOM-HUAWEI</v>
      </c>
      <c r="J313" s="25" t="str">
        <f>VLOOKUP(C313,'[1]1.CUADRO RESUMEN DE SITIOS '!$C$5:$L$1052,8,FALSE())</f>
        <v>NOROCCIDENTE</v>
      </c>
      <c r="K313" s="23" t="str">
        <f>VLOOKUP(C313,'[1]1.CUADRO RESUMEN DE SITIOS '!$C$5:$L$1052,9,FALSE())</f>
        <v>Cesar Osorio</v>
      </c>
      <c r="L313" s="26" t="str">
        <f>VLOOKUP(C313,'[1]1.CUADRO RESUMEN DE SITIOS '!$C$5:$L$1052,10,FALSE())</f>
        <v>Terminado</v>
      </c>
      <c r="M313" s="26">
        <v>8828120192</v>
      </c>
      <c r="N313" s="26">
        <f>VLOOKUP(M313,[1]LPU!$A$2:$G$1512,2,FALSE())</f>
        <v>52</v>
      </c>
      <c r="O313" s="26" t="str">
        <f>VLOOKUP(M313,[1]LPU!$A$2:$G$1512,3,FALSE)</f>
        <v>Desmonte Banco de Baterias para Rectificadores - Aplica para ampliaciones.</v>
      </c>
      <c r="P313" s="26" t="str">
        <f>VLOOKUP(M313,[1]LPU!$A$2:$G$1512,4,FALSE())</f>
        <v>ENERGÍA</v>
      </c>
      <c r="Q313" s="26" t="str">
        <f>VLOOKUP(M313,[1]LPU!$A$2:$G$1512,5,FALSE())</f>
        <v>U</v>
      </c>
      <c r="R313" s="27">
        <f>VLOOKUP(M313,[1]LPU!$A$2:$G$1512,6,FALSE())</f>
        <v>61880</v>
      </c>
      <c r="S313" s="27" t="str">
        <f>VLOOKUP(M313,[1]LPU!$A$2:$G$1512,7,FALSE())</f>
        <v>LPU FLM</v>
      </c>
      <c r="T313" s="28">
        <v>3</v>
      </c>
      <c r="U313" s="29">
        <f t="shared" si="6"/>
        <v>185640</v>
      </c>
      <c r="V313" s="29" t="s">
        <v>187</v>
      </c>
      <c r="W313" s="30"/>
      <c r="X313" s="29" t="s">
        <v>190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ht="21" customHeight="1" x14ac:dyDescent="0.3">
      <c r="A314" s="22">
        <v>310</v>
      </c>
      <c r="B314" s="23">
        <v>1</v>
      </c>
      <c r="C314" s="23" t="s">
        <v>191</v>
      </c>
      <c r="D314" s="23">
        <f>VLOOKUP(C314,'[1]1.CUADRO RESUMEN DE SITIOS '!$C$5:$L$1052,2,FALSE())</f>
        <v>159018</v>
      </c>
      <c r="E314" s="24">
        <f>VLOOKUP(C314,'[1]1.CUADRO RESUMEN DE SITIOS '!$C$5:$L$1052,3,FALSE())</f>
        <v>46021</v>
      </c>
      <c r="F314" s="23" t="str">
        <f>VLOOKUP(C314,'[1]1.CUADRO RESUMEN DE SITIOS '!$C$5:$L$1052,4,FALSE())</f>
        <v>N/A</v>
      </c>
      <c r="G314" s="23" t="str">
        <f>VLOOKUP(C314,'[1]1.CUADRO RESUMEN DE SITIOS '!$C$5:$L$1052,5,FALSE())</f>
        <v>N/A</v>
      </c>
      <c r="H314" s="23" t="str">
        <f>VLOOKUP(C314,'[1]1.CUADRO RESUMEN DE SITIOS '!$C$5:$L$1052,6,FALSE())</f>
        <v>Antioquia</v>
      </c>
      <c r="I314" s="23" t="str">
        <f>VLOOKUP(C314,'[1]1.CUADRO RESUMEN DE SITIOS '!$C$5:$L$1052,7,FALSE())</f>
        <v>UNIRED</v>
      </c>
      <c r="J314" s="25" t="str">
        <f>VLOOKUP(C314,'[1]1.CUADRO RESUMEN DE SITIOS '!$C$5:$L$1052,8,FALSE())</f>
        <v>NOROCCIDENTE</v>
      </c>
      <c r="K314" s="23" t="str">
        <f>VLOOKUP(C314,'[1]1.CUADRO RESUMEN DE SITIOS '!$C$5:$L$1052,9,FALSE())</f>
        <v>Carlos Eduardo Montoya</v>
      </c>
      <c r="L314" s="26" t="str">
        <f>VLOOKUP(C314,'[1]1.CUADRO RESUMEN DE SITIOS '!$C$5:$L$1052,10,FALSE())</f>
        <v>Terminado</v>
      </c>
      <c r="M314" s="26">
        <v>1</v>
      </c>
      <c r="N314" s="26">
        <v>1</v>
      </c>
      <c r="O314" s="26" t="s">
        <v>192</v>
      </c>
      <c r="P314" s="26">
        <v>1</v>
      </c>
      <c r="Q314" s="26">
        <v>1</v>
      </c>
      <c r="R314" s="27">
        <v>256000</v>
      </c>
      <c r="S314" s="27" t="s">
        <v>139</v>
      </c>
      <c r="T314" s="28">
        <v>1</v>
      </c>
      <c r="U314" s="29">
        <f t="shared" si="6"/>
        <v>256000</v>
      </c>
      <c r="V314" s="29" t="s">
        <v>192</v>
      </c>
      <c r="W314" s="30"/>
      <c r="X314" s="29" t="s">
        <v>82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ht="21" customHeight="1" x14ac:dyDescent="0.3">
      <c r="A315" s="22">
        <v>311</v>
      </c>
      <c r="B315" s="23">
        <v>1</v>
      </c>
      <c r="C315" s="23" t="s">
        <v>193</v>
      </c>
      <c r="D315" s="23" t="str">
        <f>VLOOKUP(C315,'[1]1.CUADRO RESUMEN DE SITIOS '!$C$5:$L$1052,2,FALSE())</f>
        <v>NEI-400064</v>
      </c>
      <c r="E315" s="24">
        <f>VLOOKUP(C315,'[1]1.CUADRO RESUMEN DE SITIOS '!$C$5:$L$1052,3,FALSE())</f>
        <v>46020</v>
      </c>
      <c r="F315" s="23" t="str">
        <f>VLOOKUP(C315,'[1]1.CUADRO RESUMEN DE SITIOS '!$C$5:$L$1052,4,FALSE())</f>
        <v>N/A</v>
      </c>
      <c r="G315" s="23" t="str">
        <f>VLOOKUP(C315,'[1]1.CUADRO RESUMEN DE SITIOS '!$C$5:$L$1052,5,FALSE())</f>
        <v>N/A</v>
      </c>
      <c r="H315" s="23" t="str">
        <f>VLOOKUP(C315,'[1]1.CUADRO RESUMEN DE SITIOS '!$C$5:$L$1052,6,FALSE())</f>
        <v>Huila</v>
      </c>
      <c r="I315" s="23" t="str">
        <f>VLOOKUP(C315,'[1]1.CUADRO RESUMEN DE SITIOS '!$C$5:$L$1052,7,FALSE())</f>
        <v>UNIRED</v>
      </c>
      <c r="J315" s="25" t="str">
        <f>VLOOKUP(C315,'[1]1.CUADRO RESUMEN DE SITIOS '!$C$5:$L$1052,8,FALSE())</f>
        <v>NOROCCIDENTE</v>
      </c>
      <c r="K315" s="23" t="str">
        <f>VLOOKUP(C315,'[1]1.CUADRO RESUMEN DE SITIOS '!$C$5:$L$1052,9,FALSE())</f>
        <v>Javier Leonardo Vega</v>
      </c>
      <c r="L315" s="26" t="str">
        <f>VLOOKUP(C315,'[1]1.CUADRO RESUMEN DE SITIOS '!$C$5:$L$1052,10,FALSE())</f>
        <v>Terminado</v>
      </c>
      <c r="M315" s="26">
        <v>1</v>
      </c>
      <c r="N315" s="26">
        <v>1</v>
      </c>
      <c r="O315" s="26" t="s">
        <v>71</v>
      </c>
      <c r="P315" s="26">
        <v>1</v>
      </c>
      <c r="Q315" s="26">
        <v>1</v>
      </c>
      <c r="R315" s="27">
        <v>1271900</v>
      </c>
      <c r="S315" s="27" t="s">
        <v>139</v>
      </c>
      <c r="T315" s="28">
        <v>1</v>
      </c>
      <c r="U315" s="29">
        <f t="shared" si="6"/>
        <v>1271900</v>
      </c>
      <c r="V315" s="29" t="s">
        <v>71</v>
      </c>
      <c r="W315" s="30"/>
      <c r="X315" s="29" t="s">
        <v>194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ht="21" customHeight="1" x14ac:dyDescent="0.3">
      <c r="A316" s="22">
        <v>312</v>
      </c>
      <c r="B316" s="23">
        <v>1</v>
      </c>
      <c r="C316" s="23" t="s">
        <v>193</v>
      </c>
      <c r="D316" s="23" t="str">
        <f>VLOOKUP(C316,'[1]1.CUADRO RESUMEN DE SITIOS '!$C$5:$L$1052,2,FALSE())</f>
        <v>NEI-400064</v>
      </c>
      <c r="E316" s="24">
        <f>VLOOKUP(C316,'[1]1.CUADRO RESUMEN DE SITIOS '!$C$5:$L$1052,3,FALSE())</f>
        <v>46020</v>
      </c>
      <c r="F316" s="23" t="str">
        <f>VLOOKUP(C316,'[1]1.CUADRO RESUMEN DE SITIOS '!$C$5:$L$1052,4,FALSE())</f>
        <v>N/A</v>
      </c>
      <c r="G316" s="23" t="str">
        <f>VLOOKUP(C316,'[1]1.CUADRO RESUMEN DE SITIOS '!$C$5:$L$1052,5,FALSE())</f>
        <v>N/A</v>
      </c>
      <c r="H316" s="23" t="str">
        <f>VLOOKUP(C316,'[1]1.CUADRO RESUMEN DE SITIOS '!$C$5:$L$1052,6,FALSE())</f>
        <v>Huila</v>
      </c>
      <c r="I316" s="23" t="str">
        <f>VLOOKUP(C316,'[1]1.CUADRO RESUMEN DE SITIOS '!$C$5:$L$1052,7,FALSE())</f>
        <v>UNIRED</v>
      </c>
      <c r="J316" s="25" t="str">
        <f>VLOOKUP(C316,'[1]1.CUADRO RESUMEN DE SITIOS '!$C$5:$L$1052,8,FALSE())</f>
        <v>NOROCCIDENTE</v>
      </c>
      <c r="K316" s="23" t="str">
        <f>VLOOKUP(C316,'[1]1.CUADRO RESUMEN DE SITIOS '!$C$5:$L$1052,9,FALSE())</f>
        <v>Javier Leonardo Vega</v>
      </c>
      <c r="L316" s="26" t="str">
        <f>VLOOKUP(C316,'[1]1.CUADRO RESUMEN DE SITIOS '!$C$5:$L$1052,10,FALSE())</f>
        <v>Terminado</v>
      </c>
      <c r="M316" s="26">
        <v>1</v>
      </c>
      <c r="N316" s="26">
        <v>1</v>
      </c>
      <c r="O316" s="26" t="s">
        <v>195</v>
      </c>
      <c r="P316" s="26">
        <v>1</v>
      </c>
      <c r="Q316" s="26">
        <v>1</v>
      </c>
      <c r="R316" s="27">
        <v>4278398</v>
      </c>
      <c r="S316" s="27" t="s">
        <v>139</v>
      </c>
      <c r="T316" s="28">
        <v>1</v>
      </c>
      <c r="U316" s="29">
        <f t="shared" si="6"/>
        <v>4278398</v>
      </c>
      <c r="V316" s="29" t="s">
        <v>195</v>
      </c>
      <c r="W316" s="30"/>
      <c r="X316" s="29" t="s">
        <v>82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ht="21" customHeight="1" x14ac:dyDescent="0.3">
      <c r="A317" s="22">
        <v>313</v>
      </c>
      <c r="B317" s="23">
        <v>1</v>
      </c>
      <c r="C317" s="23" t="s">
        <v>196</v>
      </c>
      <c r="D317" s="23" t="str">
        <f>VLOOKUP(C317,'[1]1.CUADRO RESUMEN DE SITIOS '!$C$5:$L$1052,2,FALSE())</f>
        <v>RIO-110031</v>
      </c>
      <c r="E317" s="24">
        <f>VLOOKUP(C317,'[1]1.CUADRO RESUMEN DE SITIOS '!$C$5:$L$1052,3,FALSE())</f>
        <v>46027</v>
      </c>
      <c r="F317" s="23" t="str">
        <f>VLOOKUP(C317,'[1]1.CUADRO RESUMEN DE SITIOS '!$C$5:$L$1052,4,FALSE())</f>
        <v>N/A</v>
      </c>
      <c r="G317" s="23" t="str">
        <f>VLOOKUP(C317,'[1]1.CUADRO RESUMEN DE SITIOS '!$C$5:$L$1052,5,FALSE())</f>
        <v>N/A</v>
      </c>
      <c r="H317" s="23" t="str">
        <f>VLOOKUP(C317,'[1]1.CUADRO RESUMEN DE SITIOS '!$C$5:$L$1052,6,FALSE())</f>
        <v>La Guajira</v>
      </c>
      <c r="I317" s="23" t="str">
        <f>VLOOKUP(C317,'[1]1.CUADRO RESUMEN DE SITIOS '!$C$5:$L$1052,7,FALSE())</f>
        <v>UNIRED</v>
      </c>
      <c r="J317" s="25" t="str">
        <f>VLOOKUP(C317,'[1]1.CUADRO RESUMEN DE SITIOS '!$C$5:$L$1052,8,FALSE())</f>
        <v>NOROCCIDENTE</v>
      </c>
      <c r="K317" s="23" t="str">
        <f>VLOOKUP(C317,'[1]1.CUADRO RESUMEN DE SITIOS '!$C$5:$L$1052,9,FALSE())</f>
        <v>Alfredo de la Cruz</v>
      </c>
      <c r="L317" s="26" t="str">
        <f>VLOOKUP(C317,'[1]1.CUADRO RESUMEN DE SITIOS '!$C$5:$L$1052,10,FALSE())</f>
        <v>Terminado</v>
      </c>
      <c r="M317" s="26">
        <v>1</v>
      </c>
      <c r="N317" s="26">
        <v>1</v>
      </c>
      <c r="O317" s="26" t="s">
        <v>197</v>
      </c>
      <c r="P317" s="26">
        <v>1</v>
      </c>
      <c r="Q317" s="26">
        <v>1</v>
      </c>
      <c r="R317" s="27">
        <v>895000</v>
      </c>
      <c r="S317" s="27" t="s">
        <v>139</v>
      </c>
      <c r="T317" s="28">
        <v>1</v>
      </c>
      <c r="U317" s="29">
        <f t="shared" si="6"/>
        <v>895000</v>
      </c>
      <c r="V317" s="29" t="s">
        <v>197</v>
      </c>
      <c r="W317" s="30"/>
      <c r="X317" s="29" t="s">
        <v>27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ht="21" customHeight="1" x14ac:dyDescent="0.3">
      <c r="A318" s="22">
        <v>314</v>
      </c>
      <c r="B318" s="23">
        <v>1</v>
      </c>
      <c r="C318" s="23" t="s">
        <v>198</v>
      </c>
      <c r="D318" s="23" t="str">
        <f>VLOOKUP(C318,'[1]1.CUADRO RESUMEN DE SITIOS '!$C$5:$L$1052,2,FALSE())</f>
        <v>S729</v>
      </c>
      <c r="E318" s="24">
        <f>VLOOKUP(C318,'[1]1.CUADRO RESUMEN DE SITIOS '!$C$5:$L$1052,3,FALSE())</f>
        <v>46027</v>
      </c>
      <c r="F318" s="23" t="str">
        <f>VLOOKUP(C318,'[1]1.CUADRO RESUMEN DE SITIOS '!$C$5:$L$1052,4,FALSE())</f>
        <v>N/A</v>
      </c>
      <c r="G318" s="23" t="str">
        <f>VLOOKUP(C318,'[1]1.CUADRO RESUMEN DE SITIOS '!$C$5:$L$1052,5,FALSE())</f>
        <v>N/A</v>
      </c>
      <c r="H318" s="23" t="str">
        <f>VLOOKUP(C318,'[1]1.CUADRO RESUMEN DE SITIOS '!$C$5:$L$1052,6,FALSE())</f>
        <v>Antioquia</v>
      </c>
      <c r="I318" s="23" t="str">
        <f>VLOOKUP(C318,'[1]1.CUADRO RESUMEN DE SITIOS '!$C$5:$L$1052,7,FALSE())</f>
        <v>TELEFONICA</v>
      </c>
      <c r="J318" s="25" t="str">
        <f>VLOOKUP(C318,'[1]1.CUADRO RESUMEN DE SITIOS '!$C$5:$L$1052,8,FALSE())</f>
        <v>NOROCCIDENTE</v>
      </c>
      <c r="K318" s="23" t="str">
        <f>VLOOKUP(C318,'[1]1.CUADRO RESUMEN DE SITIOS '!$C$5:$L$1052,9,FALSE())</f>
        <v>Jeferson Algarin</v>
      </c>
      <c r="L318" s="26" t="str">
        <f>VLOOKUP(C318,'[1]1.CUADRO RESUMEN DE SITIOS '!$C$5:$L$1052,10,FALSE())</f>
        <v>Terminado</v>
      </c>
      <c r="M318" s="26">
        <v>1</v>
      </c>
      <c r="N318" s="26">
        <v>1</v>
      </c>
      <c r="O318" s="26" t="s">
        <v>199</v>
      </c>
      <c r="P318" s="26">
        <v>1</v>
      </c>
      <c r="Q318" s="26">
        <v>1</v>
      </c>
      <c r="R318" s="27">
        <v>640000</v>
      </c>
      <c r="S318" s="27" t="s">
        <v>139</v>
      </c>
      <c r="T318" s="28">
        <v>1</v>
      </c>
      <c r="U318" s="29">
        <f t="shared" si="6"/>
        <v>640000</v>
      </c>
      <c r="V318" s="29" t="s">
        <v>199</v>
      </c>
      <c r="W318" s="30"/>
      <c r="X318" s="29" t="s">
        <v>27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ht="21" customHeight="1" x14ac:dyDescent="0.3">
      <c r="A319" s="22">
        <v>315</v>
      </c>
      <c r="B319" s="23">
        <v>1</v>
      </c>
      <c r="C319" s="23" t="s">
        <v>200</v>
      </c>
      <c r="D319" s="23" t="str">
        <f>VLOOKUP(C319,'[1]1.CUADRO RESUMEN DE SITIOS '!$C$5:$L$1052,2,FALSE())</f>
        <v>BTA_07159</v>
      </c>
      <c r="E319" s="24">
        <f>VLOOKUP(C319,'[1]1.CUADRO RESUMEN DE SITIOS '!$C$5:$L$1052,3,FALSE())</f>
        <v>45999</v>
      </c>
      <c r="F319" s="23">
        <f>VLOOKUP(C319,'[1]1.CUADRO RESUMEN DE SITIOS '!$C$5:$L$1052,4,FALSE())</f>
        <v>4.7279</v>
      </c>
      <c r="G319" s="23">
        <f>VLOOKUP(C319,'[1]1.CUADRO RESUMEN DE SITIOS '!$C$5:$L$1052,5,FALSE())</f>
        <v>-74.090789999999998</v>
      </c>
      <c r="H319" s="23" t="str">
        <f>VLOOKUP(C319,'[1]1.CUADRO RESUMEN DE SITIOS '!$C$5:$L$1052,6,FALSE())</f>
        <v>Cundinamarca</v>
      </c>
      <c r="I319" s="23" t="str">
        <f>VLOOKUP(C319,'[1]1.CUADRO RESUMEN DE SITIOS '!$C$5:$L$1052,7,FALSE())</f>
        <v>WOM</v>
      </c>
      <c r="J319" s="25" t="str">
        <f>VLOOKUP(C319,'[1]1.CUADRO RESUMEN DE SITIOS '!$C$5:$L$1052,8,FALSE())</f>
        <v>CENTRO SUR/ NORTE</v>
      </c>
      <c r="K319" s="23" t="str">
        <f>VLOOKUP(C319,'[1]1.CUADRO RESUMEN DE SITIOS '!$C$5:$L$1052,9,FALSE())</f>
        <v>Maria Camila Torres</v>
      </c>
      <c r="L319" s="26" t="str">
        <f>VLOOKUP(C319,'[1]1.CUADRO RESUMEN DE SITIOS '!$C$5:$L$1052,10,FALSE())</f>
        <v>Terminado</v>
      </c>
      <c r="M319" s="26">
        <v>8828118969</v>
      </c>
      <c r="N319" s="26">
        <f>VLOOKUP(M319,[1]LPU!$A$2:$G$1512,2,FALSE())</f>
        <v>4.03</v>
      </c>
      <c r="O319" s="26" t="str">
        <f>VLOOKUP(M319,[1]LPU!$A$2:$G$1512,3,FALSE)</f>
        <v>Suministro e instalación Cerramiento con lámina de metálica galvanizada o pintada</v>
      </c>
      <c r="P319" s="26" t="str">
        <f>VLOOKUP(M319,[1]LPU!$A$2:$G$1512,4,FALSE())</f>
        <v>Mantenimiento CW</v>
      </c>
      <c r="Q319" s="26" t="str">
        <f>VLOOKUP(M319,[1]LPU!$A$2:$G$1512,5,FALSE())</f>
        <v>M2</v>
      </c>
      <c r="R319" s="27">
        <f>VLOOKUP(M319,[1]LPU!$A$2:$G$1512,6,FALSE())</f>
        <v>238358.7</v>
      </c>
      <c r="S319" s="27" t="str">
        <f>VLOOKUP(M319,[1]LPU!$A$2:$G$1512,7,FALSE())</f>
        <v>Mantenimiento CW</v>
      </c>
      <c r="T319" s="28">
        <v>8.5</v>
      </c>
      <c r="U319" s="29">
        <f t="shared" si="6"/>
        <v>2026048.9500000002</v>
      </c>
      <c r="V319" s="29" t="s">
        <v>201</v>
      </c>
      <c r="W319" s="30"/>
      <c r="X319" s="29" t="s">
        <v>38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ht="21" customHeight="1" x14ac:dyDescent="0.3">
      <c r="A320" s="22">
        <v>316</v>
      </c>
      <c r="B320" s="23">
        <v>1</v>
      </c>
      <c r="C320" s="23" t="s">
        <v>200</v>
      </c>
      <c r="D320" s="23" t="str">
        <f>VLOOKUP(C320,'[1]1.CUADRO RESUMEN DE SITIOS '!$C$5:$L$1052,2,FALSE())</f>
        <v>BTA_07159</v>
      </c>
      <c r="E320" s="24">
        <f>VLOOKUP(C320,'[1]1.CUADRO RESUMEN DE SITIOS '!$C$5:$L$1052,3,FALSE())</f>
        <v>45999</v>
      </c>
      <c r="F320" s="23">
        <f>VLOOKUP(C320,'[1]1.CUADRO RESUMEN DE SITIOS '!$C$5:$L$1052,4,FALSE())</f>
        <v>4.7279</v>
      </c>
      <c r="G320" s="23">
        <f>VLOOKUP(C320,'[1]1.CUADRO RESUMEN DE SITIOS '!$C$5:$L$1052,5,FALSE())</f>
        <v>-74.090789999999998</v>
      </c>
      <c r="H320" s="23" t="str">
        <f>VLOOKUP(C320,'[1]1.CUADRO RESUMEN DE SITIOS '!$C$5:$L$1052,6,FALSE())</f>
        <v>Cundinamarca</v>
      </c>
      <c r="I320" s="23" t="str">
        <f>VLOOKUP(C320,'[1]1.CUADRO RESUMEN DE SITIOS '!$C$5:$L$1052,7,FALSE())</f>
        <v>WOM</v>
      </c>
      <c r="J320" s="25" t="str">
        <f>VLOOKUP(C320,'[1]1.CUADRO RESUMEN DE SITIOS '!$C$5:$L$1052,8,FALSE())</f>
        <v>CENTRO SUR/ NORTE</v>
      </c>
      <c r="K320" s="23" t="str">
        <f>VLOOKUP(C320,'[1]1.CUADRO RESUMEN DE SITIOS '!$C$5:$L$1052,9,FALSE())</f>
        <v>Maria Camila Torres</v>
      </c>
      <c r="L320" s="26" t="str">
        <f>VLOOKUP(C320,'[1]1.CUADRO RESUMEN DE SITIOS '!$C$5:$L$1052,10,FALSE())</f>
        <v>Terminado</v>
      </c>
      <c r="M320" s="26">
        <v>8828119316</v>
      </c>
      <c r="N320" s="26">
        <f>VLOOKUP(M320,[1]LPU!$A$2:$G$1512,2,FALSE())</f>
        <v>4.18</v>
      </c>
      <c r="O320" s="26" t="str">
        <f>VLOOKUP(M320,[1]LPU!$A$2:$G$1512,3,FALSE)</f>
        <v>Suministro e instalación de pañete impermeabilizado 1:3</v>
      </c>
      <c r="P320" s="26" t="str">
        <f>VLOOKUP(M320,[1]LPU!$A$2:$G$1512,4,FALSE())</f>
        <v>Mantenimiento CW</v>
      </c>
      <c r="Q320" s="26" t="str">
        <f>VLOOKUP(M320,[1]LPU!$A$2:$G$1512,5,FALSE())</f>
        <v>M2</v>
      </c>
      <c r="R320" s="27">
        <f>VLOOKUP(M320,[1]LPU!$A$2:$G$1512,6,FALSE())</f>
        <v>24575.200000000001</v>
      </c>
      <c r="S320" s="27" t="str">
        <f>VLOOKUP(M320,[1]LPU!$A$2:$G$1512,7,FALSE())</f>
        <v>Mantenimiento CW</v>
      </c>
      <c r="T320" s="28">
        <v>8.75</v>
      </c>
      <c r="U320" s="29">
        <f t="shared" si="6"/>
        <v>215033</v>
      </c>
      <c r="V320" s="29" t="s">
        <v>201</v>
      </c>
      <c r="W320" s="30"/>
      <c r="X320" s="29" t="s">
        <v>38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ht="21" customHeight="1" x14ac:dyDescent="0.3">
      <c r="A321" s="22">
        <v>317</v>
      </c>
      <c r="B321" s="23">
        <v>1</v>
      </c>
      <c r="C321" s="23" t="s">
        <v>200</v>
      </c>
      <c r="D321" s="23" t="str">
        <f>VLOOKUP(C321,'[1]1.CUADRO RESUMEN DE SITIOS '!$C$5:$L$1052,2,FALSE())</f>
        <v>BTA_07159</v>
      </c>
      <c r="E321" s="24">
        <f>VLOOKUP(C321,'[1]1.CUADRO RESUMEN DE SITIOS '!$C$5:$L$1052,3,FALSE())</f>
        <v>45999</v>
      </c>
      <c r="F321" s="23">
        <f>VLOOKUP(C321,'[1]1.CUADRO RESUMEN DE SITIOS '!$C$5:$L$1052,4,FALSE())</f>
        <v>4.7279</v>
      </c>
      <c r="G321" s="23">
        <f>VLOOKUP(C321,'[1]1.CUADRO RESUMEN DE SITIOS '!$C$5:$L$1052,5,FALSE())</f>
        <v>-74.090789999999998</v>
      </c>
      <c r="H321" s="23" t="str">
        <f>VLOOKUP(C321,'[1]1.CUADRO RESUMEN DE SITIOS '!$C$5:$L$1052,6,FALSE())</f>
        <v>Cundinamarca</v>
      </c>
      <c r="I321" s="23" t="str">
        <f>VLOOKUP(C321,'[1]1.CUADRO RESUMEN DE SITIOS '!$C$5:$L$1052,7,FALSE())</f>
        <v>WOM</v>
      </c>
      <c r="J321" s="25" t="str">
        <f>VLOOKUP(C321,'[1]1.CUADRO RESUMEN DE SITIOS '!$C$5:$L$1052,8,FALSE())</f>
        <v>CENTRO SUR/ NORTE</v>
      </c>
      <c r="K321" s="23" t="str">
        <f>VLOOKUP(C321,'[1]1.CUADRO RESUMEN DE SITIOS '!$C$5:$L$1052,9,FALSE())</f>
        <v>Maria Camila Torres</v>
      </c>
      <c r="L321" s="26" t="str">
        <f>VLOOKUP(C321,'[1]1.CUADRO RESUMEN DE SITIOS '!$C$5:$L$1052,10,FALSE())</f>
        <v>Terminado</v>
      </c>
      <c r="M321" s="26">
        <v>8828119346</v>
      </c>
      <c r="N321" s="26">
        <f>VLOOKUP(M321,[1]LPU!$A$2:$G$1512,2,FALSE())</f>
        <v>4.21</v>
      </c>
      <c r="O321" s="26" t="str">
        <f>VLOOKUP(M321,[1]LPU!$A$2:$G$1512,3,FALSE)</f>
        <v>Suministro e instalación de pintura en vinilo tipo interior a 3 manos</v>
      </c>
      <c r="P321" s="26" t="str">
        <f>VLOOKUP(M321,[1]LPU!$A$2:$G$1512,4,FALSE())</f>
        <v>Mantenimiento CW</v>
      </c>
      <c r="Q321" s="26" t="str">
        <f>VLOOKUP(M321,[1]LPU!$A$2:$G$1512,5,FALSE())</f>
        <v>M2</v>
      </c>
      <c r="R321" s="27">
        <f>VLOOKUP(M321,[1]LPU!$A$2:$G$1512,6,FALSE())</f>
        <v>17690.2</v>
      </c>
      <c r="S321" s="27" t="str">
        <f>VLOOKUP(M321,[1]LPU!$A$2:$G$1512,7,FALSE())</f>
        <v>Mantenimiento CW</v>
      </c>
      <c r="T321" s="28">
        <v>8.75</v>
      </c>
      <c r="U321" s="29">
        <f t="shared" si="6"/>
        <v>154789.25</v>
      </c>
      <c r="V321" s="29" t="s">
        <v>201</v>
      </c>
      <c r="W321" s="30"/>
      <c r="X321" s="29" t="s">
        <v>38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ht="21" customHeight="1" x14ac:dyDescent="0.3">
      <c r="A322" s="22">
        <v>318</v>
      </c>
      <c r="B322" s="23">
        <v>1</v>
      </c>
      <c r="C322" s="23" t="s">
        <v>200</v>
      </c>
      <c r="D322" s="23" t="str">
        <f>VLOOKUP(C322,'[1]1.CUADRO RESUMEN DE SITIOS '!$C$5:$L$1052,2,FALSE())</f>
        <v>BTA_07159</v>
      </c>
      <c r="E322" s="24">
        <f>VLOOKUP(C322,'[1]1.CUADRO RESUMEN DE SITIOS '!$C$5:$L$1052,3,FALSE())</f>
        <v>45999</v>
      </c>
      <c r="F322" s="23">
        <f>VLOOKUP(C322,'[1]1.CUADRO RESUMEN DE SITIOS '!$C$5:$L$1052,4,FALSE())</f>
        <v>4.7279</v>
      </c>
      <c r="G322" s="23">
        <f>VLOOKUP(C322,'[1]1.CUADRO RESUMEN DE SITIOS '!$C$5:$L$1052,5,FALSE())</f>
        <v>-74.090789999999998</v>
      </c>
      <c r="H322" s="23" t="str">
        <f>VLOOKUP(C322,'[1]1.CUADRO RESUMEN DE SITIOS '!$C$5:$L$1052,6,FALSE())</f>
        <v>Cundinamarca</v>
      </c>
      <c r="I322" s="23" t="str">
        <f>VLOOKUP(C322,'[1]1.CUADRO RESUMEN DE SITIOS '!$C$5:$L$1052,7,FALSE())</f>
        <v>WOM</v>
      </c>
      <c r="J322" s="25" t="str">
        <f>VLOOKUP(C322,'[1]1.CUADRO RESUMEN DE SITIOS '!$C$5:$L$1052,8,FALSE())</f>
        <v>CENTRO SUR/ NORTE</v>
      </c>
      <c r="K322" s="23" t="str">
        <f>VLOOKUP(C322,'[1]1.CUADRO RESUMEN DE SITIOS '!$C$5:$L$1052,9,FALSE())</f>
        <v>Maria Camila Torres</v>
      </c>
      <c r="L322" s="26" t="str">
        <f>VLOOKUP(C322,'[1]1.CUADRO RESUMEN DE SITIOS '!$C$5:$L$1052,10,FALSE())</f>
        <v>Terminado</v>
      </c>
      <c r="M322" s="26">
        <v>8828120018</v>
      </c>
      <c r="N322" s="26">
        <f>VLOOKUP(M322,[1]LPU!$A$2:$G$1512,2,FALSE())</f>
        <v>4.38</v>
      </c>
      <c r="O322" s="26" t="str">
        <f>VLOOKUP(M322,[1]LPU!$A$2:$G$1512,3,FALSE)</f>
        <v>Impermeabilización sikalastic 450 y refuerzo con sikafealt o similar. (incluye Imprimación, nivelaciones, sellamiento en los traslapos).</v>
      </c>
      <c r="P322" s="26" t="str">
        <f>VLOOKUP(M322,[1]LPU!$A$2:$G$1512,4,FALSE())</f>
        <v>Mantenimiento CW</v>
      </c>
      <c r="Q322" s="26" t="str">
        <f>VLOOKUP(M322,[1]LPU!$A$2:$G$1512,5,FALSE())</f>
        <v>M2</v>
      </c>
      <c r="R322" s="27">
        <f>VLOOKUP(M322,[1]LPU!$A$2:$G$1512,6,FALSE())</f>
        <v>52240.15</v>
      </c>
      <c r="S322" s="27" t="str">
        <f>VLOOKUP(M322,[1]LPU!$A$2:$G$1512,7,FALSE())</f>
        <v>Mantenimiento CW</v>
      </c>
      <c r="T322" s="28">
        <v>5.0599999999999996</v>
      </c>
      <c r="U322" s="29">
        <f t="shared" si="6"/>
        <v>264335.15899999999</v>
      </c>
      <c r="V322" s="29" t="s">
        <v>201</v>
      </c>
      <c r="W322" s="30"/>
      <c r="X322" s="29" t="s">
        <v>38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ht="21" customHeight="1" x14ac:dyDescent="0.3">
      <c r="A323" s="22">
        <v>319</v>
      </c>
      <c r="B323" s="23">
        <v>1</v>
      </c>
      <c r="C323" s="23" t="s">
        <v>200</v>
      </c>
      <c r="D323" s="23" t="str">
        <f>VLOOKUP(C323,'[1]1.CUADRO RESUMEN DE SITIOS '!$C$5:$L$1052,2,FALSE())</f>
        <v>BTA_07159</v>
      </c>
      <c r="E323" s="24">
        <f>VLOOKUP(C323,'[1]1.CUADRO RESUMEN DE SITIOS '!$C$5:$L$1052,3,FALSE())</f>
        <v>45999</v>
      </c>
      <c r="F323" s="23">
        <f>VLOOKUP(C323,'[1]1.CUADRO RESUMEN DE SITIOS '!$C$5:$L$1052,4,FALSE())</f>
        <v>4.7279</v>
      </c>
      <c r="G323" s="23">
        <f>VLOOKUP(C323,'[1]1.CUADRO RESUMEN DE SITIOS '!$C$5:$L$1052,5,FALSE())</f>
        <v>-74.090789999999998</v>
      </c>
      <c r="H323" s="23" t="str">
        <f>VLOOKUP(C323,'[1]1.CUADRO RESUMEN DE SITIOS '!$C$5:$L$1052,6,FALSE())</f>
        <v>Cundinamarca</v>
      </c>
      <c r="I323" s="23" t="str">
        <f>VLOOKUP(C323,'[1]1.CUADRO RESUMEN DE SITIOS '!$C$5:$L$1052,7,FALSE())</f>
        <v>WOM</v>
      </c>
      <c r="J323" s="25" t="str">
        <f>VLOOKUP(C323,'[1]1.CUADRO RESUMEN DE SITIOS '!$C$5:$L$1052,8,FALSE())</f>
        <v>CENTRO SUR/ NORTE</v>
      </c>
      <c r="K323" s="23" t="str">
        <f>VLOOKUP(C323,'[1]1.CUADRO RESUMEN DE SITIOS '!$C$5:$L$1052,9,FALSE())</f>
        <v>Maria Camila Torres</v>
      </c>
      <c r="L323" s="26" t="str">
        <f>VLOOKUP(C323,'[1]1.CUADRO RESUMEN DE SITIOS '!$C$5:$L$1052,10,FALSE())</f>
        <v>Terminado</v>
      </c>
      <c r="M323" s="26">
        <v>8828119090</v>
      </c>
      <c r="N323" s="26">
        <f>VLOOKUP(M323,[1]LPU!$A$2:$G$1512,2,FALSE())</f>
        <v>6.02</v>
      </c>
      <c r="O323" s="26" t="str">
        <f>VLOOKUP(M323,[1]LPU!$A$2:$G$1512,3,FALSE)</f>
        <v>Sistemas de ingeniería para actividades en alturas (Andamios certificados, líneas de vida portátiles, elementos de fijación o anclajes certificados) adicionales a las condiciones normales de trabajo ***</v>
      </c>
      <c r="P323" s="26" t="str">
        <f>VLOOKUP(M323,[1]LPU!$A$2:$G$1512,4,FALSE())</f>
        <v>Mantenimiento CW</v>
      </c>
      <c r="Q323" s="26" t="str">
        <f>VLOOKUP(M323,[1]LPU!$A$2:$G$1512,5,FALSE())</f>
        <v>Día</v>
      </c>
      <c r="R323" s="27">
        <f>VLOOKUP(M323,[1]LPU!$A$2:$G$1512,6,FALSE())</f>
        <v>212376.75</v>
      </c>
      <c r="S323" s="27" t="str">
        <f>VLOOKUP(M323,[1]LPU!$A$2:$G$1512,7,FALSE())</f>
        <v>Mantenimiento CW</v>
      </c>
      <c r="T323" s="28">
        <v>2</v>
      </c>
      <c r="U323" s="29">
        <f t="shared" si="6"/>
        <v>424753.5</v>
      </c>
      <c r="V323" s="29" t="s">
        <v>201</v>
      </c>
      <c r="W323" s="30"/>
      <c r="X323" s="29" t="s">
        <v>38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ht="21" customHeight="1" x14ac:dyDescent="0.3">
      <c r="A324" s="22">
        <v>320</v>
      </c>
      <c r="B324" s="23">
        <v>1</v>
      </c>
      <c r="C324" s="23" t="s">
        <v>200</v>
      </c>
      <c r="D324" s="23" t="str">
        <f>VLOOKUP(C324,'[1]1.CUADRO RESUMEN DE SITIOS '!$C$5:$L$1052,2,FALSE())</f>
        <v>BTA_07159</v>
      </c>
      <c r="E324" s="24">
        <f>VLOOKUP(C324,'[1]1.CUADRO RESUMEN DE SITIOS '!$C$5:$L$1052,3,FALSE())</f>
        <v>45999</v>
      </c>
      <c r="F324" s="23">
        <f>VLOOKUP(C324,'[1]1.CUADRO RESUMEN DE SITIOS '!$C$5:$L$1052,4,FALSE())</f>
        <v>4.7279</v>
      </c>
      <c r="G324" s="23">
        <f>VLOOKUP(C324,'[1]1.CUADRO RESUMEN DE SITIOS '!$C$5:$L$1052,5,FALSE())</f>
        <v>-74.090789999999998</v>
      </c>
      <c r="H324" s="23" t="str">
        <f>VLOOKUP(C324,'[1]1.CUADRO RESUMEN DE SITIOS '!$C$5:$L$1052,6,FALSE())</f>
        <v>Cundinamarca</v>
      </c>
      <c r="I324" s="23" t="str">
        <f>VLOOKUP(C324,'[1]1.CUADRO RESUMEN DE SITIOS '!$C$5:$L$1052,7,FALSE())</f>
        <v>WOM</v>
      </c>
      <c r="J324" s="25" t="str">
        <f>VLOOKUP(C324,'[1]1.CUADRO RESUMEN DE SITIOS '!$C$5:$L$1052,8,FALSE())</f>
        <v>CENTRO SUR/ NORTE</v>
      </c>
      <c r="K324" s="23" t="str">
        <f>VLOOKUP(C324,'[1]1.CUADRO RESUMEN DE SITIOS '!$C$5:$L$1052,9,FALSE())</f>
        <v>Maria Camila Torres</v>
      </c>
      <c r="L324" s="26" t="str">
        <f>VLOOKUP(C324,'[1]1.CUADRO RESUMEN DE SITIOS '!$C$5:$L$1052,10,FALSE())</f>
        <v>Terminado</v>
      </c>
      <c r="M324" s="26">
        <v>8828119921</v>
      </c>
      <c r="N324" s="26">
        <f>VLOOKUP(M324,[1]LPU!$A$2:$G$1512,2,FALSE())</f>
        <v>163</v>
      </c>
      <c r="O324" s="26" t="str">
        <f>VLOOKUP(M324,[1]LPU!$A$2:$G$1512,3,FALSE)</f>
        <v>Tansporte tipo A, ciudad principal y área metropolitana</v>
      </c>
      <c r="P324" s="26" t="str">
        <f>VLOOKUP(M324,[1]LPU!$A$2:$G$1512,4,FALSE())</f>
        <v>LOCATIVO</v>
      </c>
      <c r="Q324" s="26" t="str">
        <f>VLOOKUP(M324,[1]LPU!$A$2:$G$1512,5,FALSE())</f>
        <v>Global</v>
      </c>
      <c r="R324" s="27">
        <f>VLOOKUP(M324,[1]LPU!$A$2:$G$1512,6,FALSE())</f>
        <v>133571.54999999999</v>
      </c>
      <c r="S324" s="27" t="str">
        <f>VLOOKUP(M324,[1]LPU!$A$2:$G$1512,7,FALSE())</f>
        <v>LPU FLM</v>
      </c>
      <c r="T324" s="28">
        <v>1</v>
      </c>
      <c r="U324" s="29">
        <f t="shared" si="6"/>
        <v>133571.54999999999</v>
      </c>
      <c r="V324" s="29" t="s">
        <v>201</v>
      </c>
      <c r="W324" s="30"/>
      <c r="X324" s="29" t="s">
        <v>38</v>
      </c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ht="21" customHeight="1" x14ac:dyDescent="0.3">
      <c r="A325" s="22">
        <v>321</v>
      </c>
      <c r="B325" s="23">
        <v>1</v>
      </c>
      <c r="C325" s="23" t="s">
        <v>202</v>
      </c>
      <c r="D325" s="23" t="str">
        <f>VLOOKUP(C325,'[1]1.CUADRO RESUMEN DE SITIOS '!$C$5:$L$1052,2,FALSE())</f>
        <v>CBTA_05172</v>
      </c>
      <c r="E325" s="24">
        <f>VLOOKUP(C325,'[1]1.CUADRO RESUMEN DE SITIOS '!$C$5:$L$1052,3,FALSE())</f>
        <v>45994</v>
      </c>
      <c r="F325" s="23">
        <f>VLOOKUP(C325,'[1]1.CUADRO RESUMEN DE SITIOS '!$C$5:$L$1052,4,FALSE())</f>
        <v>4.7992499999999998</v>
      </c>
      <c r="G325" s="23">
        <f>VLOOKUP(C325,'[1]1.CUADRO RESUMEN DE SITIOS '!$C$5:$L$1052,5,FALSE())</f>
        <v>-74.111699999999999</v>
      </c>
      <c r="H325" s="23" t="str">
        <f>VLOOKUP(C325,'[1]1.CUADRO RESUMEN DE SITIOS '!$C$5:$L$1052,6,FALSE())</f>
        <v>CUNDINAMARCA</v>
      </c>
      <c r="I325" s="23" t="str">
        <f>VLOOKUP(C325,'[1]1.CUADRO RESUMEN DE SITIOS '!$C$5:$L$1052,7,FALSE())</f>
        <v>WOM</v>
      </c>
      <c r="J325" s="25" t="str">
        <f>VLOOKUP(C325,'[1]1.CUADRO RESUMEN DE SITIOS '!$C$5:$L$1052,8,FALSE())</f>
        <v>CENTRO SUR/ NORTE</v>
      </c>
      <c r="K325" s="23" t="str">
        <f>VLOOKUP(C325,'[1]1.CUADRO RESUMEN DE SITIOS '!$C$5:$L$1052,9,FALSE())</f>
        <v>Maria Camila Torres</v>
      </c>
      <c r="L325" s="26" t="str">
        <f>VLOOKUP(C325,'[1]1.CUADRO RESUMEN DE SITIOS '!$C$5:$L$1052,10,FALSE())</f>
        <v>Terminado</v>
      </c>
      <c r="M325" s="26">
        <v>8828119085</v>
      </c>
      <c r="N325" s="26">
        <f>VLOOKUP(M325,[1]LPU!$A$2:$G$1512,2,FALSE())</f>
        <v>104</v>
      </c>
      <c r="O325" s="26" t="str">
        <f>VLOOKUP(M325,[1]LPU!$A$2:$G$1512,3,FALSE)</f>
        <v>Reconexión de Acometida Eléctrica en Poste a Red Comercial</v>
      </c>
      <c r="P325" s="26" t="str">
        <f>VLOOKUP(M325,[1]LPU!$A$2:$G$1512,4,FALSE())</f>
        <v>ENERGÍA</v>
      </c>
      <c r="Q325" s="26" t="str">
        <f>VLOOKUP(M325,[1]LPU!$A$2:$G$1512,5,FALSE())</f>
        <v>U</v>
      </c>
      <c r="R325" s="27">
        <f>VLOOKUP(M325,[1]LPU!$A$2:$G$1512,6,FALSE())</f>
        <v>97240</v>
      </c>
      <c r="S325" s="27" t="str">
        <f>VLOOKUP(M325,[1]LPU!$A$2:$G$1512,7,FALSE())</f>
        <v>LPU FLM</v>
      </c>
      <c r="T325" s="28">
        <v>1</v>
      </c>
      <c r="U325" s="29">
        <f t="shared" si="6"/>
        <v>97240</v>
      </c>
      <c r="V325" s="29" t="s">
        <v>203</v>
      </c>
      <c r="W325" s="30"/>
      <c r="X325" s="29" t="s">
        <v>204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ht="21" customHeight="1" x14ac:dyDescent="0.3">
      <c r="A326" s="22">
        <v>322</v>
      </c>
      <c r="B326" s="23">
        <v>1</v>
      </c>
      <c r="C326" s="23" t="s">
        <v>202</v>
      </c>
      <c r="D326" s="23" t="str">
        <f>VLOOKUP(C326,'[1]1.CUADRO RESUMEN DE SITIOS '!$C$5:$L$1052,2,FALSE())</f>
        <v>CBTA_05172</v>
      </c>
      <c r="E326" s="24">
        <f>VLOOKUP(C326,'[1]1.CUADRO RESUMEN DE SITIOS '!$C$5:$L$1052,3,FALSE())</f>
        <v>45994</v>
      </c>
      <c r="F326" s="23">
        <f>VLOOKUP(C326,'[1]1.CUADRO RESUMEN DE SITIOS '!$C$5:$L$1052,4,FALSE())</f>
        <v>4.7992499999999998</v>
      </c>
      <c r="G326" s="23">
        <f>VLOOKUP(C326,'[1]1.CUADRO RESUMEN DE SITIOS '!$C$5:$L$1052,5,FALSE())</f>
        <v>-74.111699999999999</v>
      </c>
      <c r="H326" s="23" t="str">
        <f>VLOOKUP(C326,'[1]1.CUADRO RESUMEN DE SITIOS '!$C$5:$L$1052,6,FALSE())</f>
        <v>CUNDINAMARCA</v>
      </c>
      <c r="I326" s="23" t="str">
        <f>VLOOKUP(C326,'[1]1.CUADRO RESUMEN DE SITIOS '!$C$5:$L$1052,7,FALSE())</f>
        <v>WOM</v>
      </c>
      <c r="J326" s="25" t="str">
        <f>VLOOKUP(C326,'[1]1.CUADRO RESUMEN DE SITIOS '!$C$5:$L$1052,8,FALSE())</f>
        <v>CENTRO SUR/ NORTE</v>
      </c>
      <c r="K326" s="23" t="str">
        <f>VLOOKUP(C326,'[1]1.CUADRO RESUMEN DE SITIOS '!$C$5:$L$1052,9,FALSE())</f>
        <v>Maria Camila Torres</v>
      </c>
      <c r="L326" s="26" t="str">
        <f>VLOOKUP(C326,'[1]1.CUADRO RESUMEN DE SITIOS '!$C$5:$L$1052,10,FALSE())</f>
        <v>Terminado</v>
      </c>
      <c r="M326" s="26">
        <v>8828119921</v>
      </c>
      <c r="N326" s="26">
        <f>VLOOKUP(M326,[1]LPU!$A$2:$G$1512,2,FALSE())</f>
        <v>163</v>
      </c>
      <c r="O326" s="26" t="str">
        <f>VLOOKUP(M326,[1]LPU!$A$2:$G$1512,3,FALSE)</f>
        <v>Tansporte tipo A, ciudad principal y área metropolitana</v>
      </c>
      <c r="P326" s="26" t="str">
        <f>VLOOKUP(M326,[1]LPU!$A$2:$G$1512,4,FALSE())</f>
        <v>LOCATIVO</v>
      </c>
      <c r="Q326" s="26" t="str">
        <f>VLOOKUP(M326,[1]LPU!$A$2:$G$1512,5,FALSE())</f>
        <v>Global</v>
      </c>
      <c r="R326" s="27">
        <f>VLOOKUP(M326,[1]LPU!$A$2:$G$1512,6,FALSE())</f>
        <v>133571.54999999999</v>
      </c>
      <c r="S326" s="27" t="str">
        <f>VLOOKUP(M326,[1]LPU!$A$2:$G$1512,7,FALSE())</f>
        <v>LPU FLM</v>
      </c>
      <c r="T326" s="28">
        <v>1</v>
      </c>
      <c r="U326" s="29">
        <f t="shared" si="6"/>
        <v>133571.54999999999</v>
      </c>
      <c r="V326" s="29" t="s">
        <v>203</v>
      </c>
      <c r="W326" s="30"/>
      <c r="X326" s="29" t="s">
        <v>204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ht="21" customHeight="1" x14ac:dyDescent="0.3">
      <c r="A327" s="22">
        <v>323</v>
      </c>
      <c r="B327" s="23">
        <v>1</v>
      </c>
      <c r="C327" s="23" t="s">
        <v>205</v>
      </c>
      <c r="D327" s="23" t="str">
        <f>VLOOKUP(C327,'[1]1.CUADRO RESUMEN DE SITIOS '!$C$5:$L$1052,2,FALSE())</f>
        <v>CUN_04512</v>
      </c>
      <c r="E327" s="24">
        <f>VLOOKUP(C327,'[1]1.CUADRO RESUMEN DE SITIOS '!$C$5:$L$1052,3,FALSE())</f>
        <v>45994</v>
      </c>
      <c r="F327" s="23">
        <f>VLOOKUP(C327,'[1]1.CUADRO RESUMEN DE SITIOS '!$C$5:$L$1052,4,FALSE())</f>
        <v>5.0670599999999997</v>
      </c>
      <c r="G327" s="23">
        <f>VLOOKUP(C327,'[1]1.CUADRO RESUMEN DE SITIOS '!$C$5:$L$1052,5,FALSE())</f>
        <v>-73.880899999999997</v>
      </c>
      <c r="H327" s="23" t="str">
        <f>VLOOKUP(C327,'[1]1.CUADRO RESUMEN DE SITIOS '!$C$5:$L$1052,6,FALSE())</f>
        <v>CUNDINAMARCA</v>
      </c>
      <c r="I327" s="23" t="str">
        <f>VLOOKUP(C327,'[1]1.CUADRO RESUMEN DE SITIOS '!$C$5:$L$1052,7,FALSE())</f>
        <v>WOM</v>
      </c>
      <c r="J327" s="25" t="str">
        <f>VLOOKUP(C327,'[1]1.CUADRO RESUMEN DE SITIOS '!$C$5:$L$1052,8,FALSE())</f>
        <v>CENTRO SUR/ NORTE</v>
      </c>
      <c r="K327" s="23" t="str">
        <f>VLOOKUP(C327,'[1]1.CUADRO RESUMEN DE SITIOS '!$C$5:$L$1052,9,FALSE())</f>
        <v>Maria Camila Torres</v>
      </c>
      <c r="L327" s="26" t="str">
        <f>VLOOKUP(C327,'[1]1.CUADRO RESUMEN DE SITIOS '!$C$5:$L$1052,10,FALSE())</f>
        <v>Terminado</v>
      </c>
      <c r="M327" s="26">
        <v>8828119492</v>
      </c>
      <c r="N327" s="26">
        <f>VLOOKUP(M327,[1]LPU!$A$2:$G$1512,2,FALSE())</f>
        <v>53</v>
      </c>
      <c r="O327" s="26" t="str">
        <f>VLOOKUP(M327,[1]LPU!$A$2:$G$1512,3,FALSE)</f>
        <v>Instalación Banco de Baterias para Rectificadores - Aplica para ampliaciones.</v>
      </c>
      <c r="P327" s="26" t="str">
        <f>VLOOKUP(M327,[1]LPU!$A$2:$G$1512,4,FALSE())</f>
        <v>ENERGÍA</v>
      </c>
      <c r="Q327" s="26" t="str">
        <f>VLOOKUP(M327,[1]LPU!$A$2:$G$1512,5,FALSE())</f>
        <v>U</v>
      </c>
      <c r="R327" s="27">
        <f>VLOOKUP(M327,[1]LPU!$A$2:$G$1512,6,FALSE())</f>
        <v>102340</v>
      </c>
      <c r="S327" s="27" t="str">
        <f>VLOOKUP(M327,[1]LPU!$A$2:$G$1512,7,FALSE())</f>
        <v>LPU FLM</v>
      </c>
      <c r="T327" s="28">
        <v>1</v>
      </c>
      <c r="U327" s="29">
        <f t="shared" si="6"/>
        <v>102340</v>
      </c>
      <c r="V327" s="29" t="s">
        <v>77</v>
      </c>
      <c r="W327" s="30"/>
      <c r="X327" s="29" t="s">
        <v>204</v>
      </c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ht="21" customHeight="1" x14ac:dyDescent="0.3">
      <c r="A328" s="22">
        <v>324</v>
      </c>
      <c r="B328" s="23">
        <v>1</v>
      </c>
      <c r="C328" s="23" t="s">
        <v>205</v>
      </c>
      <c r="D328" s="23" t="str">
        <f>VLOOKUP(C328,'[1]1.CUADRO RESUMEN DE SITIOS '!$C$5:$L$1052,2,FALSE())</f>
        <v>CUN_04512</v>
      </c>
      <c r="E328" s="24">
        <f>VLOOKUP(C328,'[1]1.CUADRO RESUMEN DE SITIOS '!$C$5:$L$1052,3,FALSE())</f>
        <v>45994</v>
      </c>
      <c r="F328" s="23">
        <f>VLOOKUP(C328,'[1]1.CUADRO RESUMEN DE SITIOS '!$C$5:$L$1052,4,FALSE())</f>
        <v>5.0670599999999997</v>
      </c>
      <c r="G328" s="23">
        <f>VLOOKUP(C328,'[1]1.CUADRO RESUMEN DE SITIOS '!$C$5:$L$1052,5,FALSE())</f>
        <v>-73.880899999999997</v>
      </c>
      <c r="H328" s="23" t="str">
        <f>VLOOKUP(C328,'[1]1.CUADRO RESUMEN DE SITIOS '!$C$5:$L$1052,6,FALSE())</f>
        <v>CUNDINAMARCA</v>
      </c>
      <c r="I328" s="23" t="str">
        <f>VLOOKUP(C328,'[1]1.CUADRO RESUMEN DE SITIOS '!$C$5:$L$1052,7,FALSE())</f>
        <v>WOM</v>
      </c>
      <c r="J328" s="25" t="str">
        <f>VLOOKUP(C328,'[1]1.CUADRO RESUMEN DE SITIOS '!$C$5:$L$1052,8,FALSE())</f>
        <v>CENTRO SUR/ NORTE</v>
      </c>
      <c r="K328" s="23" t="str">
        <f>VLOOKUP(C328,'[1]1.CUADRO RESUMEN DE SITIOS '!$C$5:$L$1052,9,FALSE())</f>
        <v>Maria Camila Torres</v>
      </c>
      <c r="L328" s="26" t="str">
        <f>VLOOKUP(C328,'[1]1.CUADRO RESUMEN DE SITIOS '!$C$5:$L$1052,10,FALSE())</f>
        <v>Terminado</v>
      </c>
      <c r="M328" s="26">
        <v>8828119512</v>
      </c>
      <c r="N328" s="26">
        <f>VLOOKUP(M328,[1]LPU!$A$2:$G$1512,2,FALSE())</f>
        <v>55</v>
      </c>
      <c r="O328" s="26" t="str">
        <f>VLOOKUP(M328,[1]LPU!$A$2:$G$1512,3,FALSE)</f>
        <v>Transporte Banco de Baterias</v>
      </c>
      <c r="P328" s="26" t="str">
        <f>VLOOKUP(M328,[1]LPU!$A$2:$G$1512,4,FALSE())</f>
        <v>ENERGÍA</v>
      </c>
      <c r="Q328" s="26" t="str">
        <f>VLOOKUP(M328,[1]LPU!$A$2:$G$1512,5,FALSE())</f>
        <v>U</v>
      </c>
      <c r="R328" s="27">
        <f>VLOOKUP(M328,[1]LPU!$A$2:$G$1512,6,FALSE())</f>
        <v>82212</v>
      </c>
      <c r="S328" s="27" t="str">
        <f>VLOOKUP(M328,[1]LPU!$A$2:$G$1512,7,FALSE())</f>
        <v>LPU FLM</v>
      </c>
      <c r="T328" s="28">
        <v>1</v>
      </c>
      <c r="U328" s="29">
        <f t="shared" si="6"/>
        <v>82212</v>
      </c>
      <c r="V328" s="29" t="s">
        <v>77</v>
      </c>
      <c r="W328" s="30"/>
      <c r="X328" s="29" t="s">
        <v>204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ht="21" customHeight="1" x14ac:dyDescent="0.3">
      <c r="A329" s="22">
        <v>325</v>
      </c>
      <c r="B329" s="23">
        <v>1</v>
      </c>
      <c r="C329" s="23" t="s">
        <v>205</v>
      </c>
      <c r="D329" s="23" t="str">
        <f>VLOOKUP(C329,'[1]1.CUADRO RESUMEN DE SITIOS '!$C$5:$L$1052,2,FALSE())</f>
        <v>CUN_04512</v>
      </c>
      <c r="E329" s="24">
        <f>VLOOKUP(C329,'[1]1.CUADRO RESUMEN DE SITIOS '!$C$5:$L$1052,3,FALSE())</f>
        <v>45994</v>
      </c>
      <c r="F329" s="23">
        <f>VLOOKUP(C329,'[1]1.CUADRO RESUMEN DE SITIOS '!$C$5:$L$1052,4,FALSE())</f>
        <v>5.0670599999999997</v>
      </c>
      <c r="G329" s="23">
        <f>VLOOKUP(C329,'[1]1.CUADRO RESUMEN DE SITIOS '!$C$5:$L$1052,5,FALSE())</f>
        <v>-73.880899999999997</v>
      </c>
      <c r="H329" s="23" t="str">
        <f>VLOOKUP(C329,'[1]1.CUADRO RESUMEN DE SITIOS '!$C$5:$L$1052,6,FALSE())</f>
        <v>CUNDINAMARCA</v>
      </c>
      <c r="I329" s="23" t="str">
        <f>VLOOKUP(C329,'[1]1.CUADRO RESUMEN DE SITIOS '!$C$5:$L$1052,7,FALSE())</f>
        <v>WOM</v>
      </c>
      <c r="J329" s="25" t="str">
        <f>VLOOKUP(C329,'[1]1.CUADRO RESUMEN DE SITIOS '!$C$5:$L$1052,8,FALSE())</f>
        <v>CENTRO SUR/ NORTE</v>
      </c>
      <c r="K329" s="23" t="str">
        <f>VLOOKUP(C329,'[1]1.CUADRO RESUMEN DE SITIOS '!$C$5:$L$1052,9,FALSE())</f>
        <v>Maria Camila Torres</v>
      </c>
      <c r="L329" s="26" t="str">
        <f>VLOOKUP(C329,'[1]1.CUADRO RESUMEN DE SITIOS '!$C$5:$L$1052,10,FALSE())</f>
        <v>Terminado</v>
      </c>
      <c r="M329" s="26">
        <v>8828118999</v>
      </c>
      <c r="N329" s="26">
        <f>VLOOKUP(M329,[1]LPU!$A$2:$G$1512,2,FALSE())</f>
        <v>0</v>
      </c>
      <c r="O329" s="26" t="str">
        <f>VLOOKUP(M329,[1]LPU!$A$2:$G$1512,3,FALSE)</f>
        <v>Suministro e instalación de cable UTP Categoría 6, con conectores en sus extremos, certificado</v>
      </c>
      <c r="P329" s="26" t="str">
        <f>VLOOKUP(M329,[1]LPU!$A$2:$G$1512,4,FALSE())</f>
        <v>Item Critico</v>
      </c>
      <c r="Q329" s="26" t="str">
        <f>VLOOKUP(M329,[1]LPU!$A$2:$G$1512,5,FALSE())</f>
        <v>m</v>
      </c>
      <c r="R329" s="27">
        <f>VLOOKUP(M329,[1]LPU!$A$2:$G$1512,6,FALSE())</f>
        <v>5913</v>
      </c>
      <c r="S329" s="27" t="str">
        <f>VLOOKUP(M329,[1]LPU!$A$2:$G$1512,7,FALSE())</f>
        <v>LPU FO Propia</v>
      </c>
      <c r="T329" s="28">
        <v>3</v>
      </c>
      <c r="U329" s="29">
        <f t="shared" si="6"/>
        <v>17739</v>
      </c>
      <c r="V329" s="29" t="s">
        <v>77</v>
      </c>
      <c r="W329" s="30"/>
      <c r="X329" s="29" t="s">
        <v>204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ht="21" customHeight="1" x14ac:dyDescent="0.3">
      <c r="A330" s="22">
        <v>326</v>
      </c>
      <c r="B330" s="23">
        <v>1</v>
      </c>
      <c r="C330" s="23" t="s">
        <v>205</v>
      </c>
      <c r="D330" s="23" t="str">
        <f>VLOOKUP(C330,'[1]1.CUADRO RESUMEN DE SITIOS '!$C$5:$L$1052,2,FALSE())</f>
        <v>CUN_04512</v>
      </c>
      <c r="E330" s="24">
        <f>VLOOKUP(C330,'[1]1.CUADRO RESUMEN DE SITIOS '!$C$5:$L$1052,3,FALSE())</f>
        <v>45994</v>
      </c>
      <c r="F330" s="23">
        <f>VLOOKUP(C330,'[1]1.CUADRO RESUMEN DE SITIOS '!$C$5:$L$1052,4,FALSE())</f>
        <v>5.0670599999999997</v>
      </c>
      <c r="G330" s="23">
        <f>VLOOKUP(C330,'[1]1.CUADRO RESUMEN DE SITIOS '!$C$5:$L$1052,5,FALSE())</f>
        <v>-73.880899999999997</v>
      </c>
      <c r="H330" s="23" t="str">
        <f>VLOOKUP(C330,'[1]1.CUADRO RESUMEN DE SITIOS '!$C$5:$L$1052,6,FALSE())</f>
        <v>CUNDINAMARCA</v>
      </c>
      <c r="I330" s="23" t="str">
        <f>VLOOKUP(C330,'[1]1.CUADRO RESUMEN DE SITIOS '!$C$5:$L$1052,7,FALSE())</f>
        <v>WOM</v>
      </c>
      <c r="J330" s="25" t="str">
        <f>VLOOKUP(C330,'[1]1.CUADRO RESUMEN DE SITIOS '!$C$5:$L$1052,8,FALSE())</f>
        <v>CENTRO SUR/ NORTE</v>
      </c>
      <c r="K330" s="23" t="str">
        <f>VLOOKUP(C330,'[1]1.CUADRO RESUMEN DE SITIOS '!$C$5:$L$1052,9,FALSE())</f>
        <v>Maria Camila Torres</v>
      </c>
      <c r="L330" s="26" t="str">
        <f>VLOOKUP(C330,'[1]1.CUADRO RESUMEN DE SITIOS '!$C$5:$L$1052,10,FALSE())</f>
        <v>Terminado</v>
      </c>
      <c r="M330" s="26">
        <v>8828118925</v>
      </c>
      <c r="N330" s="26">
        <f>VLOOKUP(M330,[1]LPU!$A$2:$G$1512,2,FALSE())</f>
        <v>87</v>
      </c>
      <c r="O330" s="26" t="str">
        <f>VLOOKUP(M330,[1]LPU!$A$2:$G$1512,3,FALSE)</f>
        <v>Suministro e Instalacion de cable multifilar #4 awg tipo soldador.</v>
      </c>
      <c r="P330" s="26" t="str">
        <f>VLOOKUP(M330,[1]LPU!$A$2:$G$1512,4,FALSE())</f>
        <v>ENERGÍA</v>
      </c>
      <c r="Q330" s="26" t="str">
        <f>VLOOKUP(M330,[1]LPU!$A$2:$G$1512,5,FALSE())</f>
        <v>ML</v>
      </c>
      <c r="R330" s="27">
        <f>VLOOKUP(M330,[1]LPU!$A$2:$G$1512,6,FALSE())</f>
        <v>60815.8</v>
      </c>
      <c r="S330" s="27" t="str">
        <f>VLOOKUP(M330,[1]LPU!$A$2:$G$1512,7,FALSE())</f>
        <v>LPU FLM</v>
      </c>
      <c r="T330" s="28">
        <v>4</v>
      </c>
      <c r="U330" s="29">
        <f t="shared" si="6"/>
        <v>243263.2</v>
      </c>
      <c r="V330" s="29" t="s">
        <v>77</v>
      </c>
      <c r="W330" s="30"/>
      <c r="X330" s="29" t="s">
        <v>204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ht="21" customHeight="1" x14ac:dyDescent="0.3">
      <c r="A331" s="22">
        <v>327</v>
      </c>
      <c r="B331" s="23">
        <v>1</v>
      </c>
      <c r="C331" s="23" t="s">
        <v>205</v>
      </c>
      <c r="D331" s="23" t="str">
        <f>VLOOKUP(C331,'[1]1.CUADRO RESUMEN DE SITIOS '!$C$5:$L$1052,2,FALSE())</f>
        <v>CUN_04512</v>
      </c>
      <c r="E331" s="24">
        <f>VLOOKUP(C331,'[1]1.CUADRO RESUMEN DE SITIOS '!$C$5:$L$1052,3,FALSE())</f>
        <v>45994</v>
      </c>
      <c r="F331" s="23">
        <f>VLOOKUP(C331,'[1]1.CUADRO RESUMEN DE SITIOS '!$C$5:$L$1052,4,FALSE())</f>
        <v>5.0670599999999997</v>
      </c>
      <c r="G331" s="23">
        <f>VLOOKUP(C331,'[1]1.CUADRO RESUMEN DE SITIOS '!$C$5:$L$1052,5,FALSE())</f>
        <v>-73.880899999999997</v>
      </c>
      <c r="H331" s="23" t="str">
        <f>VLOOKUP(C331,'[1]1.CUADRO RESUMEN DE SITIOS '!$C$5:$L$1052,6,FALSE())</f>
        <v>CUNDINAMARCA</v>
      </c>
      <c r="I331" s="23" t="str">
        <f>VLOOKUP(C331,'[1]1.CUADRO RESUMEN DE SITIOS '!$C$5:$L$1052,7,FALSE())</f>
        <v>WOM</v>
      </c>
      <c r="J331" s="25" t="str">
        <f>VLOOKUP(C331,'[1]1.CUADRO RESUMEN DE SITIOS '!$C$5:$L$1052,8,FALSE())</f>
        <v>CENTRO SUR/ NORTE</v>
      </c>
      <c r="K331" s="23" t="str">
        <f>VLOOKUP(C331,'[1]1.CUADRO RESUMEN DE SITIOS '!$C$5:$L$1052,9,FALSE())</f>
        <v>Maria Camila Torres</v>
      </c>
      <c r="L331" s="26" t="str">
        <f>VLOOKUP(C331,'[1]1.CUADRO RESUMEN DE SITIOS '!$C$5:$L$1052,10,FALSE())</f>
        <v>Terminado</v>
      </c>
      <c r="M331" s="26">
        <v>8828118868</v>
      </c>
      <c r="N331" s="26">
        <f>VLOOKUP(M331,[1]LPU!$A$2:$G$1512,2,FALSE())</f>
        <v>81</v>
      </c>
      <c r="O331" s="26" t="str">
        <f>VLOOKUP(M331,[1]LPU!$A$2:$G$1512,3,FALSE)</f>
        <v>Suministro e Instalacion de terminal para cable awg # 2 en cobre estañado un ojo</v>
      </c>
      <c r="P331" s="26" t="str">
        <f>VLOOKUP(M331,[1]LPU!$A$2:$G$1512,4,FALSE())</f>
        <v>ENERGÍA</v>
      </c>
      <c r="Q331" s="26" t="str">
        <f>VLOOKUP(M331,[1]LPU!$A$2:$G$1512,5,FALSE())</f>
        <v>U</v>
      </c>
      <c r="R331" s="27">
        <f>VLOOKUP(M331,[1]LPU!$A$2:$G$1512,6,FALSE())</f>
        <v>2347</v>
      </c>
      <c r="S331" s="27" t="str">
        <f>VLOOKUP(M331,[1]LPU!$A$2:$G$1512,7,FALSE())</f>
        <v>LPU FLM</v>
      </c>
      <c r="T331" s="28">
        <v>4</v>
      </c>
      <c r="U331" s="29">
        <f t="shared" si="6"/>
        <v>9388</v>
      </c>
      <c r="V331" s="29" t="s">
        <v>77</v>
      </c>
      <c r="W331" s="30"/>
      <c r="X331" s="29" t="s">
        <v>204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ht="21" customHeight="1" x14ac:dyDescent="0.3">
      <c r="A332" s="22">
        <v>328</v>
      </c>
      <c r="B332" s="23">
        <v>1</v>
      </c>
      <c r="C332" s="23" t="s">
        <v>205</v>
      </c>
      <c r="D332" s="23" t="str">
        <f>VLOOKUP(C332,'[1]1.CUADRO RESUMEN DE SITIOS '!$C$5:$L$1052,2,FALSE())</f>
        <v>CUN_04512</v>
      </c>
      <c r="E332" s="24">
        <f>VLOOKUP(C332,'[1]1.CUADRO RESUMEN DE SITIOS '!$C$5:$L$1052,3,FALSE())</f>
        <v>45994</v>
      </c>
      <c r="F332" s="23">
        <f>VLOOKUP(C332,'[1]1.CUADRO RESUMEN DE SITIOS '!$C$5:$L$1052,4,FALSE())</f>
        <v>5.0670599999999997</v>
      </c>
      <c r="G332" s="23">
        <f>VLOOKUP(C332,'[1]1.CUADRO RESUMEN DE SITIOS '!$C$5:$L$1052,5,FALSE())</f>
        <v>-73.880899999999997</v>
      </c>
      <c r="H332" s="23" t="str">
        <f>VLOOKUP(C332,'[1]1.CUADRO RESUMEN DE SITIOS '!$C$5:$L$1052,6,FALSE())</f>
        <v>CUNDINAMARCA</v>
      </c>
      <c r="I332" s="23" t="str">
        <f>VLOOKUP(C332,'[1]1.CUADRO RESUMEN DE SITIOS '!$C$5:$L$1052,7,FALSE())</f>
        <v>WOM</v>
      </c>
      <c r="J332" s="25" t="str">
        <f>VLOOKUP(C332,'[1]1.CUADRO RESUMEN DE SITIOS '!$C$5:$L$1052,8,FALSE())</f>
        <v>CENTRO SUR/ NORTE</v>
      </c>
      <c r="K332" s="23" t="str">
        <f>VLOOKUP(C332,'[1]1.CUADRO RESUMEN DE SITIOS '!$C$5:$L$1052,9,FALSE())</f>
        <v>Maria Camila Torres</v>
      </c>
      <c r="L332" s="26" t="str">
        <f>VLOOKUP(C332,'[1]1.CUADRO RESUMEN DE SITIOS '!$C$5:$L$1052,10,FALSE())</f>
        <v>Terminado</v>
      </c>
      <c r="M332" s="26">
        <v>8828119980</v>
      </c>
      <c r="N332" s="26">
        <f>VLOOKUP(M332,[1]LPU!$A$2:$G$1512,2,FALSE())</f>
        <v>169</v>
      </c>
      <c r="O332" s="26" t="str">
        <f>VLOOKUP(M332,[1]LPU!$A$2:$G$1512,3,FALSE)</f>
        <v>Reforzamiento Protección Concreto para Rack de Baterías Incluye Materiales</v>
      </c>
      <c r="P332" s="26" t="str">
        <f>VLOOKUP(M332,[1]LPU!$A$2:$G$1512,4,FALSE())</f>
        <v>LOCATIVO</v>
      </c>
      <c r="Q332" s="26" t="str">
        <f>VLOOKUP(M332,[1]LPU!$A$2:$G$1512,5,FALSE())</f>
        <v>U</v>
      </c>
      <c r="R332" s="27">
        <f>VLOOKUP(M332,[1]LPU!$A$2:$G$1512,6,FALSE())</f>
        <v>114750</v>
      </c>
      <c r="S332" s="27" t="str">
        <f>VLOOKUP(M332,[1]LPU!$A$2:$G$1512,7,FALSE())</f>
        <v>LPU FLM</v>
      </c>
      <c r="T332" s="28">
        <v>1</v>
      </c>
      <c r="U332" s="29">
        <f t="shared" si="6"/>
        <v>114750</v>
      </c>
      <c r="V332" s="29" t="s">
        <v>77</v>
      </c>
      <c r="W332" s="30"/>
      <c r="X332" s="29" t="s">
        <v>204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ht="21" customHeight="1" x14ac:dyDescent="0.3">
      <c r="A333" s="22">
        <v>329</v>
      </c>
      <c r="B333" s="23">
        <v>1</v>
      </c>
      <c r="C333" s="23" t="s">
        <v>205</v>
      </c>
      <c r="D333" s="23" t="str">
        <f>VLOOKUP(C333,'[1]1.CUADRO RESUMEN DE SITIOS '!$C$5:$L$1052,2,FALSE())</f>
        <v>CUN_04512</v>
      </c>
      <c r="E333" s="24">
        <f>VLOOKUP(C333,'[1]1.CUADRO RESUMEN DE SITIOS '!$C$5:$L$1052,3,FALSE())</f>
        <v>45994</v>
      </c>
      <c r="F333" s="23">
        <f>VLOOKUP(C333,'[1]1.CUADRO RESUMEN DE SITIOS '!$C$5:$L$1052,4,FALSE())</f>
        <v>5.0670599999999997</v>
      </c>
      <c r="G333" s="23">
        <f>VLOOKUP(C333,'[1]1.CUADRO RESUMEN DE SITIOS '!$C$5:$L$1052,5,FALSE())</f>
        <v>-73.880899999999997</v>
      </c>
      <c r="H333" s="23" t="str">
        <f>VLOOKUP(C333,'[1]1.CUADRO RESUMEN DE SITIOS '!$C$5:$L$1052,6,FALSE())</f>
        <v>CUNDINAMARCA</v>
      </c>
      <c r="I333" s="23" t="str">
        <f>VLOOKUP(C333,'[1]1.CUADRO RESUMEN DE SITIOS '!$C$5:$L$1052,7,FALSE())</f>
        <v>WOM</v>
      </c>
      <c r="J333" s="25" t="str">
        <f>VLOOKUP(C333,'[1]1.CUADRO RESUMEN DE SITIOS '!$C$5:$L$1052,8,FALSE())</f>
        <v>CENTRO SUR/ NORTE</v>
      </c>
      <c r="K333" s="23" t="str">
        <f>VLOOKUP(C333,'[1]1.CUADRO RESUMEN DE SITIOS '!$C$5:$L$1052,9,FALSE())</f>
        <v>Maria Camila Torres</v>
      </c>
      <c r="L333" s="26" t="str">
        <f>VLOOKUP(C333,'[1]1.CUADRO RESUMEN DE SITIOS '!$C$5:$L$1052,10,FALSE())</f>
        <v>Terminado</v>
      </c>
      <c r="M333" s="26">
        <v>8828119848</v>
      </c>
      <c r="N333" s="26">
        <f>VLOOKUP(M333,[1]LPU!$A$2:$G$1512,2,FALSE())</f>
        <v>157</v>
      </c>
      <c r="O333" s="26" t="str">
        <f>VLOOKUP(M333,[1]LPU!$A$2:$G$1512,3,FALSE)</f>
        <v>Reja para equipo cabinet x 2 baterías</v>
      </c>
      <c r="P333" s="26" t="str">
        <f>VLOOKUP(M333,[1]LPU!$A$2:$G$1512,4,FALSE())</f>
        <v>LOCATIVO</v>
      </c>
      <c r="Q333" s="26" t="str">
        <f>VLOOKUP(M333,[1]LPU!$A$2:$G$1512,5,FALSE())</f>
        <v>U</v>
      </c>
      <c r="R333" s="27">
        <f>VLOOKUP(M333,[1]LPU!$A$2:$G$1512,6,FALSE())</f>
        <v>415303</v>
      </c>
      <c r="S333" s="27" t="str">
        <f>VLOOKUP(M333,[1]LPU!$A$2:$G$1512,7,FALSE())</f>
        <v>LPU FLM</v>
      </c>
      <c r="T333" s="28">
        <v>1</v>
      </c>
      <c r="U333" s="29">
        <f t="shared" si="6"/>
        <v>415303</v>
      </c>
      <c r="V333" s="29" t="s">
        <v>77</v>
      </c>
      <c r="W333" s="30"/>
      <c r="X333" s="29" t="s">
        <v>204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ht="21" customHeight="1" x14ac:dyDescent="0.3">
      <c r="A334" s="22">
        <v>330</v>
      </c>
      <c r="B334" s="23">
        <v>1</v>
      </c>
      <c r="C334" s="23" t="s">
        <v>205</v>
      </c>
      <c r="D334" s="23" t="str">
        <f>VLOOKUP(C334,'[1]1.CUADRO RESUMEN DE SITIOS '!$C$5:$L$1052,2,FALSE())</f>
        <v>CUN_04512</v>
      </c>
      <c r="E334" s="24">
        <f>VLOOKUP(C334,'[1]1.CUADRO RESUMEN DE SITIOS '!$C$5:$L$1052,3,FALSE())</f>
        <v>45994</v>
      </c>
      <c r="F334" s="23">
        <f>VLOOKUP(C334,'[1]1.CUADRO RESUMEN DE SITIOS '!$C$5:$L$1052,4,FALSE())</f>
        <v>5.0670599999999997</v>
      </c>
      <c r="G334" s="23">
        <f>VLOOKUP(C334,'[1]1.CUADRO RESUMEN DE SITIOS '!$C$5:$L$1052,5,FALSE())</f>
        <v>-73.880899999999997</v>
      </c>
      <c r="H334" s="23" t="str">
        <f>VLOOKUP(C334,'[1]1.CUADRO RESUMEN DE SITIOS '!$C$5:$L$1052,6,FALSE())</f>
        <v>CUNDINAMARCA</v>
      </c>
      <c r="I334" s="23" t="str">
        <f>VLOOKUP(C334,'[1]1.CUADRO RESUMEN DE SITIOS '!$C$5:$L$1052,7,FALSE())</f>
        <v>WOM</v>
      </c>
      <c r="J334" s="25" t="str">
        <f>VLOOKUP(C334,'[1]1.CUADRO RESUMEN DE SITIOS '!$C$5:$L$1052,8,FALSE())</f>
        <v>CENTRO SUR/ NORTE</v>
      </c>
      <c r="K334" s="23" t="str">
        <f>VLOOKUP(C334,'[1]1.CUADRO RESUMEN DE SITIOS '!$C$5:$L$1052,9,FALSE())</f>
        <v>Maria Camila Torres</v>
      </c>
      <c r="L334" s="26" t="str">
        <f>VLOOKUP(C334,'[1]1.CUADRO RESUMEN DE SITIOS '!$C$5:$L$1052,10,FALSE())</f>
        <v>Terminado</v>
      </c>
      <c r="M334" s="26">
        <v>8828119045</v>
      </c>
      <c r="N334" s="26">
        <f>VLOOKUP(M334,[1]LPU!$A$2:$G$1512,2,FALSE())</f>
        <v>5.29</v>
      </c>
      <c r="O334" s="26" t="str">
        <f>VLOOKUP(M334,[1]LPU!$A$2:$G$1512,3,FALSE)</f>
        <v>Suministro e instalación de estructura metálica en acero galvanizado para refuerzo, soportes, bases y adecuaciones en general.</v>
      </c>
      <c r="P334" s="26" t="str">
        <f>VLOOKUP(M334,[1]LPU!$A$2:$G$1512,4,FALSE())</f>
        <v>Mantenimiento CW</v>
      </c>
      <c r="Q334" s="26" t="str">
        <f>VLOOKUP(M334,[1]LPU!$A$2:$G$1512,5,FALSE())</f>
        <v>Kg</v>
      </c>
      <c r="R334" s="27">
        <f>VLOOKUP(M334,[1]LPU!$A$2:$G$1512,6,FALSE())</f>
        <v>12911.5</v>
      </c>
      <c r="S334" s="27" t="str">
        <f>VLOOKUP(M334,[1]LPU!$A$2:$G$1512,7,FALSE())</f>
        <v>Mantenimiento CW</v>
      </c>
      <c r="T334" s="28">
        <v>20</v>
      </c>
      <c r="U334" s="29">
        <f t="shared" si="6"/>
        <v>258230</v>
      </c>
      <c r="V334" s="29" t="s">
        <v>77</v>
      </c>
      <c r="W334" s="30"/>
      <c r="X334" s="29" t="s">
        <v>204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ht="21" customHeight="1" x14ac:dyDescent="0.3">
      <c r="A335" s="22">
        <v>331</v>
      </c>
      <c r="B335" s="23">
        <v>1</v>
      </c>
      <c r="C335" s="23" t="s">
        <v>205</v>
      </c>
      <c r="D335" s="23" t="str">
        <f>VLOOKUP(C335,'[1]1.CUADRO RESUMEN DE SITIOS '!$C$5:$L$1052,2,FALSE())</f>
        <v>CUN_04512</v>
      </c>
      <c r="E335" s="24">
        <f>VLOOKUP(C335,'[1]1.CUADRO RESUMEN DE SITIOS '!$C$5:$L$1052,3,FALSE())</f>
        <v>45994</v>
      </c>
      <c r="F335" s="23">
        <f>VLOOKUP(C335,'[1]1.CUADRO RESUMEN DE SITIOS '!$C$5:$L$1052,4,FALSE())</f>
        <v>5.0670599999999997</v>
      </c>
      <c r="G335" s="23">
        <f>VLOOKUP(C335,'[1]1.CUADRO RESUMEN DE SITIOS '!$C$5:$L$1052,5,FALSE())</f>
        <v>-73.880899999999997</v>
      </c>
      <c r="H335" s="23" t="str">
        <f>VLOOKUP(C335,'[1]1.CUADRO RESUMEN DE SITIOS '!$C$5:$L$1052,6,FALSE())</f>
        <v>CUNDINAMARCA</v>
      </c>
      <c r="I335" s="23" t="str">
        <f>VLOOKUP(C335,'[1]1.CUADRO RESUMEN DE SITIOS '!$C$5:$L$1052,7,FALSE())</f>
        <v>WOM</v>
      </c>
      <c r="J335" s="25" t="str">
        <f>VLOOKUP(C335,'[1]1.CUADRO RESUMEN DE SITIOS '!$C$5:$L$1052,8,FALSE())</f>
        <v>CENTRO SUR/ NORTE</v>
      </c>
      <c r="K335" s="23" t="str">
        <f>VLOOKUP(C335,'[1]1.CUADRO RESUMEN DE SITIOS '!$C$5:$L$1052,9,FALSE())</f>
        <v>Maria Camila Torres</v>
      </c>
      <c r="L335" s="26" t="str">
        <f>VLOOKUP(C335,'[1]1.CUADRO RESUMEN DE SITIOS '!$C$5:$L$1052,10,FALSE())</f>
        <v>Terminado</v>
      </c>
      <c r="M335" s="26">
        <v>8828119590</v>
      </c>
      <c r="N335" s="26">
        <f>VLOOKUP(M335,[1]LPU!$A$2:$G$1512,2,FALSE())</f>
        <v>196</v>
      </c>
      <c r="O335" s="26" t="str">
        <f>VLOOKUP(M335,[1]LPU!$A$2:$G$1512,3,FALSE)</f>
        <v>Transporte de Equipos y Materiales, Carga y Descarga, desde y hacía Bodega Regional. Mas de 1 Tonelada. ZONA 1 (Resolución 5078 de 2016)</v>
      </c>
      <c r="P335" s="26" t="str">
        <f>VLOOKUP(M335,[1]LPU!$A$2:$G$1512,4,FALSE())</f>
        <v>LOCATIVO</v>
      </c>
      <c r="Q335" s="26" t="str">
        <f>VLOOKUP(M335,[1]LPU!$A$2:$G$1512,5,FALSE())</f>
        <v>U</v>
      </c>
      <c r="R335" s="27">
        <f>VLOOKUP(M335,[1]LPU!$A$2:$G$1512,6,FALSE())</f>
        <v>389844</v>
      </c>
      <c r="S335" s="27" t="str">
        <f>VLOOKUP(M335,[1]LPU!$A$2:$G$1512,7,FALSE())</f>
        <v>LPU FLM</v>
      </c>
      <c r="T335" s="28">
        <v>1</v>
      </c>
      <c r="U335" s="29">
        <f t="shared" si="6"/>
        <v>389844</v>
      </c>
      <c r="V335" s="29" t="s">
        <v>77</v>
      </c>
      <c r="W335" s="30"/>
      <c r="X335" s="29" t="s">
        <v>204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ht="21" customHeight="1" x14ac:dyDescent="0.3">
      <c r="A336" s="22">
        <v>332</v>
      </c>
      <c r="B336" s="23">
        <v>1</v>
      </c>
      <c r="C336" s="23" t="s">
        <v>205</v>
      </c>
      <c r="D336" s="23" t="str">
        <f>VLOOKUP(C336,'[1]1.CUADRO RESUMEN DE SITIOS '!$C$5:$L$1052,2,FALSE())</f>
        <v>CUN_04512</v>
      </c>
      <c r="E336" s="24">
        <f>VLOOKUP(C336,'[1]1.CUADRO RESUMEN DE SITIOS '!$C$5:$L$1052,3,FALSE())</f>
        <v>45994</v>
      </c>
      <c r="F336" s="23">
        <f>VLOOKUP(C336,'[1]1.CUADRO RESUMEN DE SITIOS '!$C$5:$L$1052,4,FALSE())</f>
        <v>5.0670599999999997</v>
      </c>
      <c r="G336" s="23">
        <f>VLOOKUP(C336,'[1]1.CUADRO RESUMEN DE SITIOS '!$C$5:$L$1052,5,FALSE())</f>
        <v>-73.880899999999997</v>
      </c>
      <c r="H336" s="23" t="str">
        <f>VLOOKUP(C336,'[1]1.CUADRO RESUMEN DE SITIOS '!$C$5:$L$1052,6,FALSE())</f>
        <v>CUNDINAMARCA</v>
      </c>
      <c r="I336" s="23" t="str">
        <f>VLOOKUP(C336,'[1]1.CUADRO RESUMEN DE SITIOS '!$C$5:$L$1052,7,FALSE())</f>
        <v>WOM</v>
      </c>
      <c r="J336" s="25" t="str">
        <f>VLOOKUP(C336,'[1]1.CUADRO RESUMEN DE SITIOS '!$C$5:$L$1052,8,FALSE())</f>
        <v>CENTRO SUR/ NORTE</v>
      </c>
      <c r="K336" s="23" t="str">
        <f>VLOOKUP(C336,'[1]1.CUADRO RESUMEN DE SITIOS '!$C$5:$L$1052,9,FALSE())</f>
        <v>Maria Camila Torres</v>
      </c>
      <c r="L336" s="26" t="str">
        <f>VLOOKUP(C336,'[1]1.CUADRO RESUMEN DE SITIOS '!$C$5:$L$1052,10,FALSE())</f>
        <v>Terminado</v>
      </c>
      <c r="M336" s="26">
        <v>8828119110</v>
      </c>
      <c r="N336" s="26">
        <f>VLOOKUP(M336,[1]LPU!$A$2:$G$1512,2,FALSE())</f>
        <v>107</v>
      </c>
      <c r="O336" s="26" t="str">
        <f>VLOOKUP(M336,[1]LPU!$A$2:$G$1512,3,FALSE)</f>
        <v>Mano de Obra Tecnico Electricista Certficado CONTE</v>
      </c>
      <c r="P336" s="26" t="str">
        <f>VLOOKUP(M336,[1]LPU!$A$2:$G$1512,4,FALSE())</f>
        <v>ENERGÍA</v>
      </c>
      <c r="Q336" s="26" t="str">
        <f>VLOOKUP(M336,[1]LPU!$A$2:$G$1512,5,FALSE())</f>
        <v>DIA</v>
      </c>
      <c r="R336" s="27">
        <f>VLOOKUP(M336,[1]LPU!$A$2:$G$1512,6,FALSE())</f>
        <v>136000</v>
      </c>
      <c r="S336" s="27" t="str">
        <f>VLOOKUP(M336,[1]LPU!$A$2:$G$1512,7,FALSE())</f>
        <v>LPU FLM</v>
      </c>
      <c r="T336" s="28">
        <v>2</v>
      </c>
      <c r="U336" s="29">
        <f t="shared" si="6"/>
        <v>272000</v>
      </c>
      <c r="V336" s="29" t="s">
        <v>77</v>
      </c>
      <c r="W336" s="30"/>
      <c r="X336" s="29" t="s">
        <v>204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ht="21" customHeight="1" x14ac:dyDescent="0.3">
      <c r="A337" s="22">
        <v>333</v>
      </c>
      <c r="B337" s="23">
        <v>1</v>
      </c>
      <c r="C337" s="23" t="s">
        <v>206</v>
      </c>
      <c r="D337" s="23" t="str">
        <f>VLOOKUP(C337,'[1]1.CUADRO RESUMEN DE SITIOS '!$C$5:$L$1052,2,FALSE())</f>
        <v>VIL_08965</v>
      </c>
      <c r="E337" s="24">
        <f>VLOOKUP(C337,'[1]1.CUADRO RESUMEN DE SITIOS '!$C$5:$L$1052,3,FALSE())</f>
        <v>45995</v>
      </c>
      <c r="F337" s="23">
        <f>VLOOKUP(C337,'[1]1.CUADRO RESUMEN DE SITIOS '!$C$5:$L$1052,4,FALSE())</f>
        <v>4.1412000000000004</v>
      </c>
      <c r="G337" s="23">
        <f>VLOOKUP(C337,'[1]1.CUADRO RESUMEN DE SITIOS '!$C$5:$L$1052,5,FALSE())</f>
        <v>-73.647499999999994</v>
      </c>
      <c r="H337" s="23" t="str">
        <f>VLOOKUP(C337,'[1]1.CUADRO RESUMEN DE SITIOS '!$C$5:$L$1052,6,FALSE())</f>
        <v>META</v>
      </c>
      <c r="I337" s="23" t="str">
        <f>VLOOKUP(C337,'[1]1.CUADRO RESUMEN DE SITIOS '!$C$5:$L$1052,7,FALSE())</f>
        <v>WOM</v>
      </c>
      <c r="J337" s="25" t="str">
        <f>VLOOKUP(C337,'[1]1.CUADRO RESUMEN DE SITIOS '!$C$5:$L$1052,8,FALSE())</f>
        <v>CENTRO SUR/ NORTE</v>
      </c>
      <c r="K337" s="23" t="str">
        <f>VLOOKUP(C337,'[1]1.CUADRO RESUMEN DE SITIOS '!$C$5:$L$1052,9,FALSE())</f>
        <v>Maria Camila Torres</v>
      </c>
      <c r="L337" s="26" t="str">
        <f>VLOOKUP(C337,'[1]1.CUADRO RESUMEN DE SITIOS '!$C$5:$L$1052,10,FALSE())</f>
        <v>Terminado</v>
      </c>
      <c r="M337" s="26">
        <v>8828119512</v>
      </c>
      <c r="N337" s="26">
        <f>VLOOKUP(M337,[1]LPU!$A$2:$G$1512,2,FALSE())</f>
        <v>55</v>
      </c>
      <c r="O337" s="26" t="str">
        <f>VLOOKUP(M337,[1]LPU!$A$2:$G$1512,3,FALSE)</f>
        <v>Transporte Banco de Baterias</v>
      </c>
      <c r="P337" s="26" t="str">
        <f>VLOOKUP(M337,[1]LPU!$A$2:$G$1512,4,FALSE())</f>
        <v>ENERGÍA</v>
      </c>
      <c r="Q337" s="26" t="str">
        <f>VLOOKUP(M337,[1]LPU!$A$2:$G$1512,5,FALSE())</f>
        <v>U</v>
      </c>
      <c r="R337" s="27">
        <f>VLOOKUP(M337,[1]LPU!$A$2:$G$1512,6,FALSE())</f>
        <v>82212</v>
      </c>
      <c r="S337" s="27" t="str">
        <f>VLOOKUP(M337,[1]LPU!$A$2:$G$1512,7,FALSE())</f>
        <v>LPU FLM</v>
      </c>
      <c r="T337" s="28">
        <v>1</v>
      </c>
      <c r="U337" s="29">
        <f t="shared" si="6"/>
        <v>82212</v>
      </c>
      <c r="V337" s="29" t="s">
        <v>77</v>
      </c>
      <c r="W337" s="30"/>
      <c r="X337" s="29" t="s">
        <v>27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ht="21" customHeight="1" x14ac:dyDescent="0.3">
      <c r="A338" s="22">
        <v>334</v>
      </c>
      <c r="B338" s="23">
        <v>1</v>
      </c>
      <c r="C338" s="23" t="s">
        <v>206</v>
      </c>
      <c r="D338" s="23" t="str">
        <f>VLOOKUP(C338,'[1]1.CUADRO RESUMEN DE SITIOS '!$C$5:$L$1052,2,FALSE())</f>
        <v>VIL_08965</v>
      </c>
      <c r="E338" s="24">
        <f>VLOOKUP(C338,'[1]1.CUADRO RESUMEN DE SITIOS '!$C$5:$L$1052,3,FALSE())</f>
        <v>45995</v>
      </c>
      <c r="F338" s="23">
        <f>VLOOKUP(C338,'[1]1.CUADRO RESUMEN DE SITIOS '!$C$5:$L$1052,4,FALSE())</f>
        <v>4.1412000000000004</v>
      </c>
      <c r="G338" s="23">
        <f>VLOOKUP(C338,'[1]1.CUADRO RESUMEN DE SITIOS '!$C$5:$L$1052,5,FALSE())</f>
        <v>-73.647499999999994</v>
      </c>
      <c r="H338" s="23" t="str">
        <f>VLOOKUP(C338,'[1]1.CUADRO RESUMEN DE SITIOS '!$C$5:$L$1052,6,FALSE())</f>
        <v>META</v>
      </c>
      <c r="I338" s="23" t="str">
        <f>VLOOKUP(C338,'[1]1.CUADRO RESUMEN DE SITIOS '!$C$5:$L$1052,7,FALSE())</f>
        <v>WOM</v>
      </c>
      <c r="J338" s="25" t="str">
        <f>VLOOKUP(C338,'[1]1.CUADRO RESUMEN DE SITIOS '!$C$5:$L$1052,8,FALSE())</f>
        <v>CENTRO SUR/ NORTE</v>
      </c>
      <c r="K338" s="23" t="str">
        <f>VLOOKUP(C338,'[1]1.CUADRO RESUMEN DE SITIOS '!$C$5:$L$1052,9,FALSE())</f>
        <v>Maria Camila Torres</v>
      </c>
      <c r="L338" s="26" t="str">
        <f>VLOOKUP(C338,'[1]1.CUADRO RESUMEN DE SITIOS '!$C$5:$L$1052,10,FALSE())</f>
        <v>Terminado</v>
      </c>
      <c r="M338" s="26">
        <v>8828119848</v>
      </c>
      <c r="N338" s="26">
        <f>VLOOKUP(M338,[1]LPU!$A$2:$G$1512,2,FALSE())</f>
        <v>157</v>
      </c>
      <c r="O338" s="26" t="str">
        <f>VLOOKUP(M338,[1]LPU!$A$2:$G$1512,3,FALSE)</f>
        <v>Reja para equipo cabinet x 2 baterías</v>
      </c>
      <c r="P338" s="26" t="str">
        <f>VLOOKUP(M338,[1]LPU!$A$2:$G$1512,4,FALSE())</f>
        <v>LOCATIVO</v>
      </c>
      <c r="Q338" s="26" t="str">
        <f>VLOOKUP(M338,[1]LPU!$A$2:$G$1512,5,FALSE())</f>
        <v>U</v>
      </c>
      <c r="R338" s="27">
        <f>VLOOKUP(M338,[1]LPU!$A$2:$G$1512,6,FALSE())</f>
        <v>415303</v>
      </c>
      <c r="S338" s="27" t="str">
        <f>VLOOKUP(M338,[1]LPU!$A$2:$G$1512,7,FALSE())</f>
        <v>LPU FLM</v>
      </c>
      <c r="T338" s="28">
        <v>1</v>
      </c>
      <c r="U338" s="29">
        <f t="shared" si="6"/>
        <v>415303</v>
      </c>
      <c r="V338" s="29" t="s">
        <v>77</v>
      </c>
      <c r="W338" s="30"/>
      <c r="X338" s="29" t="s">
        <v>27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ht="21" customHeight="1" x14ac:dyDescent="0.3">
      <c r="A339" s="22">
        <v>335</v>
      </c>
      <c r="B339" s="23">
        <v>1</v>
      </c>
      <c r="C339" s="23" t="s">
        <v>206</v>
      </c>
      <c r="D339" s="23" t="str">
        <f>VLOOKUP(C339,'[1]1.CUADRO RESUMEN DE SITIOS '!$C$5:$L$1052,2,FALSE())</f>
        <v>VIL_08965</v>
      </c>
      <c r="E339" s="24">
        <f>VLOOKUP(C339,'[1]1.CUADRO RESUMEN DE SITIOS '!$C$5:$L$1052,3,FALSE())</f>
        <v>45995</v>
      </c>
      <c r="F339" s="23">
        <f>VLOOKUP(C339,'[1]1.CUADRO RESUMEN DE SITIOS '!$C$5:$L$1052,4,FALSE())</f>
        <v>4.1412000000000004</v>
      </c>
      <c r="G339" s="23">
        <f>VLOOKUP(C339,'[1]1.CUADRO RESUMEN DE SITIOS '!$C$5:$L$1052,5,FALSE())</f>
        <v>-73.647499999999994</v>
      </c>
      <c r="H339" s="23" t="str">
        <f>VLOOKUP(C339,'[1]1.CUADRO RESUMEN DE SITIOS '!$C$5:$L$1052,6,FALSE())</f>
        <v>META</v>
      </c>
      <c r="I339" s="23" t="str">
        <f>VLOOKUP(C339,'[1]1.CUADRO RESUMEN DE SITIOS '!$C$5:$L$1052,7,FALSE())</f>
        <v>WOM</v>
      </c>
      <c r="J339" s="25" t="str">
        <f>VLOOKUP(C339,'[1]1.CUADRO RESUMEN DE SITIOS '!$C$5:$L$1052,8,FALSE())</f>
        <v>CENTRO SUR/ NORTE</v>
      </c>
      <c r="K339" s="23" t="str">
        <f>VLOOKUP(C339,'[1]1.CUADRO RESUMEN DE SITIOS '!$C$5:$L$1052,9,FALSE())</f>
        <v>Maria Camila Torres</v>
      </c>
      <c r="L339" s="26" t="str">
        <f>VLOOKUP(C339,'[1]1.CUADRO RESUMEN DE SITIOS '!$C$5:$L$1052,10,FALSE())</f>
        <v>Terminado</v>
      </c>
      <c r="M339" s="26">
        <v>8828119110</v>
      </c>
      <c r="N339" s="26">
        <f>VLOOKUP(M339,[1]LPU!$A$2:$G$1512,2,FALSE())</f>
        <v>107</v>
      </c>
      <c r="O339" s="26" t="str">
        <f>VLOOKUP(M339,[1]LPU!$A$2:$G$1512,3,FALSE)</f>
        <v>Mano de Obra Tecnico Electricista Certficado CONTE</v>
      </c>
      <c r="P339" s="26" t="str">
        <f>VLOOKUP(M339,[1]LPU!$A$2:$G$1512,4,FALSE())</f>
        <v>ENERGÍA</v>
      </c>
      <c r="Q339" s="26" t="str">
        <f>VLOOKUP(M339,[1]LPU!$A$2:$G$1512,5,FALSE())</f>
        <v>DIA</v>
      </c>
      <c r="R339" s="27">
        <f>VLOOKUP(M339,[1]LPU!$A$2:$G$1512,6,FALSE())</f>
        <v>136000</v>
      </c>
      <c r="S339" s="27" t="str">
        <f>VLOOKUP(M339,[1]LPU!$A$2:$G$1512,7,FALSE())</f>
        <v>LPU FLM</v>
      </c>
      <c r="T339" s="28">
        <v>2</v>
      </c>
      <c r="U339" s="29">
        <f t="shared" si="6"/>
        <v>272000</v>
      </c>
      <c r="V339" s="29" t="s">
        <v>77</v>
      </c>
      <c r="W339" s="30"/>
      <c r="X339" s="29" t="s">
        <v>27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ht="21" customHeight="1" x14ac:dyDescent="0.3">
      <c r="A340" s="22">
        <v>336</v>
      </c>
      <c r="B340" s="23">
        <v>1</v>
      </c>
      <c r="C340" s="23" t="s">
        <v>206</v>
      </c>
      <c r="D340" s="23" t="str">
        <f>VLOOKUP(C340,'[1]1.CUADRO RESUMEN DE SITIOS '!$C$5:$L$1052,2,FALSE())</f>
        <v>VIL_08965</v>
      </c>
      <c r="E340" s="24">
        <f>VLOOKUP(C340,'[1]1.CUADRO RESUMEN DE SITIOS '!$C$5:$L$1052,3,FALSE())</f>
        <v>45995</v>
      </c>
      <c r="F340" s="23">
        <f>VLOOKUP(C340,'[1]1.CUADRO RESUMEN DE SITIOS '!$C$5:$L$1052,4,FALSE())</f>
        <v>4.1412000000000004</v>
      </c>
      <c r="G340" s="23">
        <f>VLOOKUP(C340,'[1]1.CUADRO RESUMEN DE SITIOS '!$C$5:$L$1052,5,FALSE())</f>
        <v>-73.647499999999994</v>
      </c>
      <c r="H340" s="23" t="str">
        <f>VLOOKUP(C340,'[1]1.CUADRO RESUMEN DE SITIOS '!$C$5:$L$1052,6,FALSE())</f>
        <v>META</v>
      </c>
      <c r="I340" s="23" t="str">
        <f>VLOOKUP(C340,'[1]1.CUADRO RESUMEN DE SITIOS '!$C$5:$L$1052,7,FALSE())</f>
        <v>WOM</v>
      </c>
      <c r="J340" s="25" t="str">
        <f>VLOOKUP(C340,'[1]1.CUADRO RESUMEN DE SITIOS '!$C$5:$L$1052,8,FALSE())</f>
        <v>CENTRO SUR/ NORTE</v>
      </c>
      <c r="K340" s="23" t="str">
        <f>VLOOKUP(C340,'[1]1.CUADRO RESUMEN DE SITIOS '!$C$5:$L$1052,9,FALSE())</f>
        <v>Maria Camila Torres</v>
      </c>
      <c r="L340" s="26" t="str">
        <f>VLOOKUP(C340,'[1]1.CUADRO RESUMEN DE SITIOS '!$C$5:$L$1052,10,FALSE())</f>
        <v>Terminado</v>
      </c>
      <c r="M340" s="26">
        <v>8828118925</v>
      </c>
      <c r="N340" s="26">
        <f>VLOOKUP(M340,[1]LPU!$A$2:$G$1512,2,FALSE())</f>
        <v>87</v>
      </c>
      <c r="O340" s="26" t="str">
        <f>VLOOKUP(M340,[1]LPU!$A$2:$G$1512,3,FALSE)</f>
        <v>Suministro e Instalacion de cable multifilar #4 awg tipo soldador.</v>
      </c>
      <c r="P340" s="26" t="str">
        <f>VLOOKUP(M340,[1]LPU!$A$2:$G$1512,4,FALSE())</f>
        <v>ENERGÍA</v>
      </c>
      <c r="Q340" s="26" t="str">
        <f>VLOOKUP(M340,[1]LPU!$A$2:$G$1512,5,FALSE())</f>
        <v>ML</v>
      </c>
      <c r="R340" s="27">
        <f>VLOOKUP(M340,[1]LPU!$A$2:$G$1512,6,FALSE())</f>
        <v>60815.8</v>
      </c>
      <c r="S340" s="27" t="str">
        <f>VLOOKUP(M340,[1]LPU!$A$2:$G$1512,7,FALSE())</f>
        <v>LPU FLM</v>
      </c>
      <c r="T340" s="28">
        <v>4</v>
      </c>
      <c r="U340" s="29">
        <f t="shared" si="6"/>
        <v>243263.2</v>
      </c>
      <c r="V340" s="29" t="s">
        <v>77</v>
      </c>
      <c r="W340" s="30"/>
      <c r="X340" s="29" t="s">
        <v>27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ht="21" customHeight="1" x14ac:dyDescent="0.3">
      <c r="A341" s="22">
        <v>337</v>
      </c>
      <c r="B341" s="23">
        <v>1</v>
      </c>
      <c r="C341" s="23" t="s">
        <v>206</v>
      </c>
      <c r="D341" s="23" t="str">
        <f>VLOOKUP(C341,'[1]1.CUADRO RESUMEN DE SITIOS '!$C$5:$L$1052,2,FALSE())</f>
        <v>VIL_08965</v>
      </c>
      <c r="E341" s="24">
        <f>VLOOKUP(C341,'[1]1.CUADRO RESUMEN DE SITIOS '!$C$5:$L$1052,3,FALSE())</f>
        <v>45995</v>
      </c>
      <c r="F341" s="23">
        <f>VLOOKUP(C341,'[1]1.CUADRO RESUMEN DE SITIOS '!$C$5:$L$1052,4,FALSE())</f>
        <v>4.1412000000000004</v>
      </c>
      <c r="G341" s="23">
        <f>VLOOKUP(C341,'[1]1.CUADRO RESUMEN DE SITIOS '!$C$5:$L$1052,5,FALSE())</f>
        <v>-73.647499999999994</v>
      </c>
      <c r="H341" s="23" t="str">
        <f>VLOOKUP(C341,'[1]1.CUADRO RESUMEN DE SITIOS '!$C$5:$L$1052,6,FALSE())</f>
        <v>META</v>
      </c>
      <c r="I341" s="23" t="str">
        <f>VLOOKUP(C341,'[1]1.CUADRO RESUMEN DE SITIOS '!$C$5:$L$1052,7,FALSE())</f>
        <v>WOM</v>
      </c>
      <c r="J341" s="25" t="str">
        <f>VLOOKUP(C341,'[1]1.CUADRO RESUMEN DE SITIOS '!$C$5:$L$1052,8,FALSE())</f>
        <v>CENTRO SUR/ NORTE</v>
      </c>
      <c r="K341" s="23" t="str">
        <f>VLOOKUP(C341,'[1]1.CUADRO RESUMEN DE SITIOS '!$C$5:$L$1052,9,FALSE())</f>
        <v>Maria Camila Torres</v>
      </c>
      <c r="L341" s="26" t="str">
        <f>VLOOKUP(C341,'[1]1.CUADRO RESUMEN DE SITIOS '!$C$5:$L$1052,10,FALSE())</f>
        <v>Terminado</v>
      </c>
      <c r="M341" s="26">
        <v>8828118868</v>
      </c>
      <c r="N341" s="26">
        <f>VLOOKUP(M341,[1]LPU!$A$2:$G$1512,2,FALSE())</f>
        <v>81</v>
      </c>
      <c r="O341" s="26" t="str">
        <f>VLOOKUP(M341,[1]LPU!$A$2:$G$1512,3,FALSE)</f>
        <v>Suministro e Instalacion de terminal para cable awg # 2 en cobre estañado un ojo</v>
      </c>
      <c r="P341" s="26" t="str">
        <f>VLOOKUP(M341,[1]LPU!$A$2:$G$1512,4,FALSE())</f>
        <v>ENERGÍA</v>
      </c>
      <c r="Q341" s="26" t="str">
        <f>VLOOKUP(M341,[1]LPU!$A$2:$G$1512,5,FALSE())</f>
        <v>U</v>
      </c>
      <c r="R341" s="27">
        <f>VLOOKUP(M341,[1]LPU!$A$2:$G$1512,6,FALSE())</f>
        <v>2347</v>
      </c>
      <c r="S341" s="27" t="str">
        <f>VLOOKUP(M341,[1]LPU!$A$2:$G$1512,7,FALSE())</f>
        <v>LPU FLM</v>
      </c>
      <c r="T341" s="28">
        <v>4</v>
      </c>
      <c r="U341" s="29">
        <f t="shared" si="6"/>
        <v>9388</v>
      </c>
      <c r="V341" s="29" t="s">
        <v>77</v>
      </c>
      <c r="W341" s="30"/>
      <c r="X341" s="29" t="s">
        <v>27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ht="21" customHeight="1" x14ac:dyDescent="0.3">
      <c r="A342" s="22">
        <v>338</v>
      </c>
      <c r="B342" s="23">
        <v>1</v>
      </c>
      <c r="C342" s="23" t="s">
        <v>206</v>
      </c>
      <c r="D342" s="23" t="str">
        <f>VLOOKUP(C342,'[1]1.CUADRO RESUMEN DE SITIOS '!$C$5:$L$1052,2,FALSE())</f>
        <v>VIL_08965</v>
      </c>
      <c r="E342" s="24">
        <f>VLOOKUP(C342,'[1]1.CUADRO RESUMEN DE SITIOS '!$C$5:$L$1052,3,FALSE())</f>
        <v>45995</v>
      </c>
      <c r="F342" s="23">
        <f>VLOOKUP(C342,'[1]1.CUADRO RESUMEN DE SITIOS '!$C$5:$L$1052,4,FALSE())</f>
        <v>4.1412000000000004</v>
      </c>
      <c r="G342" s="23">
        <f>VLOOKUP(C342,'[1]1.CUADRO RESUMEN DE SITIOS '!$C$5:$L$1052,5,FALSE())</f>
        <v>-73.647499999999994</v>
      </c>
      <c r="H342" s="23" t="str">
        <f>VLOOKUP(C342,'[1]1.CUADRO RESUMEN DE SITIOS '!$C$5:$L$1052,6,FALSE())</f>
        <v>META</v>
      </c>
      <c r="I342" s="23" t="str">
        <f>VLOOKUP(C342,'[1]1.CUADRO RESUMEN DE SITIOS '!$C$5:$L$1052,7,FALSE())</f>
        <v>WOM</v>
      </c>
      <c r="J342" s="25" t="str">
        <f>VLOOKUP(C342,'[1]1.CUADRO RESUMEN DE SITIOS '!$C$5:$L$1052,8,FALSE())</f>
        <v>CENTRO SUR/ NORTE</v>
      </c>
      <c r="K342" s="23" t="str">
        <f>VLOOKUP(C342,'[1]1.CUADRO RESUMEN DE SITIOS '!$C$5:$L$1052,9,FALSE())</f>
        <v>Maria Camila Torres</v>
      </c>
      <c r="L342" s="26" t="str">
        <f>VLOOKUP(C342,'[1]1.CUADRO RESUMEN DE SITIOS '!$C$5:$L$1052,10,FALSE())</f>
        <v>Terminado</v>
      </c>
      <c r="M342" s="26">
        <v>8828119492</v>
      </c>
      <c r="N342" s="26">
        <f>VLOOKUP(M342,[1]LPU!$A$2:$G$1512,2,FALSE())</f>
        <v>53</v>
      </c>
      <c r="O342" s="26" t="str">
        <f>VLOOKUP(M342,[1]LPU!$A$2:$G$1512,3,FALSE)</f>
        <v>Instalación Banco de Baterias para Rectificadores - Aplica para ampliaciones.</v>
      </c>
      <c r="P342" s="26" t="str">
        <f>VLOOKUP(M342,[1]LPU!$A$2:$G$1512,4,FALSE())</f>
        <v>ENERGÍA</v>
      </c>
      <c r="Q342" s="26" t="str">
        <f>VLOOKUP(M342,[1]LPU!$A$2:$G$1512,5,FALSE())</f>
        <v>U</v>
      </c>
      <c r="R342" s="27">
        <f>VLOOKUP(M342,[1]LPU!$A$2:$G$1512,6,FALSE())</f>
        <v>102340</v>
      </c>
      <c r="S342" s="27" t="str">
        <f>VLOOKUP(M342,[1]LPU!$A$2:$G$1512,7,FALSE())</f>
        <v>LPU FLM</v>
      </c>
      <c r="T342" s="28">
        <v>1</v>
      </c>
      <c r="U342" s="29">
        <f t="shared" si="6"/>
        <v>102340</v>
      </c>
      <c r="V342" s="29" t="s">
        <v>77</v>
      </c>
      <c r="W342" s="30"/>
      <c r="X342" s="29" t="s">
        <v>27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ht="21" customHeight="1" x14ac:dyDescent="0.3">
      <c r="A343" s="22">
        <v>339</v>
      </c>
      <c r="B343" s="23">
        <v>1</v>
      </c>
      <c r="C343" s="23" t="s">
        <v>206</v>
      </c>
      <c r="D343" s="23" t="str">
        <f>VLOOKUP(C343,'[1]1.CUADRO RESUMEN DE SITIOS '!$C$5:$L$1052,2,FALSE())</f>
        <v>VIL_08965</v>
      </c>
      <c r="E343" s="24">
        <f>VLOOKUP(C343,'[1]1.CUADRO RESUMEN DE SITIOS '!$C$5:$L$1052,3,FALSE())</f>
        <v>45995</v>
      </c>
      <c r="F343" s="23">
        <f>VLOOKUP(C343,'[1]1.CUADRO RESUMEN DE SITIOS '!$C$5:$L$1052,4,FALSE())</f>
        <v>4.1412000000000004</v>
      </c>
      <c r="G343" s="23">
        <f>VLOOKUP(C343,'[1]1.CUADRO RESUMEN DE SITIOS '!$C$5:$L$1052,5,FALSE())</f>
        <v>-73.647499999999994</v>
      </c>
      <c r="H343" s="23" t="str">
        <f>VLOOKUP(C343,'[1]1.CUADRO RESUMEN DE SITIOS '!$C$5:$L$1052,6,FALSE())</f>
        <v>META</v>
      </c>
      <c r="I343" s="23" t="str">
        <f>VLOOKUP(C343,'[1]1.CUADRO RESUMEN DE SITIOS '!$C$5:$L$1052,7,FALSE())</f>
        <v>WOM</v>
      </c>
      <c r="J343" s="25" t="str">
        <f>VLOOKUP(C343,'[1]1.CUADRO RESUMEN DE SITIOS '!$C$5:$L$1052,8,FALSE())</f>
        <v>CENTRO SUR/ NORTE</v>
      </c>
      <c r="K343" s="23" t="str">
        <f>VLOOKUP(C343,'[1]1.CUADRO RESUMEN DE SITIOS '!$C$5:$L$1052,9,FALSE())</f>
        <v>Maria Camila Torres</v>
      </c>
      <c r="L343" s="26" t="str">
        <f>VLOOKUP(C343,'[1]1.CUADRO RESUMEN DE SITIOS '!$C$5:$L$1052,10,FALSE())</f>
        <v>Terminado</v>
      </c>
      <c r="M343" s="26">
        <v>8828118999</v>
      </c>
      <c r="N343" s="26">
        <f>VLOOKUP(M343,[1]LPU!$A$2:$G$1512,2,FALSE())</f>
        <v>0</v>
      </c>
      <c r="O343" s="26" t="str">
        <f>VLOOKUP(M343,[1]LPU!$A$2:$G$1512,3,FALSE)</f>
        <v>Suministro e instalación de cable UTP Categoría 6, con conectores en sus extremos, certificado</v>
      </c>
      <c r="P343" s="26" t="str">
        <f>VLOOKUP(M343,[1]LPU!$A$2:$G$1512,4,FALSE())</f>
        <v>Item Critico</v>
      </c>
      <c r="Q343" s="26" t="str">
        <f>VLOOKUP(M343,[1]LPU!$A$2:$G$1512,5,FALSE())</f>
        <v>m</v>
      </c>
      <c r="R343" s="27">
        <f>VLOOKUP(M343,[1]LPU!$A$2:$G$1512,6,FALSE())</f>
        <v>5913</v>
      </c>
      <c r="S343" s="27" t="str">
        <f>VLOOKUP(M343,[1]LPU!$A$2:$G$1512,7,FALSE())</f>
        <v>LPU FO Propia</v>
      </c>
      <c r="T343" s="28">
        <v>3</v>
      </c>
      <c r="U343" s="29">
        <f t="shared" si="6"/>
        <v>17739</v>
      </c>
      <c r="V343" s="29" t="s">
        <v>77</v>
      </c>
      <c r="W343" s="30"/>
      <c r="X343" s="29" t="s">
        <v>27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ht="21" customHeight="1" x14ac:dyDescent="0.3">
      <c r="A344" s="22">
        <v>340</v>
      </c>
      <c r="B344" s="23">
        <v>1</v>
      </c>
      <c r="C344" s="23" t="s">
        <v>206</v>
      </c>
      <c r="D344" s="23" t="str">
        <f>VLOOKUP(C344,'[1]1.CUADRO RESUMEN DE SITIOS '!$C$5:$L$1052,2,FALSE())</f>
        <v>VIL_08965</v>
      </c>
      <c r="E344" s="24">
        <f>VLOOKUP(C344,'[1]1.CUADRO RESUMEN DE SITIOS '!$C$5:$L$1052,3,FALSE())</f>
        <v>45995</v>
      </c>
      <c r="F344" s="23">
        <f>VLOOKUP(C344,'[1]1.CUADRO RESUMEN DE SITIOS '!$C$5:$L$1052,4,FALSE())</f>
        <v>4.1412000000000004</v>
      </c>
      <c r="G344" s="23">
        <f>VLOOKUP(C344,'[1]1.CUADRO RESUMEN DE SITIOS '!$C$5:$L$1052,5,FALSE())</f>
        <v>-73.647499999999994</v>
      </c>
      <c r="H344" s="23" t="str">
        <f>VLOOKUP(C344,'[1]1.CUADRO RESUMEN DE SITIOS '!$C$5:$L$1052,6,FALSE())</f>
        <v>META</v>
      </c>
      <c r="I344" s="23" t="str">
        <f>VLOOKUP(C344,'[1]1.CUADRO RESUMEN DE SITIOS '!$C$5:$L$1052,7,FALSE())</f>
        <v>WOM</v>
      </c>
      <c r="J344" s="25" t="str">
        <f>VLOOKUP(C344,'[1]1.CUADRO RESUMEN DE SITIOS '!$C$5:$L$1052,8,FALSE())</f>
        <v>CENTRO SUR/ NORTE</v>
      </c>
      <c r="K344" s="23" t="str">
        <f>VLOOKUP(C344,'[1]1.CUADRO RESUMEN DE SITIOS '!$C$5:$L$1052,9,FALSE())</f>
        <v>Maria Camila Torres</v>
      </c>
      <c r="L344" s="26" t="str">
        <f>VLOOKUP(C344,'[1]1.CUADRO RESUMEN DE SITIOS '!$C$5:$L$1052,10,FALSE())</f>
        <v>Terminado</v>
      </c>
      <c r="M344" s="26">
        <v>8828119980</v>
      </c>
      <c r="N344" s="26">
        <f>VLOOKUP(M344,[1]LPU!$A$2:$G$1512,2,FALSE())</f>
        <v>169</v>
      </c>
      <c r="O344" s="26" t="str">
        <f>VLOOKUP(M344,[1]LPU!$A$2:$G$1512,3,FALSE)</f>
        <v>Reforzamiento Protección Concreto para Rack de Baterías Incluye Materiales</v>
      </c>
      <c r="P344" s="26" t="str">
        <f>VLOOKUP(M344,[1]LPU!$A$2:$G$1512,4,FALSE())</f>
        <v>LOCATIVO</v>
      </c>
      <c r="Q344" s="26" t="str">
        <f>VLOOKUP(M344,[1]LPU!$A$2:$G$1512,5,FALSE())</f>
        <v>U</v>
      </c>
      <c r="R344" s="27">
        <f>VLOOKUP(M344,[1]LPU!$A$2:$G$1512,6,FALSE())</f>
        <v>114750</v>
      </c>
      <c r="S344" s="27" t="str">
        <f>VLOOKUP(M344,[1]LPU!$A$2:$G$1512,7,FALSE())</f>
        <v>LPU FLM</v>
      </c>
      <c r="T344" s="28">
        <v>1</v>
      </c>
      <c r="U344" s="29">
        <f t="shared" si="6"/>
        <v>114750</v>
      </c>
      <c r="V344" s="29" t="s">
        <v>77</v>
      </c>
      <c r="W344" s="30"/>
      <c r="X344" s="29" t="s">
        <v>27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ht="21" customHeight="1" x14ac:dyDescent="0.3">
      <c r="A345" s="22">
        <v>341</v>
      </c>
      <c r="B345" s="23">
        <v>1</v>
      </c>
      <c r="C345" s="23" t="s">
        <v>206</v>
      </c>
      <c r="D345" s="23" t="str">
        <f>VLOOKUP(C345,'[1]1.CUADRO RESUMEN DE SITIOS '!$C$5:$L$1052,2,FALSE())</f>
        <v>VIL_08965</v>
      </c>
      <c r="E345" s="24">
        <f>VLOOKUP(C345,'[1]1.CUADRO RESUMEN DE SITIOS '!$C$5:$L$1052,3,FALSE())</f>
        <v>45995</v>
      </c>
      <c r="F345" s="23">
        <f>VLOOKUP(C345,'[1]1.CUADRO RESUMEN DE SITIOS '!$C$5:$L$1052,4,FALSE())</f>
        <v>4.1412000000000004</v>
      </c>
      <c r="G345" s="23">
        <f>VLOOKUP(C345,'[1]1.CUADRO RESUMEN DE SITIOS '!$C$5:$L$1052,5,FALSE())</f>
        <v>-73.647499999999994</v>
      </c>
      <c r="H345" s="23" t="str">
        <f>VLOOKUP(C345,'[1]1.CUADRO RESUMEN DE SITIOS '!$C$5:$L$1052,6,FALSE())</f>
        <v>META</v>
      </c>
      <c r="I345" s="23" t="str">
        <f>VLOOKUP(C345,'[1]1.CUADRO RESUMEN DE SITIOS '!$C$5:$L$1052,7,FALSE())</f>
        <v>WOM</v>
      </c>
      <c r="J345" s="25" t="str">
        <f>VLOOKUP(C345,'[1]1.CUADRO RESUMEN DE SITIOS '!$C$5:$L$1052,8,FALSE())</f>
        <v>CENTRO SUR/ NORTE</v>
      </c>
      <c r="K345" s="23" t="str">
        <f>VLOOKUP(C345,'[1]1.CUADRO RESUMEN DE SITIOS '!$C$5:$L$1052,9,FALSE())</f>
        <v>Maria Camila Torres</v>
      </c>
      <c r="L345" s="26" t="str">
        <f>VLOOKUP(C345,'[1]1.CUADRO RESUMEN DE SITIOS '!$C$5:$L$1052,10,FALSE())</f>
        <v>Terminado</v>
      </c>
      <c r="M345" s="26">
        <v>8828119045</v>
      </c>
      <c r="N345" s="26">
        <f>VLOOKUP(M345,[1]LPU!$A$2:$G$1512,2,FALSE())</f>
        <v>5.29</v>
      </c>
      <c r="O345" s="26" t="str">
        <f>VLOOKUP(M345,[1]LPU!$A$2:$G$1512,3,FALSE)</f>
        <v>Suministro e instalación de estructura metálica en acero galvanizado para refuerzo, soportes, bases y adecuaciones en general.</v>
      </c>
      <c r="P345" s="26" t="str">
        <f>VLOOKUP(M345,[1]LPU!$A$2:$G$1512,4,FALSE())</f>
        <v>Mantenimiento CW</v>
      </c>
      <c r="Q345" s="26" t="str">
        <f>VLOOKUP(M345,[1]LPU!$A$2:$G$1512,5,FALSE())</f>
        <v>Kg</v>
      </c>
      <c r="R345" s="27">
        <f>VLOOKUP(M345,[1]LPU!$A$2:$G$1512,6,FALSE())</f>
        <v>12911.5</v>
      </c>
      <c r="S345" s="27" t="str">
        <f>VLOOKUP(M345,[1]LPU!$A$2:$G$1512,7,FALSE())</f>
        <v>Mantenimiento CW</v>
      </c>
      <c r="T345" s="28">
        <v>20</v>
      </c>
      <c r="U345" s="29">
        <f t="shared" si="6"/>
        <v>258230</v>
      </c>
      <c r="V345" s="29" t="s">
        <v>77</v>
      </c>
      <c r="W345" s="30"/>
      <c r="X345" s="29" t="s">
        <v>27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ht="21" customHeight="1" x14ac:dyDescent="0.3">
      <c r="A346" s="22">
        <v>342</v>
      </c>
      <c r="B346" s="23">
        <v>1</v>
      </c>
      <c r="C346" s="23" t="s">
        <v>206</v>
      </c>
      <c r="D346" s="23" t="str">
        <f>VLOOKUP(C346,'[1]1.CUADRO RESUMEN DE SITIOS '!$C$5:$L$1052,2,FALSE())</f>
        <v>VIL_08965</v>
      </c>
      <c r="E346" s="24">
        <f>VLOOKUP(C346,'[1]1.CUADRO RESUMEN DE SITIOS '!$C$5:$L$1052,3,FALSE())</f>
        <v>45995</v>
      </c>
      <c r="F346" s="23">
        <f>VLOOKUP(C346,'[1]1.CUADRO RESUMEN DE SITIOS '!$C$5:$L$1052,4,FALSE())</f>
        <v>4.1412000000000004</v>
      </c>
      <c r="G346" s="23">
        <f>VLOOKUP(C346,'[1]1.CUADRO RESUMEN DE SITIOS '!$C$5:$L$1052,5,FALSE())</f>
        <v>-73.647499999999994</v>
      </c>
      <c r="H346" s="23" t="str">
        <f>VLOOKUP(C346,'[1]1.CUADRO RESUMEN DE SITIOS '!$C$5:$L$1052,6,FALSE())</f>
        <v>META</v>
      </c>
      <c r="I346" s="23" t="str">
        <f>VLOOKUP(C346,'[1]1.CUADRO RESUMEN DE SITIOS '!$C$5:$L$1052,7,FALSE())</f>
        <v>WOM</v>
      </c>
      <c r="J346" s="25" t="str">
        <f>VLOOKUP(C346,'[1]1.CUADRO RESUMEN DE SITIOS '!$C$5:$L$1052,8,FALSE())</f>
        <v>CENTRO SUR/ NORTE</v>
      </c>
      <c r="K346" s="23" t="str">
        <f>VLOOKUP(C346,'[1]1.CUADRO RESUMEN DE SITIOS '!$C$5:$L$1052,9,FALSE())</f>
        <v>Maria Camila Torres</v>
      </c>
      <c r="L346" s="26" t="str">
        <f>VLOOKUP(C346,'[1]1.CUADRO RESUMEN DE SITIOS '!$C$5:$L$1052,10,FALSE())</f>
        <v>Terminado</v>
      </c>
      <c r="M346" s="26">
        <v>8828119590</v>
      </c>
      <c r="N346" s="26">
        <f>VLOOKUP(M346,[1]LPU!$A$2:$G$1512,2,FALSE())</f>
        <v>196</v>
      </c>
      <c r="O346" s="26" t="str">
        <f>VLOOKUP(M346,[1]LPU!$A$2:$G$1512,3,FALSE)</f>
        <v>Transporte de Equipos y Materiales, Carga y Descarga, desde y hacía Bodega Regional. Mas de 1 Tonelada. ZONA 1 (Resolución 5078 de 2016)</v>
      </c>
      <c r="P346" s="26" t="str">
        <f>VLOOKUP(M346,[1]LPU!$A$2:$G$1512,4,FALSE())</f>
        <v>LOCATIVO</v>
      </c>
      <c r="Q346" s="26" t="str">
        <f>VLOOKUP(M346,[1]LPU!$A$2:$G$1512,5,FALSE())</f>
        <v>U</v>
      </c>
      <c r="R346" s="27">
        <f>VLOOKUP(M346,[1]LPU!$A$2:$G$1512,6,FALSE())</f>
        <v>389844</v>
      </c>
      <c r="S346" s="27" t="str">
        <f>VLOOKUP(M346,[1]LPU!$A$2:$G$1512,7,FALSE())</f>
        <v>LPU FLM</v>
      </c>
      <c r="T346" s="28">
        <v>1</v>
      </c>
      <c r="U346" s="29">
        <f t="shared" si="6"/>
        <v>389844</v>
      </c>
      <c r="V346" s="29" t="s">
        <v>77</v>
      </c>
      <c r="W346" s="30"/>
      <c r="X346" s="29" t="s">
        <v>27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ht="21" customHeight="1" x14ac:dyDescent="0.3">
      <c r="A347" s="22">
        <v>343</v>
      </c>
      <c r="B347" s="23">
        <v>1</v>
      </c>
      <c r="C347" s="23" t="s">
        <v>207</v>
      </c>
      <c r="D347" s="23" t="str">
        <f>VLOOKUP(C347,'[1]1.CUADRO RESUMEN DE SITIOS '!$C$5:$L$1052,2,FALSE())</f>
        <v>BTA_08874</v>
      </c>
      <c r="E347" s="24">
        <f>VLOOKUP(C347,'[1]1.CUADRO RESUMEN DE SITIOS '!$C$5:$L$1052,3,FALSE())</f>
        <v>46001</v>
      </c>
      <c r="F347" s="23">
        <f>VLOOKUP(C347,'[1]1.CUADRO RESUMEN DE SITIOS '!$C$5:$L$1052,4,FALSE())</f>
        <v>4.7827900000000003</v>
      </c>
      <c r="G347" s="23">
        <f>VLOOKUP(C347,'[1]1.CUADRO RESUMEN DE SITIOS '!$C$5:$L$1052,5,FALSE())</f>
        <v>-74.093000000000004</v>
      </c>
      <c r="H347" s="23" t="str">
        <f>VLOOKUP(C347,'[1]1.CUADRO RESUMEN DE SITIOS '!$C$5:$L$1052,6,FALSE())</f>
        <v>Bogotá</v>
      </c>
      <c r="I347" s="23" t="str">
        <f>VLOOKUP(C347,'[1]1.CUADRO RESUMEN DE SITIOS '!$C$5:$L$1052,7,FALSE())</f>
        <v>WOM</v>
      </c>
      <c r="J347" s="25" t="str">
        <f>VLOOKUP(C347,'[1]1.CUADRO RESUMEN DE SITIOS '!$C$5:$L$1052,8,FALSE())</f>
        <v>CENTRO SUR/ NORTE</v>
      </c>
      <c r="K347" s="23" t="str">
        <f>VLOOKUP(C347,'[1]1.CUADRO RESUMEN DE SITIOS '!$C$5:$L$1052,9,FALSE())</f>
        <v>MARIA CAMILA TORRES</v>
      </c>
      <c r="L347" s="26" t="str">
        <f>VLOOKUP(C347,'[1]1.CUADRO RESUMEN DE SITIOS '!$C$5:$L$1052,10,FALSE())</f>
        <v>Terminado</v>
      </c>
      <c r="M347" s="26">
        <v>8828119045</v>
      </c>
      <c r="N347" s="26">
        <f>VLOOKUP(M347,[1]LPU!$A$2:$G$1512,2,FALSE())</f>
        <v>5.29</v>
      </c>
      <c r="O347" s="26" t="str">
        <f>VLOOKUP(M347,[1]LPU!$A$2:$G$1512,3,FALSE)</f>
        <v>Suministro e instalación de estructura metálica en acero galvanizado para refuerzo, soportes, bases y adecuaciones en general.</v>
      </c>
      <c r="P347" s="26" t="str">
        <f>VLOOKUP(M347,[1]LPU!$A$2:$G$1512,4,FALSE())</f>
        <v>Mantenimiento CW</v>
      </c>
      <c r="Q347" s="26" t="str">
        <f>VLOOKUP(M347,[1]LPU!$A$2:$G$1512,5,FALSE())</f>
        <v>Kg</v>
      </c>
      <c r="R347" s="27">
        <f>VLOOKUP(M347,[1]LPU!$A$2:$G$1512,6,FALSE())</f>
        <v>12911.5</v>
      </c>
      <c r="S347" s="27" t="str">
        <f>VLOOKUP(M347,[1]LPU!$A$2:$G$1512,7,FALSE())</f>
        <v>Mantenimiento CW</v>
      </c>
      <c r="T347" s="28">
        <v>20</v>
      </c>
      <c r="U347" s="29">
        <f t="shared" si="6"/>
        <v>258230</v>
      </c>
      <c r="V347" s="29" t="s">
        <v>77</v>
      </c>
      <c r="W347" s="30"/>
      <c r="X347" s="29" t="s">
        <v>38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ht="21" customHeight="1" x14ac:dyDescent="0.3">
      <c r="A348" s="22">
        <v>344</v>
      </c>
      <c r="B348" s="23">
        <v>1</v>
      </c>
      <c r="C348" s="23" t="s">
        <v>207</v>
      </c>
      <c r="D348" s="23" t="str">
        <f>VLOOKUP(C348,'[1]1.CUADRO RESUMEN DE SITIOS '!$C$5:$L$1052,2,FALSE())</f>
        <v>BTA_08874</v>
      </c>
      <c r="E348" s="24">
        <f>VLOOKUP(C348,'[1]1.CUADRO RESUMEN DE SITIOS '!$C$5:$L$1052,3,FALSE())</f>
        <v>46001</v>
      </c>
      <c r="F348" s="23">
        <f>VLOOKUP(C348,'[1]1.CUADRO RESUMEN DE SITIOS '!$C$5:$L$1052,4,FALSE())</f>
        <v>4.7827900000000003</v>
      </c>
      <c r="G348" s="23">
        <f>VLOOKUP(C348,'[1]1.CUADRO RESUMEN DE SITIOS '!$C$5:$L$1052,5,FALSE())</f>
        <v>-74.093000000000004</v>
      </c>
      <c r="H348" s="23" t="str">
        <f>VLOOKUP(C348,'[1]1.CUADRO RESUMEN DE SITIOS '!$C$5:$L$1052,6,FALSE())</f>
        <v>Bogotá</v>
      </c>
      <c r="I348" s="23" t="str">
        <f>VLOOKUP(C348,'[1]1.CUADRO RESUMEN DE SITIOS '!$C$5:$L$1052,7,FALSE())</f>
        <v>WOM</v>
      </c>
      <c r="J348" s="25" t="str">
        <f>VLOOKUP(C348,'[1]1.CUADRO RESUMEN DE SITIOS '!$C$5:$L$1052,8,FALSE())</f>
        <v>CENTRO SUR/ NORTE</v>
      </c>
      <c r="K348" s="23" t="str">
        <f>VLOOKUP(C348,'[1]1.CUADRO RESUMEN DE SITIOS '!$C$5:$L$1052,9,FALSE())</f>
        <v>MARIA CAMILA TORRES</v>
      </c>
      <c r="L348" s="26" t="str">
        <f>VLOOKUP(C348,'[1]1.CUADRO RESUMEN DE SITIOS '!$C$5:$L$1052,10,FALSE())</f>
        <v>Terminado</v>
      </c>
      <c r="M348" s="26">
        <v>8828119110</v>
      </c>
      <c r="N348" s="26">
        <f>VLOOKUP(M348,[1]LPU!$A$2:$G$1512,2,FALSE())</f>
        <v>107</v>
      </c>
      <c r="O348" s="26" t="str">
        <f>VLOOKUP(M348,[1]LPU!$A$2:$G$1512,3,FALSE)</f>
        <v>Mano de Obra Tecnico Electricista Certficado CONTE</v>
      </c>
      <c r="P348" s="26" t="str">
        <f>VLOOKUP(M348,[1]LPU!$A$2:$G$1512,4,FALSE())</f>
        <v>ENERGÍA</v>
      </c>
      <c r="Q348" s="26" t="str">
        <f>VLOOKUP(M348,[1]LPU!$A$2:$G$1512,5,FALSE())</f>
        <v>DIA</v>
      </c>
      <c r="R348" s="27">
        <f>VLOOKUP(M348,[1]LPU!$A$2:$G$1512,6,FALSE())</f>
        <v>136000</v>
      </c>
      <c r="S348" s="27" t="str">
        <f>VLOOKUP(M348,[1]LPU!$A$2:$G$1512,7,FALSE())</f>
        <v>LPU FLM</v>
      </c>
      <c r="T348" s="28">
        <v>2</v>
      </c>
      <c r="U348" s="29">
        <f t="shared" si="6"/>
        <v>272000</v>
      </c>
      <c r="V348" s="29" t="s">
        <v>77</v>
      </c>
      <c r="W348" s="30"/>
      <c r="X348" s="29" t="s">
        <v>38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ht="21" customHeight="1" x14ac:dyDescent="0.3">
      <c r="A349" s="22">
        <v>345</v>
      </c>
      <c r="B349" s="23">
        <v>1</v>
      </c>
      <c r="C349" s="23" t="s">
        <v>207</v>
      </c>
      <c r="D349" s="23" t="str">
        <f>VLOOKUP(C349,'[1]1.CUADRO RESUMEN DE SITIOS '!$C$5:$L$1052,2,FALSE())</f>
        <v>BTA_08874</v>
      </c>
      <c r="E349" s="24">
        <f>VLOOKUP(C349,'[1]1.CUADRO RESUMEN DE SITIOS '!$C$5:$L$1052,3,FALSE())</f>
        <v>46001</v>
      </c>
      <c r="F349" s="23">
        <f>VLOOKUP(C349,'[1]1.CUADRO RESUMEN DE SITIOS '!$C$5:$L$1052,4,FALSE())</f>
        <v>4.7827900000000003</v>
      </c>
      <c r="G349" s="23">
        <f>VLOOKUP(C349,'[1]1.CUADRO RESUMEN DE SITIOS '!$C$5:$L$1052,5,FALSE())</f>
        <v>-74.093000000000004</v>
      </c>
      <c r="H349" s="23" t="str">
        <f>VLOOKUP(C349,'[1]1.CUADRO RESUMEN DE SITIOS '!$C$5:$L$1052,6,FALSE())</f>
        <v>Bogotá</v>
      </c>
      <c r="I349" s="23" t="str">
        <f>VLOOKUP(C349,'[1]1.CUADRO RESUMEN DE SITIOS '!$C$5:$L$1052,7,FALSE())</f>
        <v>WOM</v>
      </c>
      <c r="J349" s="25" t="str">
        <f>VLOOKUP(C349,'[1]1.CUADRO RESUMEN DE SITIOS '!$C$5:$L$1052,8,FALSE())</f>
        <v>CENTRO SUR/ NORTE</v>
      </c>
      <c r="K349" s="23" t="str">
        <f>VLOOKUP(C349,'[1]1.CUADRO RESUMEN DE SITIOS '!$C$5:$L$1052,9,FALSE())</f>
        <v>MARIA CAMILA TORRES</v>
      </c>
      <c r="L349" s="26" t="str">
        <f>VLOOKUP(C349,'[1]1.CUADRO RESUMEN DE SITIOS '!$C$5:$L$1052,10,FALSE())</f>
        <v>Terminado</v>
      </c>
      <c r="M349" s="26">
        <v>8828119848</v>
      </c>
      <c r="N349" s="26">
        <f>VLOOKUP(M349,[1]LPU!$A$2:$G$1512,2,FALSE())</f>
        <v>157</v>
      </c>
      <c r="O349" s="26" t="str">
        <f>VLOOKUP(M349,[1]LPU!$A$2:$G$1512,3,FALSE)</f>
        <v>Reja para equipo cabinet x 2 baterías</v>
      </c>
      <c r="P349" s="26" t="str">
        <f>VLOOKUP(M349,[1]LPU!$A$2:$G$1512,4,FALSE())</f>
        <v>LOCATIVO</v>
      </c>
      <c r="Q349" s="26" t="str">
        <f>VLOOKUP(M349,[1]LPU!$A$2:$G$1512,5,FALSE())</f>
        <v>U</v>
      </c>
      <c r="R349" s="27">
        <f>VLOOKUP(M349,[1]LPU!$A$2:$G$1512,6,FALSE())</f>
        <v>415303</v>
      </c>
      <c r="S349" s="27" t="str">
        <f>VLOOKUP(M349,[1]LPU!$A$2:$G$1512,7,FALSE())</f>
        <v>LPU FLM</v>
      </c>
      <c r="T349" s="28">
        <v>1</v>
      </c>
      <c r="U349" s="29">
        <f t="shared" si="6"/>
        <v>415303</v>
      </c>
      <c r="V349" s="29" t="s">
        <v>77</v>
      </c>
      <c r="W349" s="30"/>
      <c r="X349" s="29" t="s">
        <v>38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ht="21" customHeight="1" x14ac:dyDescent="0.3">
      <c r="A350" s="22">
        <v>346</v>
      </c>
      <c r="B350" s="23">
        <v>1</v>
      </c>
      <c r="C350" s="23" t="s">
        <v>207</v>
      </c>
      <c r="D350" s="23" t="str">
        <f>VLOOKUP(C350,'[1]1.CUADRO RESUMEN DE SITIOS '!$C$5:$L$1052,2,FALSE())</f>
        <v>BTA_08874</v>
      </c>
      <c r="E350" s="24">
        <f>VLOOKUP(C350,'[1]1.CUADRO RESUMEN DE SITIOS '!$C$5:$L$1052,3,FALSE())</f>
        <v>46001</v>
      </c>
      <c r="F350" s="23">
        <f>VLOOKUP(C350,'[1]1.CUADRO RESUMEN DE SITIOS '!$C$5:$L$1052,4,FALSE())</f>
        <v>4.7827900000000003</v>
      </c>
      <c r="G350" s="23">
        <f>VLOOKUP(C350,'[1]1.CUADRO RESUMEN DE SITIOS '!$C$5:$L$1052,5,FALSE())</f>
        <v>-74.093000000000004</v>
      </c>
      <c r="H350" s="23" t="str">
        <f>VLOOKUP(C350,'[1]1.CUADRO RESUMEN DE SITIOS '!$C$5:$L$1052,6,FALSE())</f>
        <v>Bogotá</v>
      </c>
      <c r="I350" s="23" t="str">
        <f>VLOOKUP(C350,'[1]1.CUADRO RESUMEN DE SITIOS '!$C$5:$L$1052,7,FALSE())</f>
        <v>WOM</v>
      </c>
      <c r="J350" s="25" t="str">
        <f>VLOOKUP(C350,'[1]1.CUADRO RESUMEN DE SITIOS '!$C$5:$L$1052,8,FALSE())</f>
        <v>CENTRO SUR/ NORTE</v>
      </c>
      <c r="K350" s="23" t="str">
        <f>VLOOKUP(C350,'[1]1.CUADRO RESUMEN DE SITIOS '!$C$5:$L$1052,9,FALSE())</f>
        <v>MARIA CAMILA TORRES</v>
      </c>
      <c r="L350" s="26" t="str">
        <f>VLOOKUP(C350,'[1]1.CUADRO RESUMEN DE SITIOS '!$C$5:$L$1052,10,FALSE())</f>
        <v>Terminado</v>
      </c>
      <c r="M350" s="26">
        <v>8828119921</v>
      </c>
      <c r="N350" s="26">
        <f>VLOOKUP(M350,[1]LPU!$A$2:$G$1512,2,FALSE())</f>
        <v>163</v>
      </c>
      <c r="O350" s="26" t="str">
        <f>VLOOKUP(M350,[1]LPU!$A$2:$G$1512,3,FALSE)</f>
        <v>Tansporte tipo A, ciudad principal y área metropolitana</v>
      </c>
      <c r="P350" s="26" t="str">
        <f>VLOOKUP(M350,[1]LPU!$A$2:$G$1512,4,FALSE())</f>
        <v>LOCATIVO</v>
      </c>
      <c r="Q350" s="26" t="str">
        <f>VLOOKUP(M350,[1]LPU!$A$2:$G$1512,5,FALSE())</f>
        <v>Global</v>
      </c>
      <c r="R350" s="27">
        <f>VLOOKUP(M350,[1]LPU!$A$2:$G$1512,6,FALSE())</f>
        <v>133571.54999999999</v>
      </c>
      <c r="S350" s="27" t="str">
        <f>VLOOKUP(M350,[1]LPU!$A$2:$G$1512,7,FALSE())</f>
        <v>LPU FLM</v>
      </c>
      <c r="T350" s="28">
        <v>1</v>
      </c>
      <c r="U350" s="29">
        <f t="shared" si="6"/>
        <v>133571.54999999999</v>
      </c>
      <c r="V350" s="29" t="s">
        <v>77</v>
      </c>
      <c r="W350" s="30"/>
      <c r="X350" s="29" t="s">
        <v>38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ht="21" customHeight="1" x14ac:dyDescent="0.3">
      <c r="A351" s="22">
        <v>347</v>
      </c>
      <c r="B351" s="23">
        <v>1</v>
      </c>
      <c r="C351" s="23" t="s">
        <v>207</v>
      </c>
      <c r="D351" s="23" t="str">
        <f>VLOOKUP(C351,'[1]1.CUADRO RESUMEN DE SITIOS '!$C$5:$L$1052,2,FALSE())</f>
        <v>BTA_08874</v>
      </c>
      <c r="E351" s="24">
        <f>VLOOKUP(C351,'[1]1.CUADRO RESUMEN DE SITIOS '!$C$5:$L$1052,3,FALSE())</f>
        <v>46001</v>
      </c>
      <c r="F351" s="23">
        <f>VLOOKUP(C351,'[1]1.CUADRO RESUMEN DE SITIOS '!$C$5:$L$1052,4,FALSE())</f>
        <v>4.7827900000000003</v>
      </c>
      <c r="G351" s="23">
        <f>VLOOKUP(C351,'[1]1.CUADRO RESUMEN DE SITIOS '!$C$5:$L$1052,5,FALSE())</f>
        <v>-74.093000000000004</v>
      </c>
      <c r="H351" s="23" t="str">
        <f>VLOOKUP(C351,'[1]1.CUADRO RESUMEN DE SITIOS '!$C$5:$L$1052,6,FALSE())</f>
        <v>Bogotá</v>
      </c>
      <c r="I351" s="23" t="str">
        <f>VLOOKUP(C351,'[1]1.CUADRO RESUMEN DE SITIOS '!$C$5:$L$1052,7,FALSE())</f>
        <v>WOM</v>
      </c>
      <c r="J351" s="25" t="str">
        <f>VLOOKUP(C351,'[1]1.CUADRO RESUMEN DE SITIOS '!$C$5:$L$1052,8,FALSE())</f>
        <v>CENTRO SUR/ NORTE</v>
      </c>
      <c r="K351" s="23" t="str">
        <f>VLOOKUP(C351,'[1]1.CUADRO RESUMEN DE SITIOS '!$C$5:$L$1052,9,FALSE())</f>
        <v>MARIA CAMILA TORRES</v>
      </c>
      <c r="L351" s="26" t="str">
        <f>VLOOKUP(C351,'[1]1.CUADRO RESUMEN DE SITIOS '!$C$5:$L$1052,10,FALSE())</f>
        <v>Terminado</v>
      </c>
      <c r="M351" s="26">
        <v>8828119980</v>
      </c>
      <c r="N351" s="26">
        <f>VLOOKUP(M351,[1]LPU!$A$2:$G$1512,2,FALSE())</f>
        <v>169</v>
      </c>
      <c r="O351" s="26" t="str">
        <f>VLOOKUP(M351,[1]LPU!$A$2:$G$1512,3,FALSE)</f>
        <v>Reforzamiento Protección Concreto para Rack de Baterías Incluye Materiales</v>
      </c>
      <c r="P351" s="26" t="str">
        <f>VLOOKUP(M351,[1]LPU!$A$2:$G$1512,4,FALSE())</f>
        <v>LOCATIVO</v>
      </c>
      <c r="Q351" s="26" t="str">
        <f>VLOOKUP(M351,[1]LPU!$A$2:$G$1512,5,FALSE())</f>
        <v>U</v>
      </c>
      <c r="R351" s="27">
        <f>VLOOKUP(M351,[1]LPU!$A$2:$G$1512,6,FALSE())</f>
        <v>114750</v>
      </c>
      <c r="S351" s="27" t="str">
        <f>VLOOKUP(M351,[1]LPU!$A$2:$G$1512,7,FALSE())</f>
        <v>LPU FLM</v>
      </c>
      <c r="T351" s="28">
        <v>1</v>
      </c>
      <c r="U351" s="29">
        <f t="shared" si="6"/>
        <v>114750</v>
      </c>
      <c r="V351" s="29" t="s">
        <v>77</v>
      </c>
      <c r="W351" s="30"/>
      <c r="X351" s="29" t="s">
        <v>38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ht="21" customHeight="1" x14ac:dyDescent="0.3">
      <c r="A352" s="22">
        <v>348</v>
      </c>
      <c r="B352" s="23">
        <v>1</v>
      </c>
      <c r="C352" s="23" t="s">
        <v>208</v>
      </c>
      <c r="D352" s="23" t="str">
        <f>VLOOKUP(C352,'[1]1.CUADRO RESUMEN DE SITIOS '!$C$5:$L$1052,2,FALSE())</f>
        <v>BTA_07721</v>
      </c>
      <c r="E352" s="24">
        <f>VLOOKUP(C352,'[1]1.CUADRO RESUMEN DE SITIOS '!$C$5:$L$1052,3,FALSE())</f>
        <v>45997</v>
      </c>
      <c r="F352" s="23">
        <f>VLOOKUP(C352,'[1]1.CUADRO RESUMEN DE SITIOS '!$C$5:$L$1052,4,FALSE())</f>
        <v>4.6231217899999999</v>
      </c>
      <c r="G352" s="23">
        <f>VLOOKUP(C352,'[1]1.CUADRO RESUMEN DE SITIOS '!$C$5:$L$1052,5,FALSE())</f>
        <v>-74.182956480000001</v>
      </c>
      <c r="H352" s="23" t="str">
        <f>VLOOKUP(C352,'[1]1.CUADRO RESUMEN DE SITIOS '!$C$5:$L$1052,6,FALSE())</f>
        <v>Bogotá</v>
      </c>
      <c r="I352" s="23" t="str">
        <f>VLOOKUP(C352,'[1]1.CUADRO RESUMEN DE SITIOS '!$C$5:$L$1052,7,FALSE())</f>
        <v>WOM</v>
      </c>
      <c r="J352" s="25" t="str">
        <f>VLOOKUP(C352,'[1]1.CUADRO RESUMEN DE SITIOS '!$C$5:$L$1052,8,FALSE())</f>
        <v>CENTRO SUR/ NORTE</v>
      </c>
      <c r="K352" s="23" t="str">
        <f>VLOOKUP(C352,'[1]1.CUADRO RESUMEN DE SITIOS '!$C$5:$L$1052,9,FALSE())</f>
        <v>MARIA CAMILA TORRES</v>
      </c>
      <c r="L352" s="26" t="str">
        <f>VLOOKUP(C352,'[1]1.CUADRO RESUMEN DE SITIOS '!$C$5:$L$1052,10,FALSE())</f>
        <v>Terminado</v>
      </c>
      <c r="M352" s="26">
        <v>8828119085</v>
      </c>
      <c r="N352" s="26">
        <f>VLOOKUP(M352,[1]LPU!$A$2:$G$1512,2,FALSE())</f>
        <v>104</v>
      </c>
      <c r="O352" s="26" t="str">
        <f>VLOOKUP(M352,[1]LPU!$A$2:$G$1512,3,FALSE)</f>
        <v>Reconexión de Acometida Eléctrica en Poste a Red Comercial</v>
      </c>
      <c r="P352" s="26" t="str">
        <f>VLOOKUP(M352,[1]LPU!$A$2:$G$1512,4,FALSE())</f>
        <v>ENERGÍA</v>
      </c>
      <c r="Q352" s="26" t="str">
        <f>VLOOKUP(M352,[1]LPU!$A$2:$G$1512,5,FALSE())</f>
        <v>U</v>
      </c>
      <c r="R352" s="27">
        <f>VLOOKUP(M352,[1]LPU!$A$2:$G$1512,6,FALSE())</f>
        <v>97240</v>
      </c>
      <c r="S352" s="27" t="str">
        <f>VLOOKUP(M352,[1]LPU!$A$2:$G$1512,7,FALSE())</f>
        <v>LPU FLM</v>
      </c>
      <c r="T352" s="28">
        <v>1</v>
      </c>
      <c r="U352" s="29">
        <f t="shared" si="6"/>
        <v>97240</v>
      </c>
      <c r="V352" s="29" t="s">
        <v>209</v>
      </c>
      <c r="W352" s="30"/>
      <c r="X352" s="29" t="s">
        <v>38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ht="21" customHeight="1" x14ac:dyDescent="0.3">
      <c r="A353" s="22">
        <v>349</v>
      </c>
      <c r="B353" s="23">
        <v>1</v>
      </c>
      <c r="C353" s="23" t="s">
        <v>208</v>
      </c>
      <c r="D353" s="23" t="str">
        <f>VLOOKUP(C353,'[1]1.CUADRO RESUMEN DE SITIOS '!$C$5:$L$1052,2,FALSE())</f>
        <v>BTA_07721</v>
      </c>
      <c r="E353" s="24">
        <f>VLOOKUP(C353,'[1]1.CUADRO RESUMEN DE SITIOS '!$C$5:$L$1052,3,FALSE())</f>
        <v>45997</v>
      </c>
      <c r="F353" s="23">
        <f>VLOOKUP(C353,'[1]1.CUADRO RESUMEN DE SITIOS '!$C$5:$L$1052,4,FALSE())</f>
        <v>4.6231217899999999</v>
      </c>
      <c r="G353" s="23">
        <f>VLOOKUP(C353,'[1]1.CUADRO RESUMEN DE SITIOS '!$C$5:$L$1052,5,FALSE())</f>
        <v>-74.182956480000001</v>
      </c>
      <c r="H353" s="23" t="str">
        <f>VLOOKUP(C353,'[1]1.CUADRO RESUMEN DE SITIOS '!$C$5:$L$1052,6,FALSE())</f>
        <v>Bogotá</v>
      </c>
      <c r="I353" s="23" t="str">
        <f>VLOOKUP(C353,'[1]1.CUADRO RESUMEN DE SITIOS '!$C$5:$L$1052,7,FALSE())</f>
        <v>WOM</v>
      </c>
      <c r="J353" s="25" t="str">
        <f>VLOOKUP(C353,'[1]1.CUADRO RESUMEN DE SITIOS '!$C$5:$L$1052,8,FALSE())</f>
        <v>CENTRO SUR/ NORTE</v>
      </c>
      <c r="K353" s="23" t="str">
        <f>VLOOKUP(C353,'[1]1.CUADRO RESUMEN DE SITIOS '!$C$5:$L$1052,9,FALSE())</f>
        <v>MARIA CAMILA TORRES</v>
      </c>
      <c r="L353" s="26" t="str">
        <f>VLOOKUP(C353,'[1]1.CUADRO RESUMEN DE SITIOS '!$C$5:$L$1052,10,FALSE())</f>
        <v>Terminado</v>
      </c>
      <c r="M353" s="26">
        <v>8828119921</v>
      </c>
      <c r="N353" s="26">
        <f>VLOOKUP(M353,[1]LPU!$A$2:$G$1512,2,FALSE())</f>
        <v>163</v>
      </c>
      <c r="O353" s="26" t="str">
        <f>VLOOKUP(M353,[1]LPU!$A$2:$G$1512,3,FALSE)</f>
        <v>Tansporte tipo A, ciudad principal y área metropolitana</v>
      </c>
      <c r="P353" s="26" t="str">
        <f>VLOOKUP(M353,[1]LPU!$A$2:$G$1512,4,FALSE())</f>
        <v>LOCATIVO</v>
      </c>
      <c r="Q353" s="26" t="str">
        <f>VLOOKUP(M353,[1]LPU!$A$2:$G$1512,5,FALSE())</f>
        <v>Global</v>
      </c>
      <c r="R353" s="27">
        <f>VLOOKUP(M353,[1]LPU!$A$2:$G$1512,6,FALSE())</f>
        <v>133571.54999999999</v>
      </c>
      <c r="S353" s="27" t="str">
        <f>VLOOKUP(M353,[1]LPU!$A$2:$G$1512,7,FALSE())</f>
        <v>LPU FLM</v>
      </c>
      <c r="T353" s="28">
        <v>1</v>
      </c>
      <c r="U353" s="29">
        <f t="shared" si="6"/>
        <v>133571.54999999999</v>
      </c>
      <c r="V353" s="29" t="s">
        <v>209</v>
      </c>
      <c r="W353" s="30"/>
      <c r="X353" s="29" t="s">
        <v>38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ht="21" customHeight="1" x14ac:dyDescent="0.3">
      <c r="A354" s="22">
        <v>350</v>
      </c>
      <c r="B354" s="23">
        <v>1</v>
      </c>
      <c r="C354" s="23" t="s">
        <v>210</v>
      </c>
      <c r="D354" s="23" t="str">
        <f>VLOOKUP(C354,'[1]1.CUADRO RESUMEN DE SITIOS '!$C$5:$L$1052,2,FALSE())</f>
        <v>CUN_04484</v>
      </c>
      <c r="E354" s="24">
        <f>VLOOKUP(C354,'[1]1.CUADRO RESUMEN DE SITIOS '!$C$5:$L$1052,3,FALSE())</f>
        <v>45997</v>
      </c>
      <c r="F354" s="23">
        <f>VLOOKUP(C354,'[1]1.CUADRO RESUMEN DE SITIOS '!$C$5:$L$1052,4,FALSE())</f>
        <v>4.3600000000000003</v>
      </c>
      <c r="G354" s="23">
        <f>VLOOKUP(C354,'[1]1.CUADRO RESUMEN DE SITIOS '!$C$5:$L$1052,5,FALSE())</f>
        <v>-74.8</v>
      </c>
      <c r="H354" s="23" t="str">
        <f>VLOOKUP(C354,'[1]1.CUADRO RESUMEN DE SITIOS '!$C$5:$L$1052,6,FALSE())</f>
        <v>CUNDINAMARCA</v>
      </c>
      <c r="I354" s="23" t="str">
        <f>VLOOKUP(C354,'[1]1.CUADRO RESUMEN DE SITIOS '!$C$5:$L$1052,7,FALSE())</f>
        <v>WOM</v>
      </c>
      <c r="J354" s="25" t="str">
        <f>VLOOKUP(C354,'[1]1.CUADRO RESUMEN DE SITIOS '!$C$5:$L$1052,8,FALSE())</f>
        <v>CENTRO SUR/ NORTE</v>
      </c>
      <c r="K354" s="23" t="str">
        <f>VLOOKUP(C354,'[1]1.CUADRO RESUMEN DE SITIOS '!$C$5:$L$1052,9,FALSE())</f>
        <v>MARIA CAMILA TORRES</v>
      </c>
      <c r="L354" s="26" t="str">
        <f>VLOOKUP(C354,'[1]1.CUADRO RESUMEN DE SITIOS '!$C$5:$L$1052,10,FALSE())</f>
        <v>Terminado</v>
      </c>
      <c r="M354" s="26">
        <v>8828119110</v>
      </c>
      <c r="N354" s="26">
        <f>VLOOKUP(M354,[1]LPU!$A$2:$G$1512,2,FALSE())</f>
        <v>107</v>
      </c>
      <c r="O354" s="26" t="str">
        <f>VLOOKUP(M354,[1]LPU!$A$2:$G$1512,3,FALSE)</f>
        <v>Mano de Obra Tecnico Electricista Certficado CONTE</v>
      </c>
      <c r="P354" s="26" t="str">
        <f>VLOOKUP(M354,[1]LPU!$A$2:$G$1512,4,FALSE())</f>
        <v>ENERGÍA</v>
      </c>
      <c r="Q354" s="26" t="str">
        <f>VLOOKUP(M354,[1]LPU!$A$2:$G$1512,5,FALSE())</f>
        <v>DIA</v>
      </c>
      <c r="R354" s="27">
        <f>VLOOKUP(M354,[1]LPU!$A$2:$G$1512,6,FALSE())</f>
        <v>136000</v>
      </c>
      <c r="S354" s="27" t="str">
        <f>VLOOKUP(M354,[1]LPU!$A$2:$G$1512,7,FALSE())</f>
        <v>LPU FLM</v>
      </c>
      <c r="T354" s="28">
        <v>1</v>
      </c>
      <c r="U354" s="29">
        <f t="shared" si="6"/>
        <v>136000</v>
      </c>
      <c r="V354" s="29" t="s">
        <v>211</v>
      </c>
      <c r="W354" s="30"/>
      <c r="X354" s="29" t="s">
        <v>38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ht="21" customHeight="1" x14ac:dyDescent="0.3">
      <c r="A355" s="22">
        <v>351</v>
      </c>
      <c r="B355" s="23">
        <v>1</v>
      </c>
      <c r="C355" s="23" t="s">
        <v>210</v>
      </c>
      <c r="D355" s="23" t="str">
        <f>VLOOKUP(C355,'[1]1.CUADRO RESUMEN DE SITIOS '!$C$5:$L$1052,2,FALSE())</f>
        <v>CUN_04484</v>
      </c>
      <c r="E355" s="24">
        <f>VLOOKUP(C355,'[1]1.CUADRO RESUMEN DE SITIOS '!$C$5:$L$1052,3,FALSE())</f>
        <v>45997</v>
      </c>
      <c r="F355" s="23">
        <f>VLOOKUP(C355,'[1]1.CUADRO RESUMEN DE SITIOS '!$C$5:$L$1052,4,FALSE())</f>
        <v>4.3600000000000003</v>
      </c>
      <c r="G355" s="23">
        <f>VLOOKUP(C355,'[1]1.CUADRO RESUMEN DE SITIOS '!$C$5:$L$1052,5,FALSE())</f>
        <v>-74.8</v>
      </c>
      <c r="H355" s="23" t="str">
        <f>VLOOKUP(C355,'[1]1.CUADRO RESUMEN DE SITIOS '!$C$5:$L$1052,6,FALSE())</f>
        <v>CUNDINAMARCA</v>
      </c>
      <c r="I355" s="23" t="str">
        <f>VLOOKUP(C355,'[1]1.CUADRO RESUMEN DE SITIOS '!$C$5:$L$1052,7,FALSE())</f>
        <v>WOM</v>
      </c>
      <c r="J355" s="25" t="str">
        <f>VLOOKUP(C355,'[1]1.CUADRO RESUMEN DE SITIOS '!$C$5:$L$1052,8,FALSE())</f>
        <v>CENTRO SUR/ NORTE</v>
      </c>
      <c r="K355" s="23" t="str">
        <f>VLOOKUP(C355,'[1]1.CUADRO RESUMEN DE SITIOS '!$C$5:$L$1052,9,FALSE())</f>
        <v>MARIA CAMILA TORRES</v>
      </c>
      <c r="L355" s="26" t="str">
        <f>VLOOKUP(C355,'[1]1.CUADRO RESUMEN DE SITIOS '!$C$5:$L$1052,10,FALSE())</f>
        <v>Terminado</v>
      </c>
      <c r="M355" s="26">
        <v>8828119931</v>
      </c>
      <c r="N355" s="26">
        <f>VLOOKUP(M355,[1]LPU!$A$2:$G$1512,2,FALSE())</f>
        <v>164</v>
      </c>
      <c r="O355" s="26" t="str">
        <f>VLOOKUP(M355,[1]LPU!$A$2:$G$1512,3,FALSE)</f>
        <v>Tansporte tipo B, fuera de área metropolitana</v>
      </c>
      <c r="P355" s="26" t="str">
        <f>VLOOKUP(M355,[1]LPU!$A$2:$G$1512,4,FALSE())</f>
        <v>LOCATIVO</v>
      </c>
      <c r="Q355" s="26" t="str">
        <f>VLOOKUP(M355,[1]LPU!$A$2:$G$1512,5,FALSE())</f>
        <v>Global</v>
      </c>
      <c r="R355" s="27">
        <f>VLOOKUP(M355,[1]LPU!$A$2:$G$1512,6,FALSE())</f>
        <v>253785</v>
      </c>
      <c r="S355" s="27" t="str">
        <f>VLOOKUP(M355,[1]LPU!$A$2:$G$1512,7,FALSE())</f>
        <v>LPU FLM</v>
      </c>
      <c r="T355" s="28">
        <v>1</v>
      </c>
      <c r="U355" s="29">
        <f t="shared" si="6"/>
        <v>253785</v>
      </c>
      <c r="V355" s="29" t="s">
        <v>211</v>
      </c>
      <c r="W355" s="30"/>
      <c r="X355" s="29" t="s">
        <v>38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ht="21" customHeight="1" x14ac:dyDescent="0.3">
      <c r="A356" s="22">
        <v>352</v>
      </c>
      <c r="B356" s="23">
        <v>1</v>
      </c>
      <c r="C356" s="23" t="s">
        <v>210</v>
      </c>
      <c r="D356" s="23" t="str">
        <f>VLOOKUP(C356,'[1]1.CUADRO RESUMEN DE SITIOS '!$C$5:$L$1052,2,FALSE())</f>
        <v>CUN_04484</v>
      </c>
      <c r="E356" s="24">
        <f>VLOOKUP(C356,'[1]1.CUADRO RESUMEN DE SITIOS '!$C$5:$L$1052,3,FALSE())</f>
        <v>45997</v>
      </c>
      <c r="F356" s="23">
        <f>VLOOKUP(C356,'[1]1.CUADRO RESUMEN DE SITIOS '!$C$5:$L$1052,4,FALSE())</f>
        <v>4.3600000000000003</v>
      </c>
      <c r="G356" s="23">
        <f>VLOOKUP(C356,'[1]1.CUADRO RESUMEN DE SITIOS '!$C$5:$L$1052,5,FALSE())</f>
        <v>-74.8</v>
      </c>
      <c r="H356" s="23" t="str">
        <f>VLOOKUP(C356,'[1]1.CUADRO RESUMEN DE SITIOS '!$C$5:$L$1052,6,FALSE())</f>
        <v>CUNDINAMARCA</v>
      </c>
      <c r="I356" s="23" t="str">
        <f>VLOOKUP(C356,'[1]1.CUADRO RESUMEN DE SITIOS '!$C$5:$L$1052,7,FALSE())</f>
        <v>WOM</v>
      </c>
      <c r="J356" s="25" t="str">
        <f>VLOOKUP(C356,'[1]1.CUADRO RESUMEN DE SITIOS '!$C$5:$L$1052,8,FALSE())</f>
        <v>CENTRO SUR/ NORTE</v>
      </c>
      <c r="K356" s="23" t="str">
        <f>VLOOKUP(C356,'[1]1.CUADRO RESUMEN DE SITIOS '!$C$5:$L$1052,9,FALSE())</f>
        <v>MARIA CAMILA TORRES</v>
      </c>
      <c r="L356" s="26" t="str">
        <f>VLOOKUP(C356,'[1]1.CUADRO RESUMEN DE SITIOS '!$C$5:$L$1052,10,FALSE())</f>
        <v>Terminado</v>
      </c>
      <c r="M356" s="26">
        <v>8828119010</v>
      </c>
      <c r="N356" s="26">
        <f>VLOOKUP(M356,[1]LPU!$A$2:$G$1512,2,FALSE())</f>
        <v>118</v>
      </c>
      <c r="O356" s="26" t="str">
        <f>VLOOKUP(M356,[1]LPU!$A$2:$G$1512,3,FALSE)</f>
        <v>LUZ DE OBSTRUCCION 200 W N2 23</v>
      </c>
      <c r="P356" s="26" t="str">
        <f>VLOOKUP(M356,[1]LPU!$A$2:$G$1512,4,FALSE())</f>
        <v>Nivel 2</v>
      </c>
      <c r="Q356" s="26" t="str">
        <f>VLOOKUP(M356,[1]LPU!$A$2:$G$1512,5,FALSE())</f>
        <v>Uni</v>
      </c>
      <c r="R356" s="27">
        <f>VLOOKUP(M356,[1]LPU!$A$2:$G$1512,6,FALSE())</f>
        <v>1804380</v>
      </c>
      <c r="S356" s="27" t="str">
        <f>VLOOKUP(M356,[1]LPU!$A$2:$G$1512,7,FALSE())</f>
        <v>N2</v>
      </c>
      <c r="T356" s="28">
        <v>2</v>
      </c>
      <c r="U356" s="29">
        <f t="shared" si="6"/>
        <v>3608760</v>
      </c>
      <c r="V356" s="29" t="s">
        <v>211</v>
      </c>
      <c r="W356" s="30"/>
      <c r="X356" s="29" t="s">
        <v>38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ht="21" customHeight="1" x14ac:dyDescent="0.3">
      <c r="A357" s="22">
        <v>353</v>
      </c>
      <c r="B357" s="23">
        <v>1</v>
      </c>
      <c r="C357" s="23" t="s">
        <v>212</v>
      </c>
      <c r="D357" s="23" t="str">
        <f>VLOOKUP(C357,'[1]1.CUADRO RESUMEN DE SITIOS '!$C$5:$L$1052,2,FALSE())</f>
        <v>BTA_00556</v>
      </c>
      <c r="E357" s="24">
        <f>VLOOKUP(C357,'[1]1.CUADRO RESUMEN DE SITIOS '!$C$5:$L$1052,3,FALSE())</f>
        <v>46002</v>
      </c>
      <c r="F357" s="23">
        <f>VLOOKUP(C357,'[1]1.CUADRO RESUMEN DE SITIOS '!$C$5:$L$1052,4,FALSE())</f>
        <v>4.5720520000000002</v>
      </c>
      <c r="G357" s="23">
        <f>VLOOKUP(C357,'[1]1.CUADRO RESUMEN DE SITIOS '!$C$5:$L$1052,5,FALSE())</f>
        <v>-74.151021999999998</v>
      </c>
      <c r="H357" s="23" t="str">
        <f>VLOOKUP(C357,'[1]1.CUADRO RESUMEN DE SITIOS '!$C$5:$L$1052,6,FALSE())</f>
        <v>Bogotá</v>
      </c>
      <c r="I357" s="23" t="str">
        <f>VLOOKUP(C357,'[1]1.CUADRO RESUMEN DE SITIOS '!$C$5:$L$1052,7,FALSE())</f>
        <v>WOM</v>
      </c>
      <c r="J357" s="25" t="str">
        <f>VLOOKUP(C357,'[1]1.CUADRO RESUMEN DE SITIOS '!$C$5:$L$1052,8,FALSE())</f>
        <v>CENTRO SUR/ NORTE</v>
      </c>
      <c r="K357" s="23" t="str">
        <f>VLOOKUP(C357,'[1]1.CUADRO RESUMEN DE SITIOS '!$C$5:$L$1052,9,FALSE())</f>
        <v>MARIA CAMILA TORRES</v>
      </c>
      <c r="L357" s="26" t="str">
        <f>VLOOKUP(C357,'[1]1.CUADRO RESUMEN DE SITIOS '!$C$5:$L$1052,10,FALSE())</f>
        <v>Terminado</v>
      </c>
      <c r="M357" s="26">
        <v>8828119110</v>
      </c>
      <c r="N357" s="26">
        <f>VLOOKUP(M357,[1]LPU!$A$2:$G$1512,2,FALSE())</f>
        <v>107</v>
      </c>
      <c r="O357" s="26" t="str">
        <f>VLOOKUP(M357,[1]LPU!$A$2:$G$1512,3,FALSE)</f>
        <v>Mano de Obra Tecnico Electricista Certficado CONTE</v>
      </c>
      <c r="P357" s="26" t="str">
        <f>VLOOKUP(M357,[1]LPU!$A$2:$G$1512,4,FALSE())</f>
        <v>ENERGÍA</v>
      </c>
      <c r="Q357" s="26" t="str">
        <f>VLOOKUP(M357,[1]LPU!$A$2:$G$1512,5,FALSE())</f>
        <v>DIA</v>
      </c>
      <c r="R357" s="27">
        <f>VLOOKUP(M357,[1]LPU!$A$2:$G$1512,6,FALSE())</f>
        <v>136000</v>
      </c>
      <c r="S357" s="27" t="str">
        <f>VLOOKUP(M357,[1]LPU!$A$2:$G$1512,7,FALSE())</f>
        <v>LPU FLM</v>
      </c>
      <c r="T357" s="28">
        <v>1</v>
      </c>
      <c r="U357" s="29">
        <f t="shared" si="6"/>
        <v>136000</v>
      </c>
      <c r="V357" s="29" t="s">
        <v>213</v>
      </c>
      <c r="W357" s="30"/>
      <c r="X357" s="29" t="s">
        <v>38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ht="21" customHeight="1" x14ac:dyDescent="0.3">
      <c r="A358" s="22">
        <v>354</v>
      </c>
      <c r="B358" s="23">
        <v>1</v>
      </c>
      <c r="C358" s="23" t="s">
        <v>212</v>
      </c>
      <c r="D358" s="23" t="str">
        <f>VLOOKUP(C358,'[1]1.CUADRO RESUMEN DE SITIOS '!$C$5:$L$1052,2,FALSE())</f>
        <v>BTA_00556</v>
      </c>
      <c r="E358" s="24">
        <f>VLOOKUP(C358,'[1]1.CUADRO RESUMEN DE SITIOS '!$C$5:$L$1052,3,FALSE())</f>
        <v>46002</v>
      </c>
      <c r="F358" s="23">
        <f>VLOOKUP(C358,'[1]1.CUADRO RESUMEN DE SITIOS '!$C$5:$L$1052,4,FALSE())</f>
        <v>4.5720520000000002</v>
      </c>
      <c r="G358" s="23">
        <f>VLOOKUP(C358,'[1]1.CUADRO RESUMEN DE SITIOS '!$C$5:$L$1052,5,FALSE())</f>
        <v>-74.151021999999998</v>
      </c>
      <c r="H358" s="23" t="str">
        <f>VLOOKUP(C358,'[1]1.CUADRO RESUMEN DE SITIOS '!$C$5:$L$1052,6,FALSE())</f>
        <v>Bogotá</v>
      </c>
      <c r="I358" s="23" t="str">
        <f>VLOOKUP(C358,'[1]1.CUADRO RESUMEN DE SITIOS '!$C$5:$L$1052,7,FALSE())</f>
        <v>WOM</v>
      </c>
      <c r="J358" s="25" t="str">
        <f>VLOOKUP(C358,'[1]1.CUADRO RESUMEN DE SITIOS '!$C$5:$L$1052,8,FALSE())</f>
        <v>CENTRO SUR/ NORTE</v>
      </c>
      <c r="K358" s="23" t="str">
        <f>VLOOKUP(C358,'[1]1.CUADRO RESUMEN DE SITIOS '!$C$5:$L$1052,9,FALSE())</f>
        <v>MARIA CAMILA TORRES</v>
      </c>
      <c r="L358" s="26" t="str">
        <f>VLOOKUP(C358,'[1]1.CUADRO RESUMEN DE SITIOS '!$C$5:$L$1052,10,FALSE())</f>
        <v>Terminado</v>
      </c>
      <c r="M358" s="26">
        <v>8828119921</v>
      </c>
      <c r="N358" s="26">
        <f>VLOOKUP(M358,[1]LPU!$A$2:$G$1512,2,FALSE())</f>
        <v>163</v>
      </c>
      <c r="O358" s="26" t="str">
        <f>VLOOKUP(M358,[1]LPU!$A$2:$G$1512,3,FALSE)</f>
        <v>Tansporte tipo A, ciudad principal y área metropolitana</v>
      </c>
      <c r="P358" s="26" t="str">
        <f>VLOOKUP(M358,[1]LPU!$A$2:$G$1512,4,FALSE())</f>
        <v>LOCATIVO</v>
      </c>
      <c r="Q358" s="26" t="str">
        <f>VLOOKUP(M358,[1]LPU!$A$2:$G$1512,5,FALSE())</f>
        <v>Global</v>
      </c>
      <c r="R358" s="27">
        <f>VLOOKUP(M358,[1]LPU!$A$2:$G$1512,6,FALSE())</f>
        <v>133571.54999999999</v>
      </c>
      <c r="S358" s="27" t="str">
        <f>VLOOKUP(M358,[1]LPU!$A$2:$G$1512,7,FALSE())</f>
        <v>LPU FLM</v>
      </c>
      <c r="T358" s="28">
        <v>1</v>
      </c>
      <c r="U358" s="29">
        <f t="shared" si="6"/>
        <v>133571.54999999999</v>
      </c>
      <c r="V358" s="29" t="s">
        <v>213</v>
      </c>
      <c r="W358" s="30"/>
      <c r="X358" s="29" t="s">
        <v>38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ht="21" customHeight="1" x14ac:dyDescent="0.3">
      <c r="A359" s="22">
        <v>355</v>
      </c>
      <c r="B359" s="23">
        <v>1</v>
      </c>
      <c r="C359" s="23" t="s">
        <v>212</v>
      </c>
      <c r="D359" s="23" t="str">
        <f>VLOOKUP(C359,'[1]1.CUADRO RESUMEN DE SITIOS '!$C$5:$L$1052,2,FALSE())</f>
        <v>BTA_00556</v>
      </c>
      <c r="E359" s="24">
        <f>VLOOKUP(C359,'[1]1.CUADRO RESUMEN DE SITIOS '!$C$5:$L$1052,3,FALSE())</f>
        <v>46002</v>
      </c>
      <c r="F359" s="23">
        <f>VLOOKUP(C359,'[1]1.CUADRO RESUMEN DE SITIOS '!$C$5:$L$1052,4,FALSE())</f>
        <v>4.5720520000000002</v>
      </c>
      <c r="G359" s="23">
        <f>VLOOKUP(C359,'[1]1.CUADRO RESUMEN DE SITIOS '!$C$5:$L$1052,5,FALSE())</f>
        <v>-74.151021999999998</v>
      </c>
      <c r="H359" s="23" t="str">
        <f>VLOOKUP(C359,'[1]1.CUADRO RESUMEN DE SITIOS '!$C$5:$L$1052,6,FALSE())</f>
        <v>Bogotá</v>
      </c>
      <c r="I359" s="23" t="str">
        <f>VLOOKUP(C359,'[1]1.CUADRO RESUMEN DE SITIOS '!$C$5:$L$1052,7,FALSE())</f>
        <v>WOM</v>
      </c>
      <c r="J359" s="25" t="str">
        <f>VLOOKUP(C359,'[1]1.CUADRO RESUMEN DE SITIOS '!$C$5:$L$1052,8,FALSE())</f>
        <v>CENTRO SUR/ NORTE</v>
      </c>
      <c r="K359" s="23" t="str">
        <f>VLOOKUP(C359,'[1]1.CUADRO RESUMEN DE SITIOS '!$C$5:$L$1052,9,FALSE())</f>
        <v>MARIA CAMILA TORRES</v>
      </c>
      <c r="L359" s="26" t="str">
        <f>VLOOKUP(C359,'[1]1.CUADRO RESUMEN DE SITIOS '!$C$5:$L$1052,10,FALSE())</f>
        <v>Terminado</v>
      </c>
      <c r="M359" s="26">
        <v>8828118950</v>
      </c>
      <c r="N359" s="26">
        <f>VLOOKUP(M359,[1]LPU!$A$2:$G$1512,2,FALSE())</f>
        <v>89</v>
      </c>
      <c r="O359" s="26" t="str">
        <f>VLOOKUP(M359,[1]LPU!$A$2:$G$1512,3,FALSE)</f>
        <v>Suministro e Instalacion de cable electrico encauchetado 4x8 multifilar</v>
      </c>
      <c r="P359" s="26" t="str">
        <f>VLOOKUP(M359,[1]LPU!$A$2:$G$1512,4,FALSE())</f>
        <v>ENERGÍA</v>
      </c>
      <c r="Q359" s="26" t="str">
        <f>VLOOKUP(M359,[1]LPU!$A$2:$G$1512,5,FALSE())</f>
        <v>ML</v>
      </c>
      <c r="R359" s="27">
        <f>VLOOKUP(M359,[1]LPU!$A$2:$G$1512,6,FALSE())</f>
        <v>24579</v>
      </c>
      <c r="S359" s="27" t="str">
        <f>VLOOKUP(M359,[1]LPU!$A$2:$G$1512,7,FALSE())</f>
        <v>LPU FLM</v>
      </c>
      <c r="T359" s="28">
        <v>15</v>
      </c>
      <c r="U359" s="29">
        <v>368679</v>
      </c>
      <c r="V359" s="29" t="s">
        <v>213</v>
      </c>
      <c r="W359" s="30"/>
      <c r="X359" s="29" t="s">
        <v>38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ht="21" customHeight="1" x14ac:dyDescent="0.3">
      <c r="A360" s="22">
        <v>356</v>
      </c>
      <c r="B360" s="23">
        <v>1</v>
      </c>
      <c r="C360" s="23" t="s">
        <v>214</v>
      </c>
      <c r="D360" s="23" t="str">
        <f>VLOOKUP(C360,'[1]1.CUADRO RESUMEN DE SITIOS '!$C$5:$L$1052,2,FALSE())</f>
        <v>BTA_00227</v>
      </c>
      <c r="E360" s="24">
        <f>VLOOKUP(C360,'[1]1.CUADRO RESUMEN DE SITIOS '!$C$5:$L$1052,3,FALSE())</f>
        <v>46006</v>
      </c>
      <c r="F360" s="23">
        <f>VLOOKUP(C360,'[1]1.CUADRO RESUMEN DE SITIOS '!$C$5:$L$1052,4,FALSE())</f>
        <v>4.6083699999999999</v>
      </c>
      <c r="G360" s="23">
        <f>VLOOKUP(C360,'[1]1.CUADRO RESUMEN DE SITIOS '!$C$5:$L$1052,5,FALSE())</f>
        <v>-74.076868000000005</v>
      </c>
      <c r="H360" s="23" t="str">
        <f>VLOOKUP(C360,'[1]1.CUADRO RESUMEN DE SITIOS '!$C$5:$L$1052,6,FALSE())</f>
        <v>Bogotá</v>
      </c>
      <c r="I360" s="23" t="str">
        <f>VLOOKUP(C360,'[1]1.CUADRO RESUMEN DE SITIOS '!$C$5:$L$1052,7,FALSE())</f>
        <v>WOM</v>
      </c>
      <c r="J360" s="25" t="str">
        <f>VLOOKUP(C360,'[1]1.CUADRO RESUMEN DE SITIOS '!$C$5:$L$1052,8,FALSE())</f>
        <v>CENTRO SUR/ NORTE</v>
      </c>
      <c r="K360" s="23" t="str">
        <f>VLOOKUP(C360,'[1]1.CUADRO RESUMEN DE SITIOS '!$C$5:$L$1052,9,FALSE())</f>
        <v>MARIA CAMILA TORRES</v>
      </c>
      <c r="L360" s="26" t="str">
        <f>VLOOKUP(C360,'[1]1.CUADRO RESUMEN DE SITIOS '!$C$5:$L$1052,10,FALSE())</f>
        <v>Terminado</v>
      </c>
      <c r="M360" s="26">
        <v>8828118899</v>
      </c>
      <c r="N360" s="26">
        <f>VLOOKUP(M360,[1]LPU!$A$2:$G$1512,2,FALSE())</f>
        <v>3.03</v>
      </c>
      <c r="O360" s="26" t="str">
        <f>VLOOKUP(M360,[1]LPU!$A$2:$G$1512,3,FALSE)</f>
        <v>Alistado de piso en mortero 1:4 impermeabilizado con sika 1, con espesor máximo =0.05m con pendientados para sifones. Incluye aditivo Sika látex o similar para adherencia a concreto inicial. Incluye dilataciones cada 3 o 4 metros.</v>
      </c>
      <c r="P360" s="26" t="str">
        <f>VLOOKUP(M360,[1]LPU!$A$2:$G$1512,4,FALSE())</f>
        <v>Mantenimiento CW</v>
      </c>
      <c r="Q360" s="26" t="str">
        <f>VLOOKUP(M360,[1]LPU!$A$2:$G$1512,5,FALSE())</f>
        <v>M2</v>
      </c>
      <c r="R360" s="27">
        <f>VLOOKUP(M360,[1]LPU!$A$2:$G$1512,6,FALSE())</f>
        <v>33869.1</v>
      </c>
      <c r="S360" s="27" t="str">
        <f>VLOOKUP(M360,[1]LPU!$A$2:$G$1512,7,FALSE())</f>
        <v>Mantenimiento CW</v>
      </c>
      <c r="T360" s="28">
        <v>45.01</v>
      </c>
      <c r="U360" s="29">
        <f t="shared" ref="U360:U614" si="7">T360*R360</f>
        <v>1524448.1909999999</v>
      </c>
      <c r="V360" s="29" t="s">
        <v>215</v>
      </c>
      <c r="W360" s="30"/>
      <c r="X360" s="29" t="s">
        <v>27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ht="21" customHeight="1" x14ac:dyDescent="0.3">
      <c r="A361" s="22">
        <v>357</v>
      </c>
      <c r="B361" s="23">
        <v>1</v>
      </c>
      <c r="C361" s="23" t="s">
        <v>214</v>
      </c>
      <c r="D361" s="23" t="str">
        <f>VLOOKUP(C361,'[1]1.CUADRO RESUMEN DE SITIOS '!$C$5:$L$1052,2,FALSE())</f>
        <v>BTA_00227</v>
      </c>
      <c r="E361" s="24">
        <f>VLOOKUP(C361,'[1]1.CUADRO RESUMEN DE SITIOS '!$C$5:$L$1052,3,FALSE())</f>
        <v>46006</v>
      </c>
      <c r="F361" s="23">
        <f>VLOOKUP(C361,'[1]1.CUADRO RESUMEN DE SITIOS '!$C$5:$L$1052,4,FALSE())</f>
        <v>4.6083699999999999</v>
      </c>
      <c r="G361" s="23">
        <f>VLOOKUP(C361,'[1]1.CUADRO RESUMEN DE SITIOS '!$C$5:$L$1052,5,FALSE())</f>
        <v>-74.076868000000005</v>
      </c>
      <c r="H361" s="23" t="str">
        <f>VLOOKUP(C361,'[1]1.CUADRO RESUMEN DE SITIOS '!$C$5:$L$1052,6,FALSE())</f>
        <v>Bogotá</v>
      </c>
      <c r="I361" s="23" t="str">
        <f>VLOOKUP(C361,'[1]1.CUADRO RESUMEN DE SITIOS '!$C$5:$L$1052,7,FALSE())</f>
        <v>WOM</v>
      </c>
      <c r="J361" s="25" t="str">
        <f>VLOOKUP(C361,'[1]1.CUADRO RESUMEN DE SITIOS '!$C$5:$L$1052,8,FALSE())</f>
        <v>CENTRO SUR/ NORTE</v>
      </c>
      <c r="K361" s="23" t="str">
        <f>VLOOKUP(C361,'[1]1.CUADRO RESUMEN DE SITIOS '!$C$5:$L$1052,9,FALSE())</f>
        <v>MARIA CAMILA TORRES</v>
      </c>
      <c r="L361" s="26" t="str">
        <f>VLOOKUP(C361,'[1]1.CUADRO RESUMEN DE SITIOS '!$C$5:$L$1052,10,FALSE())</f>
        <v>Terminado</v>
      </c>
      <c r="M361" s="26">
        <v>8828119921</v>
      </c>
      <c r="N361" s="26">
        <f>VLOOKUP(M361,[1]LPU!$A$2:$G$1512,2,FALSE())</f>
        <v>163</v>
      </c>
      <c r="O361" s="26" t="str">
        <f>VLOOKUP(M361,[1]LPU!$A$2:$G$1512,3,FALSE)</f>
        <v>Tansporte tipo A, ciudad principal y área metropolitana</v>
      </c>
      <c r="P361" s="26" t="str">
        <f>VLOOKUP(M361,[1]LPU!$A$2:$G$1512,4,FALSE())</f>
        <v>LOCATIVO</v>
      </c>
      <c r="Q361" s="26" t="str">
        <f>VLOOKUP(M361,[1]LPU!$A$2:$G$1512,5,FALSE())</f>
        <v>Global</v>
      </c>
      <c r="R361" s="27">
        <f>VLOOKUP(M361,[1]LPU!$A$2:$G$1512,6,FALSE())</f>
        <v>133571.54999999999</v>
      </c>
      <c r="S361" s="27" t="str">
        <f>VLOOKUP(M361,[1]LPU!$A$2:$G$1512,7,FALSE())</f>
        <v>LPU FLM</v>
      </c>
      <c r="T361" s="28">
        <v>1</v>
      </c>
      <c r="U361" s="29">
        <f t="shared" si="7"/>
        <v>133571.54999999999</v>
      </c>
      <c r="V361" s="29" t="s">
        <v>215</v>
      </c>
      <c r="W361" s="30"/>
      <c r="X361" s="29" t="s">
        <v>27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ht="21" customHeight="1" x14ac:dyDescent="0.3">
      <c r="A362" s="22">
        <v>358</v>
      </c>
      <c r="B362" s="23">
        <v>1</v>
      </c>
      <c r="C362" s="23" t="s">
        <v>214</v>
      </c>
      <c r="D362" s="23" t="str">
        <f>VLOOKUP(C362,'[1]1.CUADRO RESUMEN DE SITIOS '!$C$5:$L$1052,2,FALSE())</f>
        <v>BTA_00227</v>
      </c>
      <c r="E362" s="24">
        <f>VLOOKUP(C362,'[1]1.CUADRO RESUMEN DE SITIOS '!$C$5:$L$1052,3,FALSE())</f>
        <v>46006</v>
      </c>
      <c r="F362" s="23">
        <f>VLOOKUP(C362,'[1]1.CUADRO RESUMEN DE SITIOS '!$C$5:$L$1052,4,FALSE())</f>
        <v>4.6083699999999999</v>
      </c>
      <c r="G362" s="23">
        <f>VLOOKUP(C362,'[1]1.CUADRO RESUMEN DE SITIOS '!$C$5:$L$1052,5,FALSE())</f>
        <v>-74.076868000000005</v>
      </c>
      <c r="H362" s="23" t="str">
        <f>VLOOKUP(C362,'[1]1.CUADRO RESUMEN DE SITIOS '!$C$5:$L$1052,6,FALSE())</f>
        <v>Bogotá</v>
      </c>
      <c r="I362" s="23" t="str">
        <f>VLOOKUP(C362,'[1]1.CUADRO RESUMEN DE SITIOS '!$C$5:$L$1052,7,FALSE())</f>
        <v>WOM</v>
      </c>
      <c r="J362" s="25" t="str">
        <f>VLOOKUP(C362,'[1]1.CUADRO RESUMEN DE SITIOS '!$C$5:$L$1052,8,FALSE())</f>
        <v>CENTRO SUR/ NORTE</v>
      </c>
      <c r="K362" s="23" t="str">
        <f>VLOOKUP(C362,'[1]1.CUADRO RESUMEN DE SITIOS '!$C$5:$L$1052,9,FALSE())</f>
        <v>MARIA CAMILA TORRES</v>
      </c>
      <c r="L362" s="26" t="str">
        <f>VLOOKUP(C362,'[1]1.CUADRO RESUMEN DE SITIOS '!$C$5:$L$1052,10,FALSE())</f>
        <v>Terminado</v>
      </c>
      <c r="M362" s="26">
        <v>8828120008</v>
      </c>
      <c r="N362" s="26">
        <f>VLOOKUP(M362,[1]LPU!$A$2:$G$1512,2,FALSE())</f>
        <v>4.37</v>
      </c>
      <c r="O362" s="26" t="str">
        <f>VLOOKUP(M362,[1]LPU!$A$2:$G$1512,3,FALSE)</f>
        <v>Impermeabilización manto fiberglass con foil de aluminio e= 0,03( incluye imprimación de emulsión asfáltica, nivelaciones, sellamiento en los traslapos y aplicación de pintura en aluminio bituminoso)</v>
      </c>
      <c r="P362" s="26" t="str">
        <f>VLOOKUP(M362,[1]LPU!$A$2:$G$1512,4,FALSE())</f>
        <v>Mantenimiento CW</v>
      </c>
      <c r="Q362" s="26" t="str">
        <f>VLOOKUP(M362,[1]LPU!$A$2:$G$1512,5,FALSE())</f>
        <v>M2</v>
      </c>
      <c r="R362" s="27">
        <f>VLOOKUP(M362,[1]LPU!$A$2:$G$1512,6,FALSE())</f>
        <v>47196.25</v>
      </c>
      <c r="S362" s="27" t="str">
        <f>VLOOKUP(M362,[1]LPU!$A$2:$G$1512,7,FALSE())</f>
        <v>Mantenimiento CW</v>
      </c>
      <c r="T362" s="28">
        <v>10</v>
      </c>
      <c r="U362" s="29">
        <f t="shared" si="7"/>
        <v>471962.5</v>
      </c>
      <c r="V362" s="29" t="s">
        <v>215</v>
      </c>
      <c r="W362" s="30"/>
      <c r="X362" s="29" t="s">
        <v>27</v>
      </c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ht="21" customHeight="1" x14ac:dyDescent="0.3">
      <c r="A363" s="22">
        <v>359</v>
      </c>
      <c r="B363" s="23">
        <v>1</v>
      </c>
      <c r="C363" s="23" t="s">
        <v>214</v>
      </c>
      <c r="D363" s="23" t="str">
        <f>VLOOKUP(C363,'[1]1.CUADRO RESUMEN DE SITIOS '!$C$5:$L$1052,2,FALSE())</f>
        <v>BTA_00227</v>
      </c>
      <c r="E363" s="24">
        <f>VLOOKUP(C363,'[1]1.CUADRO RESUMEN DE SITIOS '!$C$5:$L$1052,3,FALSE())</f>
        <v>46006</v>
      </c>
      <c r="F363" s="23">
        <f>VLOOKUP(C363,'[1]1.CUADRO RESUMEN DE SITIOS '!$C$5:$L$1052,4,FALSE())</f>
        <v>4.6083699999999999</v>
      </c>
      <c r="G363" s="23">
        <f>VLOOKUP(C363,'[1]1.CUADRO RESUMEN DE SITIOS '!$C$5:$L$1052,5,FALSE())</f>
        <v>-74.076868000000005</v>
      </c>
      <c r="H363" s="23" t="str">
        <f>VLOOKUP(C363,'[1]1.CUADRO RESUMEN DE SITIOS '!$C$5:$L$1052,6,FALSE())</f>
        <v>Bogotá</v>
      </c>
      <c r="I363" s="23" t="str">
        <f>VLOOKUP(C363,'[1]1.CUADRO RESUMEN DE SITIOS '!$C$5:$L$1052,7,FALSE())</f>
        <v>WOM</v>
      </c>
      <c r="J363" s="25" t="str">
        <f>VLOOKUP(C363,'[1]1.CUADRO RESUMEN DE SITIOS '!$C$5:$L$1052,8,FALSE())</f>
        <v>CENTRO SUR/ NORTE</v>
      </c>
      <c r="K363" s="23" t="str">
        <f>VLOOKUP(C363,'[1]1.CUADRO RESUMEN DE SITIOS '!$C$5:$L$1052,9,FALSE())</f>
        <v>MARIA CAMILA TORRES</v>
      </c>
      <c r="L363" s="26" t="str">
        <f>VLOOKUP(C363,'[1]1.CUADRO RESUMEN DE SITIOS '!$C$5:$L$1052,10,FALSE())</f>
        <v>Terminado</v>
      </c>
      <c r="M363" s="26">
        <v>8828120092</v>
      </c>
      <c r="N363" s="26">
        <f>VLOOKUP(M363,[1]LPU!$A$2:$G$1512,2,FALSE())</f>
        <v>4.46</v>
      </c>
      <c r="O363" s="26" t="str">
        <f>VLOOKUP(M363,[1]LPU!$A$2:$G$1512,3,FALSE)</f>
        <v>Suministro e instalación de pintura bituminosa</v>
      </c>
      <c r="P363" s="26" t="str">
        <f>VLOOKUP(M363,[1]LPU!$A$2:$G$1512,4,FALSE())</f>
        <v>Mantenimiento CW</v>
      </c>
      <c r="Q363" s="26" t="str">
        <f>VLOOKUP(M363,[1]LPU!$A$2:$G$1512,5,FALSE())</f>
        <v>M2</v>
      </c>
      <c r="R363" s="27">
        <f>VLOOKUP(M363,[1]LPU!$A$2:$G$1512,6,FALSE())</f>
        <v>22059.200000000001</v>
      </c>
      <c r="S363" s="27" t="str">
        <f>VLOOKUP(M363,[1]LPU!$A$2:$G$1512,7,FALSE())</f>
        <v>Mantenimiento CW</v>
      </c>
      <c r="T363" s="28">
        <v>50</v>
      </c>
      <c r="U363" s="29">
        <f t="shared" si="7"/>
        <v>1102960</v>
      </c>
      <c r="V363" s="29" t="s">
        <v>215</v>
      </c>
      <c r="W363" s="30"/>
      <c r="X363" s="29" t="s">
        <v>27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ht="21" customHeight="1" x14ac:dyDescent="0.3">
      <c r="A364" s="22">
        <v>360</v>
      </c>
      <c r="B364" s="23">
        <v>1</v>
      </c>
      <c r="C364" s="23" t="s">
        <v>214</v>
      </c>
      <c r="D364" s="23" t="str">
        <f>VLOOKUP(C364,'[1]1.CUADRO RESUMEN DE SITIOS '!$C$5:$L$1052,2,FALSE())</f>
        <v>BTA_00227</v>
      </c>
      <c r="E364" s="24">
        <f>VLOOKUP(C364,'[1]1.CUADRO RESUMEN DE SITIOS '!$C$5:$L$1052,3,FALSE())</f>
        <v>46006</v>
      </c>
      <c r="F364" s="23">
        <f>VLOOKUP(C364,'[1]1.CUADRO RESUMEN DE SITIOS '!$C$5:$L$1052,4,FALSE())</f>
        <v>4.6083699999999999</v>
      </c>
      <c r="G364" s="23">
        <f>VLOOKUP(C364,'[1]1.CUADRO RESUMEN DE SITIOS '!$C$5:$L$1052,5,FALSE())</f>
        <v>-74.076868000000005</v>
      </c>
      <c r="H364" s="23" t="str">
        <f>VLOOKUP(C364,'[1]1.CUADRO RESUMEN DE SITIOS '!$C$5:$L$1052,6,FALSE())</f>
        <v>Bogotá</v>
      </c>
      <c r="I364" s="23" t="str">
        <f>VLOOKUP(C364,'[1]1.CUADRO RESUMEN DE SITIOS '!$C$5:$L$1052,7,FALSE())</f>
        <v>WOM</v>
      </c>
      <c r="J364" s="25" t="str">
        <f>VLOOKUP(C364,'[1]1.CUADRO RESUMEN DE SITIOS '!$C$5:$L$1052,8,FALSE())</f>
        <v>CENTRO SUR/ NORTE</v>
      </c>
      <c r="K364" s="23" t="str">
        <f>VLOOKUP(C364,'[1]1.CUADRO RESUMEN DE SITIOS '!$C$5:$L$1052,9,FALSE())</f>
        <v>MARIA CAMILA TORRES</v>
      </c>
      <c r="L364" s="26" t="str">
        <f>VLOOKUP(C364,'[1]1.CUADRO RESUMEN DE SITIOS '!$C$5:$L$1052,10,FALSE())</f>
        <v>Terminado</v>
      </c>
      <c r="M364" s="26">
        <v>8828119921</v>
      </c>
      <c r="N364" s="26">
        <f>VLOOKUP(M364,[1]LPU!$A$2:$G$1512,2,FALSE())</f>
        <v>163</v>
      </c>
      <c r="O364" s="26" t="str">
        <f>VLOOKUP(M364,[1]LPU!$A$2:$G$1512,3,FALSE)</f>
        <v>Tansporte tipo A, ciudad principal y área metropolitana</v>
      </c>
      <c r="P364" s="26" t="str">
        <f>VLOOKUP(M364,[1]LPU!$A$2:$G$1512,4,FALSE())</f>
        <v>LOCATIVO</v>
      </c>
      <c r="Q364" s="26" t="str">
        <f>VLOOKUP(M364,[1]LPU!$A$2:$G$1512,5,FALSE())</f>
        <v>Global</v>
      </c>
      <c r="R364" s="27">
        <f>VLOOKUP(M364,[1]LPU!$A$2:$G$1512,6,FALSE())</f>
        <v>133571.54999999999</v>
      </c>
      <c r="S364" s="27" t="str">
        <f>VLOOKUP(M364,[1]LPU!$A$2:$G$1512,7,FALSE())</f>
        <v>LPU FLM</v>
      </c>
      <c r="T364" s="28">
        <v>1</v>
      </c>
      <c r="U364" s="29">
        <f t="shared" si="7"/>
        <v>133571.54999999999</v>
      </c>
      <c r="V364" s="29" t="s">
        <v>215</v>
      </c>
      <c r="W364" s="30"/>
      <c r="X364" s="29" t="s">
        <v>27</v>
      </c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ht="21" customHeight="1" x14ac:dyDescent="0.3">
      <c r="A365" s="22">
        <v>361</v>
      </c>
      <c r="B365" s="23">
        <v>1</v>
      </c>
      <c r="C365" s="23" t="s">
        <v>214</v>
      </c>
      <c r="D365" s="23" t="str">
        <f>VLOOKUP(C365,'[1]1.CUADRO RESUMEN DE SITIOS '!$C$5:$L$1052,2,FALSE())</f>
        <v>BTA_00227</v>
      </c>
      <c r="E365" s="24">
        <f>VLOOKUP(C365,'[1]1.CUADRO RESUMEN DE SITIOS '!$C$5:$L$1052,3,FALSE())</f>
        <v>46006</v>
      </c>
      <c r="F365" s="23">
        <f>VLOOKUP(C365,'[1]1.CUADRO RESUMEN DE SITIOS '!$C$5:$L$1052,4,FALSE())</f>
        <v>4.6083699999999999</v>
      </c>
      <c r="G365" s="23">
        <f>VLOOKUP(C365,'[1]1.CUADRO RESUMEN DE SITIOS '!$C$5:$L$1052,5,FALSE())</f>
        <v>-74.076868000000005</v>
      </c>
      <c r="H365" s="23" t="str">
        <f>VLOOKUP(C365,'[1]1.CUADRO RESUMEN DE SITIOS '!$C$5:$L$1052,6,FALSE())</f>
        <v>Bogotá</v>
      </c>
      <c r="I365" s="23" t="str">
        <f>VLOOKUP(C365,'[1]1.CUADRO RESUMEN DE SITIOS '!$C$5:$L$1052,7,FALSE())</f>
        <v>WOM</v>
      </c>
      <c r="J365" s="25" t="str">
        <f>VLOOKUP(C365,'[1]1.CUADRO RESUMEN DE SITIOS '!$C$5:$L$1052,8,FALSE())</f>
        <v>CENTRO SUR/ NORTE</v>
      </c>
      <c r="K365" s="23" t="str">
        <f>VLOOKUP(C365,'[1]1.CUADRO RESUMEN DE SITIOS '!$C$5:$L$1052,9,FALSE())</f>
        <v>MARIA CAMILA TORRES</v>
      </c>
      <c r="L365" s="26" t="str">
        <f>VLOOKUP(C365,'[1]1.CUADRO RESUMEN DE SITIOS '!$C$5:$L$1052,10,FALSE())</f>
        <v>Terminado</v>
      </c>
      <c r="M365" s="26">
        <v>8828120008</v>
      </c>
      <c r="N365" s="26">
        <f>VLOOKUP(M365,[1]LPU!$A$2:$G$1512,2,FALSE())</f>
        <v>4.37</v>
      </c>
      <c r="O365" s="26" t="str">
        <f>VLOOKUP(M365,[1]LPU!$A$2:$G$1512,3,FALSE)</f>
        <v>Impermeabilización manto fiberglass con foil de aluminio e= 0,03( incluye imprimación de emulsión asfáltica, nivelaciones, sellamiento en los traslapos y aplicación de pintura en aluminio bituminoso)</v>
      </c>
      <c r="P365" s="26" t="str">
        <f>VLOOKUP(M365,[1]LPU!$A$2:$G$1512,4,FALSE())</f>
        <v>Mantenimiento CW</v>
      </c>
      <c r="Q365" s="26" t="str">
        <f>VLOOKUP(M365,[1]LPU!$A$2:$G$1512,5,FALSE())</f>
        <v>M2</v>
      </c>
      <c r="R365" s="27">
        <f>VLOOKUP(M365,[1]LPU!$A$2:$G$1512,6,FALSE())</f>
        <v>47196.25</v>
      </c>
      <c r="S365" s="27" t="str">
        <f>VLOOKUP(M365,[1]LPU!$A$2:$G$1512,7,FALSE())</f>
        <v>Mantenimiento CW</v>
      </c>
      <c r="T365" s="28">
        <v>50.01</v>
      </c>
      <c r="U365" s="29">
        <f t="shared" si="7"/>
        <v>2360284.4624999999</v>
      </c>
      <c r="V365" s="29" t="s">
        <v>215</v>
      </c>
      <c r="W365" s="30"/>
      <c r="X365" s="29" t="s">
        <v>27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ht="21" customHeight="1" x14ac:dyDescent="0.3">
      <c r="A366" s="22">
        <v>362</v>
      </c>
      <c r="B366" s="23">
        <v>1</v>
      </c>
      <c r="C366" s="23" t="s">
        <v>216</v>
      </c>
      <c r="D366" s="23" t="str">
        <f>VLOOKUP(C366,'[1]1.CUADRO RESUMEN DE SITIOS '!$C$5:$L$1052,2,FALSE())</f>
        <v>BTA_01118</v>
      </c>
      <c r="E366" s="24">
        <f>VLOOKUP(C366,'[1]1.CUADRO RESUMEN DE SITIOS '!$C$5:$L$1052,3,FALSE())</f>
        <v>46002</v>
      </c>
      <c r="F366" s="23">
        <f>VLOOKUP(C366,'[1]1.CUADRO RESUMEN DE SITIOS '!$C$5:$L$1052,4,FALSE())</f>
        <v>4.7185569999999997</v>
      </c>
      <c r="G366" s="23">
        <f>VLOOKUP(C366,'[1]1.CUADRO RESUMEN DE SITIOS '!$C$5:$L$1052,5,FALSE())</f>
        <v>-74.102427000000006</v>
      </c>
      <c r="H366" s="23" t="str">
        <f>VLOOKUP(C366,'[1]1.CUADRO RESUMEN DE SITIOS '!$C$5:$L$1052,6,FALSE())</f>
        <v>Bogotá</v>
      </c>
      <c r="I366" s="23" t="str">
        <f>VLOOKUP(C366,'[1]1.CUADRO RESUMEN DE SITIOS '!$C$5:$L$1052,7,FALSE())</f>
        <v>WOM</v>
      </c>
      <c r="J366" s="25" t="str">
        <f>VLOOKUP(C366,'[1]1.CUADRO RESUMEN DE SITIOS '!$C$5:$L$1052,8,FALSE())</f>
        <v>CENTRO SUR/ NORTE</v>
      </c>
      <c r="K366" s="23" t="str">
        <f>VLOOKUP(C366,'[1]1.CUADRO RESUMEN DE SITIOS '!$C$5:$L$1052,9,FALSE())</f>
        <v>Maria Camila Torres</v>
      </c>
      <c r="L366" s="26" t="str">
        <f>VLOOKUP(C366,'[1]1.CUADRO RESUMEN DE SITIOS '!$C$5:$L$1052,10,FALSE())</f>
        <v>Terminado</v>
      </c>
      <c r="M366" s="26">
        <v>8828119673</v>
      </c>
      <c r="N366" s="26">
        <f>VLOOKUP(M366,[1]LPU!$A$2:$G$1512,2,FALSE())</f>
        <v>1.05</v>
      </c>
      <c r="O366" s="26" t="str">
        <f>VLOOKUP(M366,[1]LPU!$A$2:$G$1512,3,FALSE)</f>
        <v>Regatas en concreto, incluye herramientas manuales o mecánicas requeridas para la ejecución. Incluye limpieza de área, retiro y disposición de escombros en escombrera autorizada.</v>
      </c>
      <c r="P366" s="26" t="str">
        <f>VLOOKUP(M366,[1]LPU!$A$2:$G$1512,4,FALSE())</f>
        <v>Mantenimiento CW</v>
      </c>
      <c r="Q366" s="26" t="str">
        <f>VLOOKUP(M366,[1]LPU!$A$2:$G$1512,5,FALSE())</f>
        <v>ML</v>
      </c>
      <c r="R366" s="27">
        <f>VLOOKUP(M366,[1]LPU!$A$2:$G$1512,6,FALSE())</f>
        <v>31245.15</v>
      </c>
      <c r="S366" s="27" t="str">
        <f>VLOOKUP(M366,[1]LPU!$A$2:$G$1512,7,FALSE())</f>
        <v>Mantenimiento CW</v>
      </c>
      <c r="T366" s="28">
        <v>1.5</v>
      </c>
      <c r="U366" s="29">
        <f t="shared" si="7"/>
        <v>46867.725000000006</v>
      </c>
      <c r="V366" s="29" t="s">
        <v>217</v>
      </c>
      <c r="W366" s="30"/>
      <c r="X366" s="29" t="s">
        <v>38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ht="21" customHeight="1" x14ac:dyDescent="0.3">
      <c r="A367" s="22">
        <v>363</v>
      </c>
      <c r="B367" s="23">
        <v>1</v>
      </c>
      <c r="C367" s="23" t="s">
        <v>216</v>
      </c>
      <c r="D367" s="23" t="str">
        <f>VLOOKUP(C367,'[1]1.CUADRO RESUMEN DE SITIOS '!$C$5:$L$1052,2,FALSE())</f>
        <v>BTA_01118</v>
      </c>
      <c r="E367" s="24">
        <f>VLOOKUP(C367,'[1]1.CUADRO RESUMEN DE SITIOS '!$C$5:$L$1052,3,FALSE())</f>
        <v>46002</v>
      </c>
      <c r="F367" s="23">
        <f>VLOOKUP(C367,'[1]1.CUADRO RESUMEN DE SITIOS '!$C$5:$L$1052,4,FALSE())</f>
        <v>4.7185569999999997</v>
      </c>
      <c r="G367" s="23">
        <f>VLOOKUP(C367,'[1]1.CUADRO RESUMEN DE SITIOS '!$C$5:$L$1052,5,FALSE())</f>
        <v>-74.102427000000006</v>
      </c>
      <c r="H367" s="23" t="str">
        <f>VLOOKUP(C367,'[1]1.CUADRO RESUMEN DE SITIOS '!$C$5:$L$1052,6,FALSE())</f>
        <v>Bogotá</v>
      </c>
      <c r="I367" s="23" t="str">
        <f>VLOOKUP(C367,'[1]1.CUADRO RESUMEN DE SITIOS '!$C$5:$L$1052,7,FALSE())</f>
        <v>WOM</v>
      </c>
      <c r="J367" s="25" t="str">
        <f>VLOOKUP(C367,'[1]1.CUADRO RESUMEN DE SITIOS '!$C$5:$L$1052,8,FALSE())</f>
        <v>CENTRO SUR/ NORTE</v>
      </c>
      <c r="K367" s="23" t="str">
        <f>VLOOKUP(C367,'[1]1.CUADRO RESUMEN DE SITIOS '!$C$5:$L$1052,9,FALSE())</f>
        <v>Maria Camila Torres</v>
      </c>
      <c r="L367" s="26" t="str">
        <f>VLOOKUP(C367,'[1]1.CUADRO RESUMEN DE SITIOS '!$C$5:$L$1052,10,FALSE())</f>
        <v>Terminado</v>
      </c>
      <c r="M367" s="26">
        <v>8828118899</v>
      </c>
      <c r="N367" s="26">
        <f>VLOOKUP(M367,[1]LPU!$A$2:$G$1512,2,FALSE())</f>
        <v>3.03</v>
      </c>
      <c r="O367" s="26" t="str">
        <f>VLOOKUP(M367,[1]LPU!$A$2:$G$1512,3,FALSE)</f>
        <v>Alistado de piso en mortero 1:4 impermeabilizado con sika 1, con espesor máximo =0.05m con pendientados para sifones. Incluye aditivo Sika látex o similar para adherencia a concreto inicial. Incluye dilataciones cada 3 o 4 metros.</v>
      </c>
      <c r="P367" s="26" t="str">
        <f>VLOOKUP(M367,[1]LPU!$A$2:$G$1512,4,FALSE())</f>
        <v>Mantenimiento CW</v>
      </c>
      <c r="Q367" s="26" t="str">
        <f>VLOOKUP(M367,[1]LPU!$A$2:$G$1512,5,FALSE())</f>
        <v>M2</v>
      </c>
      <c r="R367" s="27">
        <f>VLOOKUP(M367,[1]LPU!$A$2:$G$1512,6,FALSE())</f>
        <v>33869.1</v>
      </c>
      <c r="S367" s="27" t="str">
        <f>VLOOKUP(M367,[1]LPU!$A$2:$G$1512,7,FALSE())</f>
        <v>Mantenimiento CW</v>
      </c>
      <c r="T367" s="28">
        <v>5</v>
      </c>
      <c r="U367" s="29">
        <f t="shared" si="7"/>
        <v>169345.5</v>
      </c>
      <c r="V367" s="29" t="s">
        <v>217</v>
      </c>
      <c r="W367" s="30"/>
      <c r="X367" s="29" t="s">
        <v>38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ht="21" customHeight="1" x14ac:dyDescent="0.3">
      <c r="A368" s="22">
        <v>364</v>
      </c>
      <c r="B368" s="23">
        <v>1</v>
      </c>
      <c r="C368" s="23" t="s">
        <v>216</v>
      </c>
      <c r="D368" s="23" t="str">
        <f>VLOOKUP(C368,'[1]1.CUADRO RESUMEN DE SITIOS '!$C$5:$L$1052,2,FALSE())</f>
        <v>BTA_01118</v>
      </c>
      <c r="E368" s="24">
        <f>VLOOKUP(C368,'[1]1.CUADRO RESUMEN DE SITIOS '!$C$5:$L$1052,3,FALSE())</f>
        <v>46002</v>
      </c>
      <c r="F368" s="23">
        <f>VLOOKUP(C368,'[1]1.CUADRO RESUMEN DE SITIOS '!$C$5:$L$1052,4,FALSE())</f>
        <v>4.7185569999999997</v>
      </c>
      <c r="G368" s="23">
        <f>VLOOKUP(C368,'[1]1.CUADRO RESUMEN DE SITIOS '!$C$5:$L$1052,5,FALSE())</f>
        <v>-74.102427000000006</v>
      </c>
      <c r="H368" s="23" t="str">
        <f>VLOOKUP(C368,'[1]1.CUADRO RESUMEN DE SITIOS '!$C$5:$L$1052,6,FALSE())</f>
        <v>Bogotá</v>
      </c>
      <c r="I368" s="23" t="str">
        <f>VLOOKUP(C368,'[1]1.CUADRO RESUMEN DE SITIOS '!$C$5:$L$1052,7,FALSE())</f>
        <v>WOM</v>
      </c>
      <c r="J368" s="25" t="str">
        <f>VLOOKUP(C368,'[1]1.CUADRO RESUMEN DE SITIOS '!$C$5:$L$1052,8,FALSE())</f>
        <v>CENTRO SUR/ NORTE</v>
      </c>
      <c r="K368" s="23" t="str">
        <f>VLOOKUP(C368,'[1]1.CUADRO RESUMEN DE SITIOS '!$C$5:$L$1052,9,FALSE())</f>
        <v>Maria Camila Torres</v>
      </c>
      <c r="L368" s="26" t="str">
        <f>VLOOKUP(C368,'[1]1.CUADRO RESUMEN DE SITIOS '!$C$5:$L$1052,10,FALSE())</f>
        <v>Terminado</v>
      </c>
      <c r="M368" s="26">
        <v>8828119900</v>
      </c>
      <c r="N368" s="26">
        <f>VLOOKUP(M368,[1]LPU!$A$2:$G$1512,2,FALSE())</f>
        <v>4.26</v>
      </c>
      <c r="O368" s="26" t="str">
        <f>VLOOKUP(M368,[1]LPU!$A$2:$G$1512,3,FALSE)</f>
        <v>Mantenimiento de puerta metálica hoja sencilla en lamina doblada cold rolled cal. 16. entamborada Pintada con Anticorrosivo y acabado en esmalte, incluye raspado, cambio de bisagras, arreglo de chapas, arreglo o cambio de marco.</v>
      </c>
      <c r="P368" s="26" t="str">
        <f>VLOOKUP(M368,[1]LPU!$A$2:$G$1512,4,FALSE())</f>
        <v>Mantenimiento CW</v>
      </c>
      <c r="Q368" s="26" t="str">
        <f>VLOOKUP(M368,[1]LPU!$A$2:$G$1512,5,FALSE())</f>
        <v>GL</v>
      </c>
      <c r="R368" s="27">
        <f>VLOOKUP(M368,[1]LPU!$A$2:$G$1512,6,FALSE())</f>
        <v>267028.34999999998</v>
      </c>
      <c r="S368" s="27" t="str">
        <f>VLOOKUP(M368,[1]LPU!$A$2:$G$1512,7,FALSE())</f>
        <v>Mantenimiento CW</v>
      </c>
      <c r="T368" s="28">
        <v>1</v>
      </c>
      <c r="U368" s="29">
        <f t="shared" si="7"/>
        <v>267028.34999999998</v>
      </c>
      <c r="V368" s="29" t="s">
        <v>217</v>
      </c>
      <c r="W368" s="30"/>
      <c r="X368" s="29" t="s">
        <v>38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ht="21" customHeight="1" x14ac:dyDescent="0.3">
      <c r="A369" s="22">
        <v>365</v>
      </c>
      <c r="B369" s="23">
        <v>1</v>
      </c>
      <c r="C369" s="23" t="s">
        <v>216</v>
      </c>
      <c r="D369" s="23" t="str">
        <f>VLOOKUP(C369,'[1]1.CUADRO RESUMEN DE SITIOS '!$C$5:$L$1052,2,FALSE())</f>
        <v>BTA_01118</v>
      </c>
      <c r="E369" s="24">
        <f>VLOOKUP(C369,'[1]1.CUADRO RESUMEN DE SITIOS '!$C$5:$L$1052,3,FALSE())</f>
        <v>46002</v>
      </c>
      <c r="F369" s="23">
        <f>VLOOKUP(C369,'[1]1.CUADRO RESUMEN DE SITIOS '!$C$5:$L$1052,4,FALSE())</f>
        <v>4.7185569999999997</v>
      </c>
      <c r="G369" s="23">
        <f>VLOOKUP(C369,'[1]1.CUADRO RESUMEN DE SITIOS '!$C$5:$L$1052,5,FALSE())</f>
        <v>-74.102427000000006</v>
      </c>
      <c r="H369" s="23" t="str">
        <f>VLOOKUP(C369,'[1]1.CUADRO RESUMEN DE SITIOS '!$C$5:$L$1052,6,FALSE())</f>
        <v>Bogotá</v>
      </c>
      <c r="I369" s="23" t="str">
        <f>VLOOKUP(C369,'[1]1.CUADRO RESUMEN DE SITIOS '!$C$5:$L$1052,7,FALSE())</f>
        <v>WOM</v>
      </c>
      <c r="J369" s="25" t="str">
        <f>VLOOKUP(C369,'[1]1.CUADRO RESUMEN DE SITIOS '!$C$5:$L$1052,8,FALSE())</f>
        <v>CENTRO SUR/ NORTE</v>
      </c>
      <c r="K369" s="23" t="str">
        <f>VLOOKUP(C369,'[1]1.CUADRO RESUMEN DE SITIOS '!$C$5:$L$1052,9,FALSE())</f>
        <v>Maria Camila Torres</v>
      </c>
      <c r="L369" s="26" t="str">
        <f>VLOOKUP(C369,'[1]1.CUADRO RESUMEN DE SITIOS '!$C$5:$L$1052,10,FALSE())</f>
        <v>Terminado</v>
      </c>
      <c r="M369" s="26">
        <v>8828120018</v>
      </c>
      <c r="N369" s="26">
        <f>VLOOKUP(M369,[1]LPU!$A$2:$G$1512,2,FALSE())</f>
        <v>4.38</v>
      </c>
      <c r="O369" s="26" t="str">
        <f>VLOOKUP(M369,[1]LPU!$A$2:$G$1512,3,FALSE)</f>
        <v>Impermeabilización sikalastic 450 y refuerzo con sikafealt o similar. (incluye Imprimación, nivelaciones, sellamiento en los traslapos).</v>
      </c>
      <c r="P369" s="26" t="str">
        <f>VLOOKUP(M369,[1]LPU!$A$2:$G$1512,4,FALSE())</f>
        <v>Mantenimiento CW</v>
      </c>
      <c r="Q369" s="26" t="str">
        <f>VLOOKUP(M369,[1]LPU!$A$2:$G$1512,5,FALSE())</f>
        <v>M2</v>
      </c>
      <c r="R369" s="27">
        <f>VLOOKUP(M369,[1]LPU!$A$2:$G$1512,6,FALSE())</f>
        <v>52240.15</v>
      </c>
      <c r="S369" s="27" t="str">
        <f>VLOOKUP(M369,[1]LPU!$A$2:$G$1512,7,FALSE())</f>
        <v>Mantenimiento CW</v>
      </c>
      <c r="T369" s="28">
        <v>5</v>
      </c>
      <c r="U369" s="29">
        <f t="shared" si="7"/>
        <v>261200.75</v>
      </c>
      <c r="V369" s="29" t="s">
        <v>217</v>
      </c>
      <c r="W369" s="30"/>
      <c r="X369" s="29" t="s">
        <v>38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ht="21" customHeight="1" x14ac:dyDescent="0.3">
      <c r="A370" s="22">
        <v>366</v>
      </c>
      <c r="B370" s="23">
        <v>1</v>
      </c>
      <c r="C370" s="23" t="s">
        <v>216</v>
      </c>
      <c r="D370" s="23" t="str">
        <f>VLOOKUP(C370,'[1]1.CUADRO RESUMEN DE SITIOS '!$C$5:$L$1052,2,FALSE())</f>
        <v>BTA_01118</v>
      </c>
      <c r="E370" s="24">
        <f>VLOOKUP(C370,'[1]1.CUADRO RESUMEN DE SITIOS '!$C$5:$L$1052,3,FALSE())</f>
        <v>46002</v>
      </c>
      <c r="F370" s="23">
        <f>VLOOKUP(C370,'[1]1.CUADRO RESUMEN DE SITIOS '!$C$5:$L$1052,4,FALSE())</f>
        <v>4.7185569999999997</v>
      </c>
      <c r="G370" s="23">
        <f>VLOOKUP(C370,'[1]1.CUADRO RESUMEN DE SITIOS '!$C$5:$L$1052,5,FALSE())</f>
        <v>-74.102427000000006</v>
      </c>
      <c r="H370" s="23" t="str">
        <f>VLOOKUP(C370,'[1]1.CUADRO RESUMEN DE SITIOS '!$C$5:$L$1052,6,FALSE())</f>
        <v>Bogotá</v>
      </c>
      <c r="I370" s="23" t="str">
        <f>VLOOKUP(C370,'[1]1.CUADRO RESUMEN DE SITIOS '!$C$5:$L$1052,7,FALSE())</f>
        <v>WOM</v>
      </c>
      <c r="J370" s="25" t="str">
        <f>VLOOKUP(C370,'[1]1.CUADRO RESUMEN DE SITIOS '!$C$5:$L$1052,8,FALSE())</f>
        <v>CENTRO SUR/ NORTE</v>
      </c>
      <c r="K370" s="23" t="str">
        <f>VLOOKUP(C370,'[1]1.CUADRO RESUMEN DE SITIOS '!$C$5:$L$1052,9,FALSE())</f>
        <v>Maria Camila Torres</v>
      </c>
      <c r="L370" s="26" t="str">
        <f>VLOOKUP(C370,'[1]1.CUADRO RESUMEN DE SITIOS '!$C$5:$L$1052,10,FALSE())</f>
        <v>Terminado</v>
      </c>
      <c r="M370" s="26">
        <v>8828120047</v>
      </c>
      <c r="N370" s="26">
        <f>VLOOKUP(M370,[1]LPU!$A$2:$G$1512,2,FALSE())</f>
        <v>4.41</v>
      </c>
      <c r="O370" s="26" t="str">
        <f>VLOOKUP(M370,[1]LPU!$A$2:$G$1512,3,FALSE)</f>
        <v>Suministro e instalación de bajante de aguas lluvias en PVC 3"</v>
      </c>
      <c r="P370" s="26" t="str">
        <f>VLOOKUP(M370,[1]LPU!$A$2:$G$1512,4,FALSE())</f>
        <v>Mantenimiento CW</v>
      </c>
      <c r="Q370" s="26" t="str">
        <f>VLOOKUP(M370,[1]LPU!$A$2:$G$1512,5,FALSE())</f>
        <v>ML</v>
      </c>
      <c r="R370" s="27">
        <f>VLOOKUP(M370,[1]LPU!$A$2:$G$1512,6,FALSE())</f>
        <v>19614.599999999999</v>
      </c>
      <c r="S370" s="27" t="str">
        <f>VLOOKUP(M370,[1]LPU!$A$2:$G$1512,7,FALSE())</f>
        <v>Mantenimiento CW</v>
      </c>
      <c r="T370" s="28">
        <v>3</v>
      </c>
      <c r="U370" s="29">
        <f t="shared" si="7"/>
        <v>58843.799999999996</v>
      </c>
      <c r="V370" s="29" t="s">
        <v>217</v>
      </c>
      <c r="W370" s="30"/>
      <c r="X370" s="29" t="s">
        <v>38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ht="21" customHeight="1" x14ac:dyDescent="0.3">
      <c r="A371" s="22">
        <v>367</v>
      </c>
      <c r="B371" s="23">
        <v>1</v>
      </c>
      <c r="C371" s="23" t="s">
        <v>216</v>
      </c>
      <c r="D371" s="23" t="str">
        <f>VLOOKUP(C371,'[1]1.CUADRO RESUMEN DE SITIOS '!$C$5:$L$1052,2,FALSE())</f>
        <v>BTA_01118</v>
      </c>
      <c r="E371" s="24">
        <f>VLOOKUP(C371,'[1]1.CUADRO RESUMEN DE SITIOS '!$C$5:$L$1052,3,FALSE())</f>
        <v>46002</v>
      </c>
      <c r="F371" s="23">
        <f>VLOOKUP(C371,'[1]1.CUADRO RESUMEN DE SITIOS '!$C$5:$L$1052,4,FALSE())</f>
        <v>4.7185569999999997</v>
      </c>
      <c r="G371" s="23">
        <f>VLOOKUP(C371,'[1]1.CUADRO RESUMEN DE SITIOS '!$C$5:$L$1052,5,FALSE())</f>
        <v>-74.102427000000006</v>
      </c>
      <c r="H371" s="23" t="str">
        <f>VLOOKUP(C371,'[1]1.CUADRO RESUMEN DE SITIOS '!$C$5:$L$1052,6,FALSE())</f>
        <v>Bogotá</v>
      </c>
      <c r="I371" s="23" t="str">
        <f>VLOOKUP(C371,'[1]1.CUADRO RESUMEN DE SITIOS '!$C$5:$L$1052,7,FALSE())</f>
        <v>WOM</v>
      </c>
      <c r="J371" s="25" t="str">
        <f>VLOOKUP(C371,'[1]1.CUADRO RESUMEN DE SITIOS '!$C$5:$L$1052,8,FALSE())</f>
        <v>CENTRO SUR/ NORTE</v>
      </c>
      <c r="K371" s="23" t="str">
        <f>VLOOKUP(C371,'[1]1.CUADRO RESUMEN DE SITIOS '!$C$5:$L$1052,9,FALSE())</f>
        <v>Maria Camila Torres</v>
      </c>
      <c r="L371" s="26" t="str">
        <f>VLOOKUP(C371,'[1]1.CUADRO RESUMEN DE SITIOS '!$C$5:$L$1052,10,FALSE())</f>
        <v>Terminado</v>
      </c>
      <c r="M371" s="26">
        <v>8828119081</v>
      </c>
      <c r="N371" s="26">
        <f>VLOOKUP(M371,[1]LPU!$A$2:$G$1512,2,FALSE())</f>
        <v>6.01</v>
      </c>
      <c r="O371" s="26" t="str">
        <f>VLOOKUP(M371,[1]LPU!$A$2:$G$1512,3,FALSE)</f>
        <v>Servicio de SST - HSEQ ***</v>
      </c>
      <c r="P371" s="26" t="str">
        <f>VLOOKUP(M371,[1]LPU!$A$2:$G$1512,4,FALSE())</f>
        <v>Mantenimiento CW</v>
      </c>
      <c r="Q371" s="26" t="str">
        <f>VLOOKUP(M371,[1]LPU!$A$2:$G$1512,5,FALSE())</f>
        <v>Día</v>
      </c>
      <c r="R371" s="27">
        <f>VLOOKUP(M371,[1]LPU!$A$2:$G$1512,6,FALSE())</f>
        <v>163166.85</v>
      </c>
      <c r="S371" s="27" t="str">
        <f>VLOOKUP(M371,[1]LPU!$A$2:$G$1512,7,FALSE())</f>
        <v>Mantenimiento CW</v>
      </c>
      <c r="T371" s="28">
        <v>2</v>
      </c>
      <c r="U371" s="29">
        <f t="shared" si="7"/>
        <v>326333.7</v>
      </c>
      <c r="V371" s="29" t="s">
        <v>217</v>
      </c>
      <c r="W371" s="30"/>
      <c r="X371" s="29" t="s">
        <v>38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ht="21" customHeight="1" x14ac:dyDescent="0.3">
      <c r="A372" s="22">
        <v>368</v>
      </c>
      <c r="B372" s="23">
        <v>1</v>
      </c>
      <c r="C372" s="23" t="s">
        <v>216</v>
      </c>
      <c r="D372" s="23" t="str">
        <f>VLOOKUP(C372,'[1]1.CUADRO RESUMEN DE SITIOS '!$C$5:$L$1052,2,FALSE())</f>
        <v>BTA_01118</v>
      </c>
      <c r="E372" s="24">
        <f>VLOOKUP(C372,'[1]1.CUADRO RESUMEN DE SITIOS '!$C$5:$L$1052,3,FALSE())</f>
        <v>46002</v>
      </c>
      <c r="F372" s="23">
        <f>VLOOKUP(C372,'[1]1.CUADRO RESUMEN DE SITIOS '!$C$5:$L$1052,4,FALSE())</f>
        <v>4.7185569999999997</v>
      </c>
      <c r="G372" s="23">
        <f>VLOOKUP(C372,'[1]1.CUADRO RESUMEN DE SITIOS '!$C$5:$L$1052,5,FALSE())</f>
        <v>-74.102427000000006</v>
      </c>
      <c r="H372" s="23" t="str">
        <f>VLOOKUP(C372,'[1]1.CUADRO RESUMEN DE SITIOS '!$C$5:$L$1052,6,FALSE())</f>
        <v>Bogotá</v>
      </c>
      <c r="I372" s="23" t="str">
        <f>VLOOKUP(C372,'[1]1.CUADRO RESUMEN DE SITIOS '!$C$5:$L$1052,7,FALSE())</f>
        <v>WOM</v>
      </c>
      <c r="J372" s="25" t="str">
        <f>VLOOKUP(C372,'[1]1.CUADRO RESUMEN DE SITIOS '!$C$5:$L$1052,8,FALSE())</f>
        <v>CENTRO SUR/ NORTE</v>
      </c>
      <c r="K372" s="23" t="str">
        <f>VLOOKUP(C372,'[1]1.CUADRO RESUMEN DE SITIOS '!$C$5:$L$1052,9,FALSE())</f>
        <v>Maria Camila Torres</v>
      </c>
      <c r="L372" s="26" t="str">
        <f>VLOOKUP(C372,'[1]1.CUADRO RESUMEN DE SITIOS '!$C$5:$L$1052,10,FALSE())</f>
        <v>Terminado</v>
      </c>
      <c r="M372" s="26">
        <v>8828119090</v>
      </c>
      <c r="N372" s="26">
        <f>VLOOKUP(M372,[1]LPU!$A$2:$G$1512,2,FALSE())</f>
        <v>6.02</v>
      </c>
      <c r="O372" s="26" t="str">
        <f>VLOOKUP(M372,[1]LPU!$A$2:$G$1512,3,FALSE)</f>
        <v>Sistemas de ingeniería para actividades en alturas (Andamios certificados, líneas de vida portátiles, elementos de fijación o anclajes certificados) adicionales a las condiciones normales de trabajo ***</v>
      </c>
      <c r="P372" s="26" t="str">
        <f>VLOOKUP(M372,[1]LPU!$A$2:$G$1512,4,FALSE())</f>
        <v>Mantenimiento CW</v>
      </c>
      <c r="Q372" s="26" t="str">
        <f>VLOOKUP(M372,[1]LPU!$A$2:$G$1512,5,FALSE())</f>
        <v>Día</v>
      </c>
      <c r="R372" s="27">
        <f>VLOOKUP(M372,[1]LPU!$A$2:$G$1512,6,FALSE())</f>
        <v>212376.75</v>
      </c>
      <c r="S372" s="27" t="str">
        <f>VLOOKUP(M372,[1]LPU!$A$2:$G$1512,7,FALSE())</f>
        <v>Mantenimiento CW</v>
      </c>
      <c r="T372" s="28">
        <v>2</v>
      </c>
      <c r="U372" s="29">
        <f t="shared" si="7"/>
        <v>424753.5</v>
      </c>
      <c r="V372" s="29" t="s">
        <v>217</v>
      </c>
      <c r="W372" s="30"/>
      <c r="X372" s="29" t="s">
        <v>38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ht="21" customHeight="1" x14ac:dyDescent="0.3">
      <c r="A373" s="22">
        <v>369</v>
      </c>
      <c r="B373" s="23">
        <v>1</v>
      </c>
      <c r="C373" s="23" t="s">
        <v>216</v>
      </c>
      <c r="D373" s="23" t="str">
        <f>VLOOKUP(C373,'[1]1.CUADRO RESUMEN DE SITIOS '!$C$5:$L$1052,2,FALSE())</f>
        <v>BTA_01118</v>
      </c>
      <c r="E373" s="24">
        <f>VLOOKUP(C373,'[1]1.CUADRO RESUMEN DE SITIOS '!$C$5:$L$1052,3,FALSE())</f>
        <v>46002</v>
      </c>
      <c r="F373" s="23">
        <f>VLOOKUP(C373,'[1]1.CUADRO RESUMEN DE SITIOS '!$C$5:$L$1052,4,FALSE())</f>
        <v>4.7185569999999997</v>
      </c>
      <c r="G373" s="23">
        <f>VLOOKUP(C373,'[1]1.CUADRO RESUMEN DE SITIOS '!$C$5:$L$1052,5,FALSE())</f>
        <v>-74.102427000000006</v>
      </c>
      <c r="H373" s="23" t="str">
        <f>VLOOKUP(C373,'[1]1.CUADRO RESUMEN DE SITIOS '!$C$5:$L$1052,6,FALSE())</f>
        <v>Bogotá</v>
      </c>
      <c r="I373" s="23" t="str">
        <f>VLOOKUP(C373,'[1]1.CUADRO RESUMEN DE SITIOS '!$C$5:$L$1052,7,FALSE())</f>
        <v>WOM</v>
      </c>
      <c r="J373" s="25" t="str">
        <f>VLOOKUP(C373,'[1]1.CUADRO RESUMEN DE SITIOS '!$C$5:$L$1052,8,FALSE())</f>
        <v>CENTRO SUR/ NORTE</v>
      </c>
      <c r="K373" s="23" t="str">
        <f>VLOOKUP(C373,'[1]1.CUADRO RESUMEN DE SITIOS '!$C$5:$L$1052,9,FALSE())</f>
        <v>Maria Camila Torres</v>
      </c>
      <c r="L373" s="26" t="str">
        <f>VLOOKUP(C373,'[1]1.CUADRO RESUMEN DE SITIOS '!$C$5:$L$1052,10,FALSE())</f>
        <v>Terminado</v>
      </c>
      <c r="M373" s="26">
        <v>8828119448</v>
      </c>
      <c r="N373" s="26">
        <f>VLOOKUP(M373,[1]LPU!$A$2:$G$1512,2,FALSE())</f>
        <v>181</v>
      </c>
      <c r="O373" s="26" t="str">
        <f>VLOOKUP(M373,[1]LPU!$A$2:$G$1512,3,FALSE)</f>
        <v>Limpieza Final de Obra. Retiro y Disposición de Escombros.</v>
      </c>
      <c r="P373" s="26" t="str">
        <f>VLOOKUP(M373,[1]LPU!$A$2:$G$1512,4,FALSE())</f>
        <v>LOCATIVO</v>
      </c>
      <c r="Q373" s="26" t="str">
        <f>VLOOKUP(M373,[1]LPU!$A$2:$G$1512,5,FALSE())</f>
        <v>MTS3</v>
      </c>
      <c r="R373" s="27">
        <f>VLOOKUP(M373,[1]LPU!$A$2:$G$1512,6,FALSE())</f>
        <v>19448</v>
      </c>
      <c r="S373" s="27" t="str">
        <f>VLOOKUP(M373,[1]LPU!$A$2:$G$1512,7,FALSE())</f>
        <v>LPU FLM</v>
      </c>
      <c r="T373" s="28">
        <v>1</v>
      </c>
      <c r="U373" s="29">
        <f t="shared" si="7"/>
        <v>19448</v>
      </c>
      <c r="V373" s="29" t="s">
        <v>217</v>
      </c>
      <c r="W373" s="30"/>
      <c r="X373" s="29" t="s">
        <v>38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ht="21" customHeight="1" x14ac:dyDescent="0.3">
      <c r="A374" s="22">
        <v>370</v>
      </c>
      <c r="B374" s="23">
        <v>1</v>
      </c>
      <c r="C374" s="23" t="s">
        <v>216</v>
      </c>
      <c r="D374" s="23" t="str">
        <f>VLOOKUP(C374,'[1]1.CUADRO RESUMEN DE SITIOS '!$C$5:$L$1052,2,FALSE())</f>
        <v>BTA_01118</v>
      </c>
      <c r="E374" s="24">
        <f>VLOOKUP(C374,'[1]1.CUADRO RESUMEN DE SITIOS '!$C$5:$L$1052,3,FALSE())</f>
        <v>46002</v>
      </c>
      <c r="F374" s="23">
        <f>VLOOKUP(C374,'[1]1.CUADRO RESUMEN DE SITIOS '!$C$5:$L$1052,4,FALSE())</f>
        <v>4.7185569999999997</v>
      </c>
      <c r="G374" s="23">
        <f>VLOOKUP(C374,'[1]1.CUADRO RESUMEN DE SITIOS '!$C$5:$L$1052,5,FALSE())</f>
        <v>-74.102427000000006</v>
      </c>
      <c r="H374" s="23" t="str">
        <f>VLOOKUP(C374,'[1]1.CUADRO RESUMEN DE SITIOS '!$C$5:$L$1052,6,FALSE())</f>
        <v>Bogotá</v>
      </c>
      <c r="I374" s="23" t="str">
        <f>VLOOKUP(C374,'[1]1.CUADRO RESUMEN DE SITIOS '!$C$5:$L$1052,7,FALSE())</f>
        <v>WOM</v>
      </c>
      <c r="J374" s="25" t="str">
        <f>VLOOKUP(C374,'[1]1.CUADRO RESUMEN DE SITIOS '!$C$5:$L$1052,8,FALSE())</f>
        <v>CENTRO SUR/ NORTE</v>
      </c>
      <c r="K374" s="23" t="str">
        <f>VLOOKUP(C374,'[1]1.CUADRO RESUMEN DE SITIOS '!$C$5:$L$1052,9,FALSE())</f>
        <v>Maria Camila Torres</v>
      </c>
      <c r="L374" s="26" t="str">
        <f>VLOOKUP(C374,'[1]1.CUADRO RESUMEN DE SITIOS '!$C$5:$L$1052,10,FALSE())</f>
        <v>Terminado</v>
      </c>
      <c r="M374" s="26">
        <v>8828119921</v>
      </c>
      <c r="N374" s="26">
        <f>VLOOKUP(M374,[1]LPU!$A$2:$G$1512,2,FALSE())</f>
        <v>163</v>
      </c>
      <c r="O374" s="26" t="str">
        <f>VLOOKUP(M374,[1]LPU!$A$2:$G$1512,3,FALSE)</f>
        <v>Tansporte tipo A, ciudad principal y área metropolitana</v>
      </c>
      <c r="P374" s="26" t="str">
        <f>VLOOKUP(M374,[1]LPU!$A$2:$G$1512,4,FALSE())</f>
        <v>LOCATIVO</v>
      </c>
      <c r="Q374" s="26" t="str">
        <f>VLOOKUP(M374,[1]LPU!$A$2:$G$1512,5,FALSE())</f>
        <v>Global</v>
      </c>
      <c r="R374" s="27">
        <f>VLOOKUP(M374,[1]LPU!$A$2:$G$1512,6,FALSE())</f>
        <v>133571.54999999999</v>
      </c>
      <c r="S374" s="27" t="str">
        <f>VLOOKUP(M374,[1]LPU!$A$2:$G$1512,7,FALSE())</f>
        <v>LPU FLM</v>
      </c>
      <c r="T374" s="28">
        <v>1</v>
      </c>
      <c r="U374" s="29">
        <f t="shared" si="7"/>
        <v>133571.54999999999</v>
      </c>
      <c r="V374" s="29" t="s">
        <v>217</v>
      </c>
      <c r="W374" s="30"/>
      <c r="X374" s="29" t="s">
        <v>38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ht="21" customHeight="1" x14ac:dyDescent="0.3">
      <c r="A375" s="22">
        <v>371</v>
      </c>
      <c r="B375" s="23">
        <v>1</v>
      </c>
      <c r="C375" s="23" t="s">
        <v>216</v>
      </c>
      <c r="D375" s="23" t="str">
        <f>VLOOKUP(C375,'[1]1.CUADRO RESUMEN DE SITIOS '!$C$5:$L$1052,2,FALSE())</f>
        <v>BTA_01118</v>
      </c>
      <c r="E375" s="24">
        <f>VLOOKUP(C375,'[1]1.CUADRO RESUMEN DE SITIOS '!$C$5:$L$1052,3,FALSE())</f>
        <v>46002</v>
      </c>
      <c r="F375" s="23">
        <f>VLOOKUP(C375,'[1]1.CUADRO RESUMEN DE SITIOS '!$C$5:$L$1052,4,FALSE())</f>
        <v>4.7185569999999997</v>
      </c>
      <c r="G375" s="23">
        <f>VLOOKUP(C375,'[1]1.CUADRO RESUMEN DE SITIOS '!$C$5:$L$1052,5,FALSE())</f>
        <v>-74.102427000000006</v>
      </c>
      <c r="H375" s="23" t="str">
        <f>VLOOKUP(C375,'[1]1.CUADRO RESUMEN DE SITIOS '!$C$5:$L$1052,6,FALSE())</f>
        <v>Bogotá</v>
      </c>
      <c r="I375" s="23" t="str">
        <f>VLOOKUP(C375,'[1]1.CUADRO RESUMEN DE SITIOS '!$C$5:$L$1052,7,FALSE())</f>
        <v>WOM</v>
      </c>
      <c r="J375" s="25" t="str">
        <f>VLOOKUP(C375,'[1]1.CUADRO RESUMEN DE SITIOS '!$C$5:$L$1052,8,FALSE())</f>
        <v>CENTRO SUR/ NORTE</v>
      </c>
      <c r="K375" s="23" t="str">
        <f>VLOOKUP(C375,'[1]1.CUADRO RESUMEN DE SITIOS '!$C$5:$L$1052,9,FALSE())</f>
        <v>Maria Camila Torres</v>
      </c>
      <c r="L375" s="26" t="str">
        <f>VLOOKUP(C375,'[1]1.CUADRO RESUMEN DE SITIOS '!$C$5:$L$1052,10,FALSE())</f>
        <v>Terminado</v>
      </c>
      <c r="M375" s="26">
        <v>8828120075</v>
      </c>
      <c r="N375" s="26">
        <f>VLOOKUP(M375,[1]LPU!$A$2:$G$1512,2,FALSE())</f>
        <v>4.4400000000000004</v>
      </c>
      <c r="O375" s="26" t="str">
        <f>VLOOKUP(M375,[1]LPU!$A$2:$G$1512,3,FALSE)</f>
        <v>Mantenimiento de canales (Viga canal) Destapar, asegurar, y limpiar (vigas canales en cubierta -cárcamos existentes en fachada principal -piso y cajas de inspección)</v>
      </c>
      <c r="P375" s="26" t="str">
        <f>VLOOKUP(M375,[1]LPU!$A$2:$G$1512,4,FALSE())</f>
        <v>Mantenimiento CW</v>
      </c>
      <c r="Q375" s="26" t="str">
        <f>VLOOKUP(M375,[1]LPU!$A$2:$G$1512,5,FALSE())</f>
        <v>ML</v>
      </c>
      <c r="R375" s="27">
        <f>VLOOKUP(M375,[1]LPU!$A$2:$G$1512,6,FALSE())</f>
        <v>24032.9</v>
      </c>
      <c r="S375" s="27" t="str">
        <f>VLOOKUP(M375,[1]LPU!$A$2:$G$1512,7,FALSE())</f>
        <v>Mantenimiento CW</v>
      </c>
      <c r="T375" s="28">
        <v>6</v>
      </c>
      <c r="U375" s="29">
        <f t="shared" si="7"/>
        <v>144197.40000000002</v>
      </c>
      <c r="V375" s="29" t="s">
        <v>217</v>
      </c>
      <c r="W375" s="30"/>
      <c r="X375" s="29" t="s">
        <v>38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ht="21" customHeight="1" x14ac:dyDescent="0.3">
      <c r="A376" s="22">
        <v>372</v>
      </c>
      <c r="B376" s="23">
        <v>1</v>
      </c>
      <c r="C376" s="23" t="s">
        <v>218</v>
      </c>
      <c r="D376" s="23" t="str">
        <f>VLOOKUP(C376,'[1]1.CUADRO RESUMEN DE SITIOS '!$C$5:$L$1052,2,FALSE())</f>
        <v>BTA_01164</v>
      </c>
      <c r="E376" s="24">
        <f>VLOOKUP(C376,'[1]1.CUADRO RESUMEN DE SITIOS '!$C$5:$L$1052,3,FALSE())</f>
        <v>46009</v>
      </c>
      <c r="F376" s="23">
        <f>VLOOKUP(C376,'[1]1.CUADRO RESUMEN DE SITIOS '!$C$5:$L$1052,4,FALSE())</f>
        <v>4.5818300000000001</v>
      </c>
      <c r="G376" s="23">
        <f>VLOOKUP(C376,'[1]1.CUADRO RESUMEN DE SITIOS '!$C$5:$L$1052,5,FALSE())</f>
        <v>-74.069199999999995</v>
      </c>
      <c r="H376" s="23" t="str">
        <f>VLOOKUP(C376,'[1]1.CUADRO RESUMEN DE SITIOS '!$C$5:$L$1052,6,FALSE())</f>
        <v>Bogotá</v>
      </c>
      <c r="I376" s="23" t="str">
        <f>VLOOKUP(C376,'[1]1.CUADRO RESUMEN DE SITIOS '!$C$5:$L$1052,7,FALSE())</f>
        <v>WOM</v>
      </c>
      <c r="J376" s="25" t="str">
        <f>VLOOKUP(C376,'[1]1.CUADRO RESUMEN DE SITIOS '!$C$5:$L$1052,8,FALSE())</f>
        <v>CENTRO SUR/ NORTE</v>
      </c>
      <c r="K376" s="23" t="str">
        <f>VLOOKUP(C376,'[1]1.CUADRO RESUMEN DE SITIOS '!$C$5:$L$1052,9,FALSE())</f>
        <v>Maria Camila Torres</v>
      </c>
      <c r="L376" s="26" t="str">
        <f>VLOOKUP(C376,'[1]1.CUADRO RESUMEN DE SITIOS '!$C$5:$L$1052,10,FALSE())</f>
        <v>Terminado</v>
      </c>
      <c r="M376" s="26">
        <v>8828118951</v>
      </c>
      <c r="N376" s="26">
        <f>VLOOKUP(M376,[1]LPU!$A$2:$G$1512,2,FALSE())</f>
        <v>4.01</v>
      </c>
      <c r="O376" s="26" t="str">
        <f>VLOOKUP(M376,[1]LPU!$A$2:$G$1512,3,FALSE)</f>
        <v>Suministro e instalación de cerramiento en drywall a doble cara (Incluye Accesorios de Instalación)</v>
      </c>
      <c r="P376" s="26" t="str">
        <f>VLOOKUP(M376,[1]LPU!$A$2:$G$1512,4,FALSE())</f>
        <v>Mantenimiento CW</v>
      </c>
      <c r="Q376" s="26" t="str">
        <f>VLOOKUP(M376,[1]LPU!$A$2:$G$1512,5,FALSE())</f>
        <v>M2</v>
      </c>
      <c r="R376" s="27">
        <f>VLOOKUP(M376,[1]LPU!$A$2:$G$1512,6,FALSE())</f>
        <v>88269.1</v>
      </c>
      <c r="S376" s="27" t="str">
        <f>VLOOKUP(M376,[1]LPU!$A$2:$G$1512,7,FALSE())</f>
        <v>Mantenimiento CW</v>
      </c>
      <c r="T376" s="28">
        <v>26</v>
      </c>
      <c r="U376" s="29">
        <f t="shared" si="7"/>
        <v>2294996.6</v>
      </c>
      <c r="V376" s="29" t="s">
        <v>217</v>
      </c>
      <c r="W376" s="30"/>
      <c r="X376" s="29" t="s">
        <v>38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ht="21" customHeight="1" x14ac:dyDescent="0.3">
      <c r="A377" s="22">
        <v>373</v>
      </c>
      <c r="B377" s="23">
        <v>1</v>
      </c>
      <c r="C377" s="23" t="s">
        <v>218</v>
      </c>
      <c r="D377" s="23" t="str">
        <f>VLOOKUP(C377,'[1]1.CUADRO RESUMEN DE SITIOS '!$C$5:$L$1052,2,FALSE())</f>
        <v>BTA_01164</v>
      </c>
      <c r="E377" s="24">
        <f>VLOOKUP(C377,'[1]1.CUADRO RESUMEN DE SITIOS '!$C$5:$L$1052,3,FALSE())</f>
        <v>46009</v>
      </c>
      <c r="F377" s="23">
        <f>VLOOKUP(C377,'[1]1.CUADRO RESUMEN DE SITIOS '!$C$5:$L$1052,4,FALSE())</f>
        <v>4.5818300000000001</v>
      </c>
      <c r="G377" s="23">
        <f>VLOOKUP(C377,'[1]1.CUADRO RESUMEN DE SITIOS '!$C$5:$L$1052,5,FALSE())</f>
        <v>-74.069199999999995</v>
      </c>
      <c r="H377" s="23" t="str">
        <f>VLOOKUP(C377,'[1]1.CUADRO RESUMEN DE SITIOS '!$C$5:$L$1052,6,FALSE())</f>
        <v>Bogotá</v>
      </c>
      <c r="I377" s="23" t="str">
        <f>VLOOKUP(C377,'[1]1.CUADRO RESUMEN DE SITIOS '!$C$5:$L$1052,7,FALSE())</f>
        <v>WOM</v>
      </c>
      <c r="J377" s="25" t="str">
        <f>VLOOKUP(C377,'[1]1.CUADRO RESUMEN DE SITIOS '!$C$5:$L$1052,8,FALSE())</f>
        <v>CENTRO SUR/ NORTE</v>
      </c>
      <c r="K377" s="23" t="str">
        <f>VLOOKUP(C377,'[1]1.CUADRO RESUMEN DE SITIOS '!$C$5:$L$1052,9,FALSE())</f>
        <v>Maria Camila Torres</v>
      </c>
      <c r="L377" s="26" t="str">
        <f>VLOOKUP(C377,'[1]1.CUADRO RESUMEN DE SITIOS '!$C$5:$L$1052,10,FALSE())</f>
        <v>Terminado</v>
      </c>
      <c r="M377" s="26">
        <v>8828119309</v>
      </c>
      <c r="N377" s="26">
        <f>VLOOKUP(M377,[1]LPU!$A$2:$G$1512,2,FALSE())</f>
        <v>4.17</v>
      </c>
      <c r="O377" s="26" t="str">
        <f>VLOOKUP(M377,[1]LPU!$A$2:$G$1512,3,FALSE)</f>
        <v>Suministro e instalación de estuco plástico</v>
      </c>
      <c r="P377" s="26" t="str">
        <f>VLOOKUP(M377,[1]LPU!$A$2:$G$1512,4,FALSE())</f>
        <v>Mantenimiento CW</v>
      </c>
      <c r="Q377" s="26" t="str">
        <f>VLOOKUP(M377,[1]LPU!$A$2:$G$1512,5,FALSE())</f>
        <v>M2</v>
      </c>
      <c r="R377" s="27">
        <f>VLOOKUP(M377,[1]LPU!$A$2:$G$1512,6,FALSE())</f>
        <v>19737</v>
      </c>
      <c r="S377" s="27" t="str">
        <f>VLOOKUP(M377,[1]LPU!$A$2:$G$1512,7,FALSE())</f>
        <v>Mantenimiento CW</v>
      </c>
      <c r="T377" s="28">
        <v>1</v>
      </c>
      <c r="U377" s="29">
        <f t="shared" si="7"/>
        <v>19737</v>
      </c>
      <c r="V377" s="29" t="s">
        <v>217</v>
      </c>
      <c r="W377" s="30"/>
      <c r="X377" s="29" t="s">
        <v>38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ht="21" customHeight="1" x14ac:dyDescent="0.3">
      <c r="A378" s="22">
        <v>374</v>
      </c>
      <c r="B378" s="23">
        <v>1</v>
      </c>
      <c r="C378" s="23" t="s">
        <v>218</v>
      </c>
      <c r="D378" s="23" t="str">
        <f>VLOOKUP(C378,'[1]1.CUADRO RESUMEN DE SITIOS '!$C$5:$L$1052,2,FALSE())</f>
        <v>BTA_01164</v>
      </c>
      <c r="E378" s="24">
        <f>VLOOKUP(C378,'[1]1.CUADRO RESUMEN DE SITIOS '!$C$5:$L$1052,3,FALSE())</f>
        <v>46009</v>
      </c>
      <c r="F378" s="23">
        <f>VLOOKUP(C378,'[1]1.CUADRO RESUMEN DE SITIOS '!$C$5:$L$1052,4,FALSE())</f>
        <v>4.5818300000000001</v>
      </c>
      <c r="G378" s="23">
        <f>VLOOKUP(C378,'[1]1.CUADRO RESUMEN DE SITIOS '!$C$5:$L$1052,5,FALSE())</f>
        <v>-74.069199999999995</v>
      </c>
      <c r="H378" s="23" t="str">
        <f>VLOOKUP(C378,'[1]1.CUADRO RESUMEN DE SITIOS '!$C$5:$L$1052,6,FALSE())</f>
        <v>Bogotá</v>
      </c>
      <c r="I378" s="23" t="str">
        <f>VLOOKUP(C378,'[1]1.CUADRO RESUMEN DE SITIOS '!$C$5:$L$1052,7,FALSE())</f>
        <v>WOM</v>
      </c>
      <c r="J378" s="25" t="str">
        <f>VLOOKUP(C378,'[1]1.CUADRO RESUMEN DE SITIOS '!$C$5:$L$1052,8,FALSE())</f>
        <v>CENTRO SUR/ NORTE</v>
      </c>
      <c r="K378" s="23" t="str">
        <f>VLOOKUP(C378,'[1]1.CUADRO RESUMEN DE SITIOS '!$C$5:$L$1052,9,FALSE())</f>
        <v>Maria Camila Torres</v>
      </c>
      <c r="L378" s="26" t="str">
        <f>VLOOKUP(C378,'[1]1.CUADRO RESUMEN DE SITIOS '!$C$5:$L$1052,10,FALSE())</f>
        <v>Terminado</v>
      </c>
      <c r="M378" s="26">
        <v>8828119346</v>
      </c>
      <c r="N378" s="26">
        <f>VLOOKUP(M378,[1]LPU!$A$2:$G$1512,2,FALSE())</f>
        <v>4.21</v>
      </c>
      <c r="O378" s="26" t="str">
        <f>VLOOKUP(M378,[1]LPU!$A$2:$G$1512,3,FALSE)</f>
        <v>Suministro e instalación de pintura en vinilo tipo interior a 3 manos</v>
      </c>
      <c r="P378" s="26" t="str">
        <f>VLOOKUP(M378,[1]LPU!$A$2:$G$1512,4,FALSE())</f>
        <v>Mantenimiento CW</v>
      </c>
      <c r="Q378" s="26" t="str">
        <f>VLOOKUP(M378,[1]LPU!$A$2:$G$1512,5,FALSE())</f>
        <v>M2</v>
      </c>
      <c r="R378" s="27">
        <f>VLOOKUP(M378,[1]LPU!$A$2:$G$1512,6,FALSE())</f>
        <v>17690.2</v>
      </c>
      <c r="S378" s="27" t="str">
        <f>VLOOKUP(M378,[1]LPU!$A$2:$G$1512,7,FALSE())</f>
        <v>Mantenimiento CW</v>
      </c>
      <c r="T378" s="28">
        <v>15</v>
      </c>
      <c r="U378" s="29">
        <f t="shared" si="7"/>
        <v>265353</v>
      </c>
      <c r="V378" s="29" t="s">
        <v>217</v>
      </c>
      <c r="W378" s="30"/>
      <c r="X378" s="29" t="s">
        <v>38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ht="21" customHeight="1" x14ac:dyDescent="0.3">
      <c r="A379" s="22">
        <v>375</v>
      </c>
      <c r="B379" s="23">
        <v>1</v>
      </c>
      <c r="C379" s="23" t="s">
        <v>218</v>
      </c>
      <c r="D379" s="23" t="str">
        <f>VLOOKUP(C379,'[1]1.CUADRO RESUMEN DE SITIOS '!$C$5:$L$1052,2,FALSE())</f>
        <v>BTA_01164</v>
      </c>
      <c r="E379" s="24">
        <f>VLOOKUP(C379,'[1]1.CUADRO RESUMEN DE SITIOS '!$C$5:$L$1052,3,FALSE())</f>
        <v>46009</v>
      </c>
      <c r="F379" s="23">
        <f>VLOOKUP(C379,'[1]1.CUADRO RESUMEN DE SITIOS '!$C$5:$L$1052,4,FALSE())</f>
        <v>4.5818300000000001</v>
      </c>
      <c r="G379" s="23">
        <f>VLOOKUP(C379,'[1]1.CUADRO RESUMEN DE SITIOS '!$C$5:$L$1052,5,FALSE())</f>
        <v>-74.069199999999995</v>
      </c>
      <c r="H379" s="23" t="str">
        <f>VLOOKUP(C379,'[1]1.CUADRO RESUMEN DE SITIOS '!$C$5:$L$1052,6,FALSE())</f>
        <v>Bogotá</v>
      </c>
      <c r="I379" s="23" t="str">
        <f>VLOOKUP(C379,'[1]1.CUADRO RESUMEN DE SITIOS '!$C$5:$L$1052,7,FALSE())</f>
        <v>WOM</v>
      </c>
      <c r="J379" s="25" t="str">
        <f>VLOOKUP(C379,'[1]1.CUADRO RESUMEN DE SITIOS '!$C$5:$L$1052,8,FALSE())</f>
        <v>CENTRO SUR/ NORTE</v>
      </c>
      <c r="K379" s="23" t="str">
        <f>VLOOKUP(C379,'[1]1.CUADRO RESUMEN DE SITIOS '!$C$5:$L$1052,9,FALSE())</f>
        <v>Maria Camila Torres</v>
      </c>
      <c r="L379" s="26" t="str">
        <f>VLOOKUP(C379,'[1]1.CUADRO RESUMEN DE SITIOS '!$C$5:$L$1052,10,FALSE())</f>
        <v>Terminado</v>
      </c>
      <c r="M379" s="26">
        <v>8828119355</v>
      </c>
      <c r="N379" s="26">
        <f>VLOOKUP(M379,[1]LPU!$A$2:$G$1512,2,FALSE())</f>
        <v>4.22</v>
      </c>
      <c r="O379" s="26" t="str">
        <f>VLOOKUP(M379,[1]LPU!$A$2:$G$1512,3,FALSE)</f>
        <v>Raspado, lijado, aplicación de anticorrosivo y pintura en esmalte para puertas metálicas</v>
      </c>
      <c r="P379" s="26" t="str">
        <f>VLOOKUP(M379,[1]LPU!$A$2:$G$1512,4,FALSE())</f>
        <v>Mantenimiento CW</v>
      </c>
      <c r="Q379" s="26" t="str">
        <f>VLOOKUP(M379,[1]LPU!$A$2:$G$1512,5,FALSE())</f>
        <v>M2</v>
      </c>
      <c r="R379" s="27">
        <f>VLOOKUP(M379,[1]LPU!$A$2:$G$1512,6,FALSE())</f>
        <v>32507.4</v>
      </c>
      <c r="S379" s="27" t="str">
        <f>VLOOKUP(M379,[1]LPU!$A$2:$G$1512,7,FALSE())</f>
        <v>Mantenimiento CW</v>
      </c>
      <c r="T379" s="28">
        <v>10</v>
      </c>
      <c r="U379" s="29">
        <f t="shared" si="7"/>
        <v>325074</v>
      </c>
      <c r="V379" s="29" t="s">
        <v>217</v>
      </c>
      <c r="W379" s="30"/>
      <c r="X379" s="29" t="s">
        <v>38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ht="21" customHeight="1" x14ac:dyDescent="0.3">
      <c r="A380" s="22">
        <v>376</v>
      </c>
      <c r="B380" s="23">
        <v>1</v>
      </c>
      <c r="C380" s="23" t="s">
        <v>218</v>
      </c>
      <c r="D380" s="23" t="str">
        <f>VLOOKUP(C380,'[1]1.CUADRO RESUMEN DE SITIOS '!$C$5:$L$1052,2,FALSE())</f>
        <v>BTA_01164</v>
      </c>
      <c r="E380" s="24">
        <f>VLOOKUP(C380,'[1]1.CUADRO RESUMEN DE SITIOS '!$C$5:$L$1052,3,FALSE())</f>
        <v>46009</v>
      </c>
      <c r="F380" s="23">
        <f>VLOOKUP(C380,'[1]1.CUADRO RESUMEN DE SITIOS '!$C$5:$L$1052,4,FALSE())</f>
        <v>4.5818300000000001</v>
      </c>
      <c r="G380" s="23">
        <f>VLOOKUP(C380,'[1]1.CUADRO RESUMEN DE SITIOS '!$C$5:$L$1052,5,FALSE())</f>
        <v>-74.069199999999995</v>
      </c>
      <c r="H380" s="23" t="str">
        <f>VLOOKUP(C380,'[1]1.CUADRO RESUMEN DE SITIOS '!$C$5:$L$1052,6,FALSE())</f>
        <v>Bogotá</v>
      </c>
      <c r="I380" s="23" t="str">
        <f>VLOOKUP(C380,'[1]1.CUADRO RESUMEN DE SITIOS '!$C$5:$L$1052,7,FALSE())</f>
        <v>WOM</v>
      </c>
      <c r="J380" s="25" t="str">
        <f>VLOOKUP(C380,'[1]1.CUADRO RESUMEN DE SITIOS '!$C$5:$L$1052,8,FALSE())</f>
        <v>CENTRO SUR/ NORTE</v>
      </c>
      <c r="K380" s="23" t="str">
        <f>VLOOKUP(C380,'[1]1.CUADRO RESUMEN DE SITIOS '!$C$5:$L$1052,9,FALSE())</f>
        <v>Maria Camila Torres</v>
      </c>
      <c r="L380" s="26" t="str">
        <f>VLOOKUP(C380,'[1]1.CUADRO RESUMEN DE SITIOS '!$C$5:$L$1052,10,FALSE())</f>
        <v>Terminado</v>
      </c>
      <c r="M380" s="26">
        <v>8828120018</v>
      </c>
      <c r="N380" s="26">
        <f>VLOOKUP(M380,[1]LPU!$A$2:$G$1512,2,FALSE())</f>
        <v>4.38</v>
      </c>
      <c r="O380" s="26" t="str">
        <f>VLOOKUP(M380,[1]LPU!$A$2:$G$1512,3,FALSE)</f>
        <v>Impermeabilización sikalastic 450 y refuerzo con sikafealt o similar. (incluye Imprimación, nivelaciones, sellamiento en los traslapos).</v>
      </c>
      <c r="P380" s="26" t="str">
        <f>VLOOKUP(M380,[1]LPU!$A$2:$G$1512,4,FALSE())</f>
        <v>Mantenimiento CW</v>
      </c>
      <c r="Q380" s="26" t="str">
        <f>VLOOKUP(M380,[1]LPU!$A$2:$G$1512,5,FALSE())</f>
        <v>M2</v>
      </c>
      <c r="R380" s="27">
        <f>VLOOKUP(M380,[1]LPU!$A$2:$G$1512,6,FALSE())</f>
        <v>52240.15</v>
      </c>
      <c r="S380" s="27" t="str">
        <f>VLOOKUP(M380,[1]LPU!$A$2:$G$1512,7,FALSE())</f>
        <v>Mantenimiento CW</v>
      </c>
      <c r="T380" s="28">
        <v>4</v>
      </c>
      <c r="U380" s="29">
        <f t="shared" si="7"/>
        <v>208960.6</v>
      </c>
      <c r="V380" s="29" t="s">
        <v>217</v>
      </c>
      <c r="W380" s="30"/>
      <c r="X380" s="29" t="s">
        <v>38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ht="21" customHeight="1" x14ac:dyDescent="0.3">
      <c r="A381" s="22">
        <v>377</v>
      </c>
      <c r="B381" s="23">
        <v>1</v>
      </c>
      <c r="C381" s="23" t="s">
        <v>218</v>
      </c>
      <c r="D381" s="23" t="str">
        <f>VLOOKUP(C381,'[1]1.CUADRO RESUMEN DE SITIOS '!$C$5:$L$1052,2,FALSE())</f>
        <v>BTA_01164</v>
      </c>
      <c r="E381" s="24">
        <f>VLOOKUP(C381,'[1]1.CUADRO RESUMEN DE SITIOS '!$C$5:$L$1052,3,FALSE())</f>
        <v>46009</v>
      </c>
      <c r="F381" s="23">
        <f>VLOOKUP(C381,'[1]1.CUADRO RESUMEN DE SITIOS '!$C$5:$L$1052,4,FALSE())</f>
        <v>4.5818300000000001</v>
      </c>
      <c r="G381" s="23">
        <f>VLOOKUP(C381,'[1]1.CUADRO RESUMEN DE SITIOS '!$C$5:$L$1052,5,FALSE())</f>
        <v>-74.069199999999995</v>
      </c>
      <c r="H381" s="23" t="str">
        <f>VLOOKUP(C381,'[1]1.CUADRO RESUMEN DE SITIOS '!$C$5:$L$1052,6,FALSE())</f>
        <v>Bogotá</v>
      </c>
      <c r="I381" s="23" t="str">
        <f>VLOOKUP(C381,'[1]1.CUADRO RESUMEN DE SITIOS '!$C$5:$L$1052,7,FALSE())</f>
        <v>WOM</v>
      </c>
      <c r="J381" s="25" t="str">
        <f>VLOOKUP(C381,'[1]1.CUADRO RESUMEN DE SITIOS '!$C$5:$L$1052,8,FALSE())</f>
        <v>CENTRO SUR/ NORTE</v>
      </c>
      <c r="K381" s="23" t="str">
        <f>VLOOKUP(C381,'[1]1.CUADRO RESUMEN DE SITIOS '!$C$5:$L$1052,9,FALSE())</f>
        <v>Maria Camila Torres</v>
      </c>
      <c r="L381" s="26" t="str">
        <f>VLOOKUP(C381,'[1]1.CUADRO RESUMEN DE SITIOS '!$C$5:$L$1052,10,FALSE())</f>
        <v>Terminado</v>
      </c>
      <c r="M381" s="26">
        <v>8828120047</v>
      </c>
      <c r="N381" s="26">
        <f>VLOOKUP(M381,[1]LPU!$A$2:$G$1512,2,FALSE())</f>
        <v>4.41</v>
      </c>
      <c r="O381" s="26" t="str">
        <f>VLOOKUP(M381,[1]LPU!$A$2:$G$1512,3,FALSE)</f>
        <v>Suministro e instalación de bajante de aguas lluvias en PVC 3"</v>
      </c>
      <c r="P381" s="26" t="str">
        <f>VLOOKUP(M381,[1]LPU!$A$2:$G$1512,4,FALSE())</f>
        <v>Mantenimiento CW</v>
      </c>
      <c r="Q381" s="26" t="str">
        <f>VLOOKUP(M381,[1]LPU!$A$2:$G$1512,5,FALSE())</f>
        <v>ML</v>
      </c>
      <c r="R381" s="27">
        <f>VLOOKUP(M381,[1]LPU!$A$2:$G$1512,6,FALSE())</f>
        <v>19614.599999999999</v>
      </c>
      <c r="S381" s="27" t="str">
        <f>VLOOKUP(M381,[1]LPU!$A$2:$G$1512,7,FALSE())</f>
        <v>Mantenimiento CW</v>
      </c>
      <c r="T381" s="28">
        <v>7</v>
      </c>
      <c r="U381" s="29">
        <f t="shared" si="7"/>
        <v>137302.19999999998</v>
      </c>
      <c r="V381" s="29" t="s">
        <v>217</v>
      </c>
      <c r="W381" s="30"/>
      <c r="X381" s="29" t="s">
        <v>38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ht="21" customHeight="1" x14ac:dyDescent="0.3">
      <c r="A382" s="22">
        <v>378</v>
      </c>
      <c r="B382" s="23">
        <v>1</v>
      </c>
      <c r="C382" s="23" t="s">
        <v>218</v>
      </c>
      <c r="D382" s="23" t="str">
        <f>VLOOKUP(C382,'[1]1.CUADRO RESUMEN DE SITIOS '!$C$5:$L$1052,2,FALSE())</f>
        <v>BTA_01164</v>
      </c>
      <c r="E382" s="24">
        <f>VLOOKUP(C382,'[1]1.CUADRO RESUMEN DE SITIOS '!$C$5:$L$1052,3,FALSE())</f>
        <v>46009</v>
      </c>
      <c r="F382" s="23">
        <f>VLOOKUP(C382,'[1]1.CUADRO RESUMEN DE SITIOS '!$C$5:$L$1052,4,FALSE())</f>
        <v>4.5818300000000001</v>
      </c>
      <c r="G382" s="23">
        <f>VLOOKUP(C382,'[1]1.CUADRO RESUMEN DE SITIOS '!$C$5:$L$1052,5,FALSE())</f>
        <v>-74.069199999999995</v>
      </c>
      <c r="H382" s="23" t="str">
        <f>VLOOKUP(C382,'[1]1.CUADRO RESUMEN DE SITIOS '!$C$5:$L$1052,6,FALSE())</f>
        <v>Bogotá</v>
      </c>
      <c r="I382" s="23" t="str">
        <f>VLOOKUP(C382,'[1]1.CUADRO RESUMEN DE SITIOS '!$C$5:$L$1052,7,FALSE())</f>
        <v>WOM</v>
      </c>
      <c r="J382" s="25" t="str">
        <f>VLOOKUP(C382,'[1]1.CUADRO RESUMEN DE SITIOS '!$C$5:$L$1052,8,FALSE())</f>
        <v>CENTRO SUR/ NORTE</v>
      </c>
      <c r="K382" s="23" t="str">
        <f>VLOOKUP(C382,'[1]1.CUADRO RESUMEN DE SITIOS '!$C$5:$L$1052,9,FALSE())</f>
        <v>Maria Camila Torres</v>
      </c>
      <c r="L382" s="26" t="str">
        <f>VLOOKUP(C382,'[1]1.CUADRO RESUMEN DE SITIOS '!$C$5:$L$1052,10,FALSE())</f>
        <v>Terminado</v>
      </c>
      <c r="M382" s="26">
        <v>8828120092</v>
      </c>
      <c r="N382" s="26">
        <f>VLOOKUP(M382,[1]LPU!$A$2:$G$1512,2,FALSE())</f>
        <v>4.46</v>
      </c>
      <c r="O382" s="26" t="str">
        <f>VLOOKUP(M382,[1]LPU!$A$2:$G$1512,3,FALSE)</f>
        <v>Suministro e instalación de pintura bituminosa</v>
      </c>
      <c r="P382" s="26" t="str">
        <f>VLOOKUP(M382,[1]LPU!$A$2:$G$1512,4,FALSE())</f>
        <v>Mantenimiento CW</v>
      </c>
      <c r="Q382" s="26" t="str">
        <f>VLOOKUP(M382,[1]LPU!$A$2:$G$1512,5,FALSE())</f>
        <v>M2</v>
      </c>
      <c r="R382" s="27">
        <f>VLOOKUP(M382,[1]LPU!$A$2:$G$1512,6,FALSE())</f>
        <v>22059.200000000001</v>
      </c>
      <c r="S382" s="27" t="str">
        <f>VLOOKUP(M382,[1]LPU!$A$2:$G$1512,7,FALSE())</f>
        <v>Mantenimiento CW</v>
      </c>
      <c r="T382" s="28">
        <v>15</v>
      </c>
      <c r="U382" s="29">
        <f t="shared" si="7"/>
        <v>330888</v>
      </c>
      <c r="V382" s="29" t="s">
        <v>217</v>
      </c>
      <c r="W382" s="30"/>
      <c r="X382" s="29" t="s">
        <v>38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ht="21" customHeight="1" x14ac:dyDescent="0.3">
      <c r="A383" s="22">
        <v>379</v>
      </c>
      <c r="B383" s="23">
        <v>1</v>
      </c>
      <c r="C383" s="23" t="s">
        <v>218</v>
      </c>
      <c r="D383" s="23" t="str">
        <f>VLOOKUP(C383,'[1]1.CUADRO RESUMEN DE SITIOS '!$C$5:$L$1052,2,FALSE())</f>
        <v>BTA_01164</v>
      </c>
      <c r="E383" s="24">
        <f>VLOOKUP(C383,'[1]1.CUADRO RESUMEN DE SITIOS '!$C$5:$L$1052,3,FALSE())</f>
        <v>46009</v>
      </c>
      <c r="F383" s="23">
        <f>VLOOKUP(C383,'[1]1.CUADRO RESUMEN DE SITIOS '!$C$5:$L$1052,4,FALSE())</f>
        <v>4.5818300000000001</v>
      </c>
      <c r="G383" s="23">
        <f>VLOOKUP(C383,'[1]1.CUADRO RESUMEN DE SITIOS '!$C$5:$L$1052,5,FALSE())</f>
        <v>-74.069199999999995</v>
      </c>
      <c r="H383" s="23" t="str">
        <f>VLOOKUP(C383,'[1]1.CUADRO RESUMEN DE SITIOS '!$C$5:$L$1052,6,FALSE())</f>
        <v>Bogotá</v>
      </c>
      <c r="I383" s="23" t="str">
        <f>VLOOKUP(C383,'[1]1.CUADRO RESUMEN DE SITIOS '!$C$5:$L$1052,7,FALSE())</f>
        <v>WOM</v>
      </c>
      <c r="J383" s="25" t="str">
        <f>VLOOKUP(C383,'[1]1.CUADRO RESUMEN DE SITIOS '!$C$5:$L$1052,8,FALSE())</f>
        <v>CENTRO SUR/ NORTE</v>
      </c>
      <c r="K383" s="23" t="str">
        <f>VLOOKUP(C383,'[1]1.CUADRO RESUMEN DE SITIOS '!$C$5:$L$1052,9,FALSE())</f>
        <v>Maria Camila Torres</v>
      </c>
      <c r="L383" s="26" t="str">
        <f>VLOOKUP(C383,'[1]1.CUADRO RESUMEN DE SITIOS '!$C$5:$L$1052,10,FALSE())</f>
        <v>Terminado</v>
      </c>
      <c r="M383" s="26">
        <v>8828119072</v>
      </c>
      <c r="N383" s="26">
        <f>VLOOKUP(M383,[1]LPU!$A$2:$G$1512,2,FALSE())</f>
        <v>5.32</v>
      </c>
      <c r="O383" s="26" t="str">
        <f>VLOOKUP(M383,[1]LPU!$A$2:$G$1512,3,FALSE)</f>
        <v>Reemplazo riendas de estructura riendada acorde con la norma EIA/TIA222F - EIA/TIA222G. Incluye desmonte riendas a reemplazar, suministro e instalación de riendas nuevas. Incluye todos los elementos y equipos necesarios para la realización. Rienda de 3/8" con alma de acero.</v>
      </c>
      <c r="P383" s="26" t="str">
        <f>VLOOKUP(M383,[1]LPU!$A$2:$G$1512,4,FALSE())</f>
        <v>Mantenimiento CW</v>
      </c>
      <c r="Q383" s="26" t="str">
        <f>VLOOKUP(M383,[1]LPU!$A$2:$G$1512,5,FALSE())</f>
        <v>ML</v>
      </c>
      <c r="R383" s="27">
        <f>VLOOKUP(M383,[1]LPU!$A$2:$G$1512,6,FALSE())</f>
        <v>14686.3</v>
      </c>
      <c r="S383" s="27" t="str">
        <f>VLOOKUP(M383,[1]LPU!$A$2:$G$1512,7,FALSE())</f>
        <v>Mantenimiento CW</v>
      </c>
      <c r="T383" s="28">
        <v>4</v>
      </c>
      <c r="U383" s="29">
        <f t="shared" si="7"/>
        <v>58745.2</v>
      </c>
      <c r="V383" s="29" t="s">
        <v>217</v>
      </c>
      <c r="W383" s="30"/>
      <c r="X383" s="29" t="s">
        <v>38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ht="21" customHeight="1" x14ac:dyDescent="0.3">
      <c r="A384" s="22">
        <v>380</v>
      </c>
      <c r="B384" s="23">
        <v>1</v>
      </c>
      <c r="C384" s="23" t="s">
        <v>218</v>
      </c>
      <c r="D384" s="23" t="str">
        <f>VLOOKUP(C384,'[1]1.CUADRO RESUMEN DE SITIOS '!$C$5:$L$1052,2,FALSE())</f>
        <v>BTA_01164</v>
      </c>
      <c r="E384" s="24">
        <f>VLOOKUP(C384,'[1]1.CUADRO RESUMEN DE SITIOS '!$C$5:$L$1052,3,FALSE())</f>
        <v>46009</v>
      </c>
      <c r="F384" s="23">
        <f>VLOOKUP(C384,'[1]1.CUADRO RESUMEN DE SITIOS '!$C$5:$L$1052,4,FALSE())</f>
        <v>4.5818300000000001</v>
      </c>
      <c r="G384" s="23">
        <f>VLOOKUP(C384,'[1]1.CUADRO RESUMEN DE SITIOS '!$C$5:$L$1052,5,FALSE())</f>
        <v>-74.069199999999995</v>
      </c>
      <c r="H384" s="23" t="str">
        <f>VLOOKUP(C384,'[1]1.CUADRO RESUMEN DE SITIOS '!$C$5:$L$1052,6,FALSE())</f>
        <v>Bogotá</v>
      </c>
      <c r="I384" s="23" t="str">
        <f>VLOOKUP(C384,'[1]1.CUADRO RESUMEN DE SITIOS '!$C$5:$L$1052,7,FALSE())</f>
        <v>WOM</v>
      </c>
      <c r="J384" s="25" t="str">
        <f>VLOOKUP(C384,'[1]1.CUADRO RESUMEN DE SITIOS '!$C$5:$L$1052,8,FALSE())</f>
        <v>CENTRO SUR/ NORTE</v>
      </c>
      <c r="K384" s="23" t="str">
        <f>VLOOKUP(C384,'[1]1.CUADRO RESUMEN DE SITIOS '!$C$5:$L$1052,9,FALSE())</f>
        <v>Maria Camila Torres</v>
      </c>
      <c r="L384" s="26" t="str">
        <f>VLOOKUP(C384,'[1]1.CUADRO RESUMEN DE SITIOS '!$C$5:$L$1052,10,FALSE())</f>
        <v>Terminado</v>
      </c>
      <c r="M384" s="26">
        <v>8828119090</v>
      </c>
      <c r="N384" s="26">
        <f>VLOOKUP(M384,[1]LPU!$A$2:$G$1512,2,FALSE())</f>
        <v>6.02</v>
      </c>
      <c r="O384" s="26" t="str">
        <f>VLOOKUP(M384,[1]LPU!$A$2:$G$1512,3,FALSE)</f>
        <v>Sistemas de ingeniería para actividades en alturas (Andamios certificados, líneas de vida portátiles, elementos de fijación o anclajes certificados) adicionales a las condiciones normales de trabajo ***</v>
      </c>
      <c r="P384" s="26" t="str">
        <f>VLOOKUP(M384,[1]LPU!$A$2:$G$1512,4,FALSE())</f>
        <v>Mantenimiento CW</v>
      </c>
      <c r="Q384" s="26" t="str">
        <f>VLOOKUP(M384,[1]LPU!$A$2:$G$1512,5,FALSE())</f>
        <v>Día</v>
      </c>
      <c r="R384" s="27">
        <f>VLOOKUP(M384,[1]LPU!$A$2:$G$1512,6,FALSE())</f>
        <v>212376.75</v>
      </c>
      <c r="S384" s="27" t="str">
        <f>VLOOKUP(M384,[1]LPU!$A$2:$G$1512,7,FALSE())</f>
        <v>Mantenimiento CW</v>
      </c>
      <c r="T384" s="28">
        <v>2</v>
      </c>
      <c r="U384" s="29">
        <f t="shared" si="7"/>
        <v>424753.5</v>
      </c>
      <c r="V384" s="29" t="s">
        <v>217</v>
      </c>
      <c r="W384" s="30"/>
      <c r="X384" s="29" t="s">
        <v>38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ht="21" customHeight="1" x14ac:dyDescent="0.3">
      <c r="A385" s="22">
        <v>381</v>
      </c>
      <c r="B385" s="23">
        <v>1</v>
      </c>
      <c r="C385" s="23" t="s">
        <v>218</v>
      </c>
      <c r="D385" s="23" t="str">
        <f>VLOOKUP(C385,'[1]1.CUADRO RESUMEN DE SITIOS '!$C$5:$L$1052,2,FALSE())</f>
        <v>BTA_01164</v>
      </c>
      <c r="E385" s="24">
        <f>VLOOKUP(C385,'[1]1.CUADRO RESUMEN DE SITIOS '!$C$5:$L$1052,3,FALSE())</f>
        <v>46009</v>
      </c>
      <c r="F385" s="23">
        <f>VLOOKUP(C385,'[1]1.CUADRO RESUMEN DE SITIOS '!$C$5:$L$1052,4,FALSE())</f>
        <v>4.5818300000000001</v>
      </c>
      <c r="G385" s="23">
        <f>VLOOKUP(C385,'[1]1.CUADRO RESUMEN DE SITIOS '!$C$5:$L$1052,5,FALSE())</f>
        <v>-74.069199999999995</v>
      </c>
      <c r="H385" s="23" t="str">
        <f>VLOOKUP(C385,'[1]1.CUADRO RESUMEN DE SITIOS '!$C$5:$L$1052,6,FALSE())</f>
        <v>Bogotá</v>
      </c>
      <c r="I385" s="23" t="str">
        <f>VLOOKUP(C385,'[1]1.CUADRO RESUMEN DE SITIOS '!$C$5:$L$1052,7,FALSE())</f>
        <v>WOM</v>
      </c>
      <c r="J385" s="25" t="str">
        <f>VLOOKUP(C385,'[1]1.CUADRO RESUMEN DE SITIOS '!$C$5:$L$1052,8,FALSE())</f>
        <v>CENTRO SUR/ NORTE</v>
      </c>
      <c r="K385" s="23" t="str">
        <f>VLOOKUP(C385,'[1]1.CUADRO RESUMEN DE SITIOS '!$C$5:$L$1052,9,FALSE())</f>
        <v>Maria Camila Torres</v>
      </c>
      <c r="L385" s="26" t="str">
        <f>VLOOKUP(C385,'[1]1.CUADRO RESUMEN DE SITIOS '!$C$5:$L$1052,10,FALSE())</f>
        <v>Terminado</v>
      </c>
      <c r="M385" s="26">
        <v>8828119921</v>
      </c>
      <c r="N385" s="26">
        <f>VLOOKUP(M385,[1]LPU!$A$2:$G$1512,2,FALSE())</f>
        <v>163</v>
      </c>
      <c r="O385" s="26" t="str">
        <f>VLOOKUP(M385,[1]LPU!$A$2:$G$1512,3,FALSE)</f>
        <v>Tansporte tipo A, ciudad principal y área metropolitana</v>
      </c>
      <c r="P385" s="26" t="str">
        <f>VLOOKUP(M385,[1]LPU!$A$2:$G$1512,4,FALSE())</f>
        <v>LOCATIVO</v>
      </c>
      <c r="Q385" s="26" t="str">
        <f>VLOOKUP(M385,[1]LPU!$A$2:$G$1512,5,FALSE())</f>
        <v>Global</v>
      </c>
      <c r="R385" s="27">
        <f>VLOOKUP(M385,[1]LPU!$A$2:$G$1512,6,FALSE())</f>
        <v>133571.54999999999</v>
      </c>
      <c r="S385" s="27" t="str">
        <f>VLOOKUP(M385,[1]LPU!$A$2:$G$1512,7,FALSE())</f>
        <v>LPU FLM</v>
      </c>
      <c r="T385" s="28">
        <v>1</v>
      </c>
      <c r="U385" s="29">
        <f t="shared" si="7"/>
        <v>133571.54999999999</v>
      </c>
      <c r="V385" s="29" t="s">
        <v>217</v>
      </c>
      <c r="W385" s="30"/>
      <c r="X385" s="29" t="s">
        <v>38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ht="21" customHeight="1" x14ac:dyDescent="0.3">
      <c r="A386" s="22">
        <v>382</v>
      </c>
      <c r="B386" s="23">
        <v>1</v>
      </c>
      <c r="C386" s="23" t="s">
        <v>219</v>
      </c>
      <c r="D386" s="23" t="str">
        <f>VLOOKUP(C386,'[1]1.CUADRO RESUMEN DE SITIOS '!$C$5:$L$1052,2,FALSE())</f>
        <v>NOR_02665</v>
      </c>
      <c r="E386" s="24">
        <f>VLOOKUP(C386,'[1]1.CUADRO RESUMEN DE SITIOS '!$C$5:$L$1052,3,FALSE())</f>
        <v>46012</v>
      </c>
      <c r="F386" s="23">
        <f>VLOOKUP(C386,'[1]1.CUADRO RESUMEN DE SITIOS '!$C$5:$L$1052,4,FALSE())</f>
        <v>7.3841109999999999</v>
      </c>
      <c r="G386" s="23">
        <f>VLOOKUP(C386,'[1]1.CUADRO RESUMEN DE SITIOS '!$C$5:$L$1052,5,FALSE())</f>
        <v>-72.646823999999995</v>
      </c>
      <c r="H386" s="23" t="str">
        <f>VLOOKUP(C386,'[1]1.CUADRO RESUMEN DE SITIOS '!$C$5:$L$1052,6,FALSE())</f>
        <v>Santander</v>
      </c>
      <c r="I386" s="23" t="str">
        <f>VLOOKUP(C386,'[1]1.CUADRO RESUMEN DE SITIOS '!$C$5:$L$1052,7,FALSE())</f>
        <v>WOM</v>
      </c>
      <c r="J386" s="25" t="str">
        <f>VLOOKUP(C386,'[1]1.CUADRO RESUMEN DE SITIOS '!$C$5:$L$1052,8,FALSE())</f>
        <v>NOROCCIDENTE</v>
      </c>
      <c r="K386" s="23" t="str">
        <f>VLOOKUP(C386,'[1]1.CUADRO RESUMEN DE SITIOS '!$C$5:$L$1052,9,FALSE())</f>
        <v>DIEGO CEPEDA</v>
      </c>
      <c r="L386" s="26" t="str">
        <f>VLOOKUP(C386,'[1]1.CUADRO RESUMEN DE SITIOS '!$C$5:$L$1052,10,FALSE())</f>
        <v>Terminado</v>
      </c>
      <c r="M386" s="26">
        <v>8828118978</v>
      </c>
      <c r="N386" s="26">
        <f>VLOOKUP(M386,[1]LPU!$A$2:$G$1512,2,FALSE())</f>
        <v>4.04</v>
      </c>
      <c r="O386" s="26" t="str">
        <f>VLOOKUP(M386,[1]LPU!$A$2:$G$1512,3,FALSE)</f>
        <v>Suministro e instalación Cerramiento con lámina de fibrocemento de mínimo 6 mm</v>
      </c>
      <c r="P386" s="26" t="str">
        <f>VLOOKUP(M386,[1]LPU!$A$2:$G$1512,4,FALSE())</f>
        <v>Mantenimiento CW</v>
      </c>
      <c r="Q386" s="26" t="str">
        <f>VLOOKUP(M386,[1]LPU!$A$2:$G$1512,5,FALSE())</f>
        <v>M2</v>
      </c>
      <c r="R386" s="27">
        <f>VLOOKUP(M386,[1]LPU!$A$2:$G$1512,6,FALSE())</f>
        <v>157374.95000000001</v>
      </c>
      <c r="S386" s="27" t="str">
        <f>VLOOKUP(M386,[1]LPU!$A$2:$G$1512,7,FALSE())</f>
        <v>Mantenimiento CW</v>
      </c>
      <c r="T386" s="28">
        <v>15</v>
      </c>
      <c r="U386" s="29">
        <f t="shared" si="7"/>
        <v>2360624.25</v>
      </c>
      <c r="V386" s="29" t="s">
        <v>220</v>
      </c>
      <c r="W386" s="30"/>
      <c r="X386" s="29" t="s">
        <v>38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ht="21" customHeight="1" x14ac:dyDescent="0.3">
      <c r="A387" s="22">
        <v>383</v>
      </c>
      <c r="B387" s="23">
        <v>1</v>
      </c>
      <c r="C387" s="23" t="s">
        <v>219</v>
      </c>
      <c r="D387" s="23" t="str">
        <f>VLOOKUP(C387,'[1]1.CUADRO RESUMEN DE SITIOS '!$C$5:$L$1052,2,FALSE())</f>
        <v>NOR_02665</v>
      </c>
      <c r="E387" s="24">
        <f>VLOOKUP(C387,'[1]1.CUADRO RESUMEN DE SITIOS '!$C$5:$L$1052,3,FALSE())</f>
        <v>46012</v>
      </c>
      <c r="F387" s="23">
        <f>VLOOKUP(C387,'[1]1.CUADRO RESUMEN DE SITIOS '!$C$5:$L$1052,4,FALSE())</f>
        <v>7.3841109999999999</v>
      </c>
      <c r="G387" s="23">
        <f>VLOOKUP(C387,'[1]1.CUADRO RESUMEN DE SITIOS '!$C$5:$L$1052,5,FALSE())</f>
        <v>-72.646823999999995</v>
      </c>
      <c r="H387" s="23" t="str">
        <f>VLOOKUP(C387,'[1]1.CUADRO RESUMEN DE SITIOS '!$C$5:$L$1052,6,FALSE())</f>
        <v>Santander</v>
      </c>
      <c r="I387" s="23" t="str">
        <f>VLOOKUP(C387,'[1]1.CUADRO RESUMEN DE SITIOS '!$C$5:$L$1052,7,FALSE())</f>
        <v>WOM</v>
      </c>
      <c r="J387" s="25" t="str">
        <f>VLOOKUP(C387,'[1]1.CUADRO RESUMEN DE SITIOS '!$C$5:$L$1052,8,FALSE())</f>
        <v>NOROCCIDENTE</v>
      </c>
      <c r="K387" s="23" t="str">
        <f>VLOOKUP(C387,'[1]1.CUADRO RESUMEN DE SITIOS '!$C$5:$L$1052,9,FALSE())</f>
        <v>DIEGO CEPEDA</v>
      </c>
      <c r="L387" s="26" t="str">
        <f>VLOOKUP(C387,'[1]1.CUADRO RESUMEN DE SITIOS '!$C$5:$L$1052,10,FALSE())</f>
        <v>Terminado</v>
      </c>
      <c r="M387" s="26">
        <v>8828120075</v>
      </c>
      <c r="N387" s="26">
        <f>VLOOKUP(M387,[1]LPU!$A$2:$G$1512,2,FALSE())</f>
        <v>4.4400000000000004</v>
      </c>
      <c r="O387" s="26" t="str">
        <f>VLOOKUP(M387,[1]LPU!$A$2:$G$1512,3,FALSE)</f>
        <v>Mantenimiento de canales (Viga canal) Destapar, asegurar, y limpiar (vigas canales en cubierta -cárcamos existentes en fachada principal -piso y cajas de inspección)</v>
      </c>
      <c r="P387" s="26" t="str">
        <f>VLOOKUP(M387,[1]LPU!$A$2:$G$1512,4,FALSE())</f>
        <v>Mantenimiento CW</v>
      </c>
      <c r="Q387" s="26" t="str">
        <f>VLOOKUP(M387,[1]LPU!$A$2:$G$1512,5,FALSE())</f>
        <v>ML</v>
      </c>
      <c r="R387" s="27">
        <f>VLOOKUP(M387,[1]LPU!$A$2:$G$1512,6,FALSE())</f>
        <v>24032.9</v>
      </c>
      <c r="S387" s="27" t="str">
        <f>VLOOKUP(M387,[1]LPU!$A$2:$G$1512,7,FALSE())</f>
        <v>Mantenimiento CW</v>
      </c>
      <c r="T387" s="28">
        <v>10</v>
      </c>
      <c r="U387" s="29">
        <f t="shared" si="7"/>
        <v>240329</v>
      </c>
      <c r="V387" s="29" t="s">
        <v>220</v>
      </c>
      <c r="W387" s="30"/>
      <c r="X387" s="29" t="s">
        <v>38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ht="21" customHeight="1" x14ac:dyDescent="0.3">
      <c r="A388" s="22">
        <v>384</v>
      </c>
      <c r="B388" s="23">
        <v>1</v>
      </c>
      <c r="C388" s="23" t="s">
        <v>219</v>
      </c>
      <c r="D388" s="23" t="str">
        <f>VLOOKUP(C388,'[1]1.CUADRO RESUMEN DE SITIOS '!$C$5:$L$1052,2,FALSE())</f>
        <v>NOR_02665</v>
      </c>
      <c r="E388" s="24">
        <f>VLOOKUP(C388,'[1]1.CUADRO RESUMEN DE SITIOS '!$C$5:$L$1052,3,FALSE())</f>
        <v>46012</v>
      </c>
      <c r="F388" s="23">
        <f>VLOOKUP(C388,'[1]1.CUADRO RESUMEN DE SITIOS '!$C$5:$L$1052,4,FALSE())</f>
        <v>7.3841109999999999</v>
      </c>
      <c r="G388" s="23">
        <f>VLOOKUP(C388,'[1]1.CUADRO RESUMEN DE SITIOS '!$C$5:$L$1052,5,FALSE())</f>
        <v>-72.646823999999995</v>
      </c>
      <c r="H388" s="23" t="str">
        <f>VLOOKUP(C388,'[1]1.CUADRO RESUMEN DE SITIOS '!$C$5:$L$1052,6,FALSE())</f>
        <v>Santander</v>
      </c>
      <c r="I388" s="23" t="str">
        <f>VLOOKUP(C388,'[1]1.CUADRO RESUMEN DE SITIOS '!$C$5:$L$1052,7,FALSE())</f>
        <v>WOM</v>
      </c>
      <c r="J388" s="25" t="str">
        <f>VLOOKUP(C388,'[1]1.CUADRO RESUMEN DE SITIOS '!$C$5:$L$1052,8,FALSE())</f>
        <v>NOROCCIDENTE</v>
      </c>
      <c r="K388" s="23" t="str">
        <f>VLOOKUP(C388,'[1]1.CUADRO RESUMEN DE SITIOS '!$C$5:$L$1052,9,FALSE())</f>
        <v>DIEGO CEPEDA</v>
      </c>
      <c r="L388" s="26" t="str">
        <f>VLOOKUP(C388,'[1]1.CUADRO RESUMEN DE SITIOS '!$C$5:$L$1052,10,FALSE())</f>
        <v>Terminado</v>
      </c>
      <c r="M388" s="26">
        <v>8828120031</v>
      </c>
      <c r="N388" s="26">
        <f>VLOOKUP(M388,[1]LPU!$A$2:$G$1512,2,FALSE())</f>
        <v>4.3899999999999997</v>
      </c>
      <c r="O388" s="26" t="str">
        <f>VLOOKUP(M388,[1]LPU!$A$2:$G$1512,3,FALSE)</f>
        <v>Desmonte de cubierta, incluye mano de obra, materiales y disposición.</v>
      </c>
      <c r="P388" s="26" t="str">
        <f>VLOOKUP(M388,[1]LPU!$A$2:$G$1512,4,FALSE())</f>
        <v>Mantenimiento CW</v>
      </c>
      <c r="Q388" s="26" t="str">
        <f>VLOOKUP(M388,[1]LPU!$A$2:$G$1512,5,FALSE())</f>
        <v>M2</v>
      </c>
      <c r="R388" s="27">
        <f>VLOOKUP(M388,[1]LPU!$A$2:$G$1512,6,FALSE())</f>
        <v>14253.65</v>
      </c>
      <c r="S388" s="27" t="str">
        <f>VLOOKUP(M388,[1]LPU!$A$2:$G$1512,7,FALSE())</f>
        <v>Mantenimiento CW</v>
      </c>
      <c r="T388" s="28">
        <v>15</v>
      </c>
      <c r="U388" s="29">
        <f t="shared" si="7"/>
        <v>213804.75</v>
      </c>
      <c r="V388" s="29" t="s">
        <v>220</v>
      </c>
      <c r="W388" s="30"/>
      <c r="X388" s="29" t="s">
        <v>38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ht="21" customHeight="1" x14ac:dyDescent="0.3">
      <c r="A389" s="22">
        <v>385</v>
      </c>
      <c r="B389" s="23">
        <v>1</v>
      </c>
      <c r="C389" s="23" t="s">
        <v>219</v>
      </c>
      <c r="D389" s="23" t="str">
        <f>VLOOKUP(C389,'[1]1.CUADRO RESUMEN DE SITIOS '!$C$5:$L$1052,2,FALSE())</f>
        <v>NOR_02665</v>
      </c>
      <c r="E389" s="24">
        <f>VLOOKUP(C389,'[1]1.CUADRO RESUMEN DE SITIOS '!$C$5:$L$1052,3,FALSE())</f>
        <v>46012</v>
      </c>
      <c r="F389" s="23">
        <f>VLOOKUP(C389,'[1]1.CUADRO RESUMEN DE SITIOS '!$C$5:$L$1052,4,FALSE())</f>
        <v>7.3841109999999999</v>
      </c>
      <c r="G389" s="23">
        <f>VLOOKUP(C389,'[1]1.CUADRO RESUMEN DE SITIOS '!$C$5:$L$1052,5,FALSE())</f>
        <v>-72.646823999999995</v>
      </c>
      <c r="H389" s="23" t="str">
        <f>VLOOKUP(C389,'[1]1.CUADRO RESUMEN DE SITIOS '!$C$5:$L$1052,6,FALSE())</f>
        <v>Santander</v>
      </c>
      <c r="I389" s="23" t="str">
        <f>VLOOKUP(C389,'[1]1.CUADRO RESUMEN DE SITIOS '!$C$5:$L$1052,7,FALSE())</f>
        <v>WOM</v>
      </c>
      <c r="J389" s="25" t="str">
        <f>VLOOKUP(C389,'[1]1.CUADRO RESUMEN DE SITIOS '!$C$5:$L$1052,8,FALSE())</f>
        <v>NOROCCIDENTE</v>
      </c>
      <c r="K389" s="23" t="str">
        <f>VLOOKUP(C389,'[1]1.CUADRO RESUMEN DE SITIOS '!$C$5:$L$1052,9,FALSE())</f>
        <v>DIEGO CEPEDA</v>
      </c>
      <c r="L389" s="26" t="str">
        <f>VLOOKUP(C389,'[1]1.CUADRO RESUMEN DE SITIOS '!$C$5:$L$1052,10,FALSE())</f>
        <v>Terminado</v>
      </c>
      <c r="M389" s="26">
        <v>8828119346</v>
      </c>
      <c r="N389" s="26">
        <f>VLOOKUP(M389,[1]LPU!$A$2:$G$1512,2,FALSE())</f>
        <v>4.21</v>
      </c>
      <c r="O389" s="26" t="str">
        <f>VLOOKUP(M389,[1]LPU!$A$2:$G$1512,3,FALSE)</f>
        <v>Suministro e instalación de pintura en vinilo tipo interior a 3 manos</v>
      </c>
      <c r="P389" s="26" t="str">
        <f>VLOOKUP(M389,[1]LPU!$A$2:$G$1512,4,FALSE())</f>
        <v>Mantenimiento CW</v>
      </c>
      <c r="Q389" s="26" t="str">
        <f>VLOOKUP(M389,[1]LPU!$A$2:$G$1512,5,FALSE())</f>
        <v>M2</v>
      </c>
      <c r="R389" s="27">
        <f>VLOOKUP(M389,[1]LPU!$A$2:$G$1512,6,FALSE())</f>
        <v>17690.2</v>
      </c>
      <c r="S389" s="27" t="str">
        <f>VLOOKUP(M389,[1]LPU!$A$2:$G$1512,7,FALSE())</f>
        <v>Mantenimiento CW</v>
      </c>
      <c r="T389" s="28">
        <v>42.56</v>
      </c>
      <c r="U389" s="29">
        <f t="shared" si="7"/>
        <v>752894.91200000013</v>
      </c>
      <c r="V389" s="29" t="s">
        <v>220</v>
      </c>
      <c r="W389" s="30"/>
      <c r="X389" s="29" t="s">
        <v>38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ht="21" customHeight="1" x14ac:dyDescent="0.3">
      <c r="A390" s="22">
        <v>386</v>
      </c>
      <c r="B390" s="23">
        <v>1</v>
      </c>
      <c r="C390" s="23" t="s">
        <v>219</v>
      </c>
      <c r="D390" s="23" t="str">
        <f>VLOOKUP(C390,'[1]1.CUADRO RESUMEN DE SITIOS '!$C$5:$L$1052,2,FALSE())</f>
        <v>NOR_02665</v>
      </c>
      <c r="E390" s="24">
        <f>VLOOKUP(C390,'[1]1.CUADRO RESUMEN DE SITIOS '!$C$5:$L$1052,3,FALSE())</f>
        <v>46012</v>
      </c>
      <c r="F390" s="23">
        <f>VLOOKUP(C390,'[1]1.CUADRO RESUMEN DE SITIOS '!$C$5:$L$1052,4,FALSE())</f>
        <v>7.3841109999999999</v>
      </c>
      <c r="G390" s="23">
        <f>VLOOKUP(C390,'[1]1.CUADRO RESUMEN DE SITIOS '!$C$5:$L$1052,5,FALSE())</f>
        <v>-72.646823999999995</v>
      </c>
      <c r="H390" s="23" t="str">
        <f>VLOOKUP(C390,'[1]1.CUADRO RESUMEN DE SITIOS '!$C$5:$L$1052,6,FALSE())</f>
        <v>Santander</v>
      </c>
      <c r="I390" s="23" t="str">
        <f>VLOOKUP(C390,'[1]1.CUADRO RESUMEN DE SITIOS '!$C$5:$L$1052,7,FALSE())</f>
        <v>WOM</v>
      </c>
      <c r="J390" s="25" t="str">
        <f>VLOOKUP(C390,'[1]1.CUADRO RESUMEN DE SITIOS '!$C$5:$L$1052,8,FALSE())</f>
        <v>NOROCCIDENTE</v>
      </c>
      <c r="K390" s="23" t="str">
        <f>VLOOKUP(C390,'[1]1.CUADRO RESUMEN DE SITIOS '!$C$5:$L$1052,9,FALSE())</f>
        <v>DIEGO CEPEDA</v>
      </c>
      <c r="L390" s="26" t="str">
        <f>VLOOKUP(C390,'[1]1.CUADRO RESUMEN DE SITIOS '!$C$5:$L$1052,10,FALSE())</f>
        <v>Terminado</v>
      </c>
      <c r="M390" s="26">
        <v>8828119045</v>
      </c>
      <c r="N390" s="26">
        <f>VLOOKUP(M390,[1]LPU!$A$2:$G$1512,2,FALSE())</f>
        <v>5.29</v>
      </c>
      <c r="O390" s="26" t="str">
        <f>VLOOKUP(M390,[1]LPU!$A$2:$G$1512,3,FALSE)</f>
        <v>Suministro e instalación de estructura metálica en acero galvanizado para refuerzo, soportes, bases y adecuaciones en general.</v>
      </c>
      <c r="P390" s="26" t="str">
        <f>VLOOKUP(M390,[1]LPU!$A$2:$G$1512,4,FALSE())</f>
        <v>Mantenimiento CW</v>
      </c>
      <c r="Q390" s="26" t="str">
        <f>VLOOKUP(M390,[1]LPU!$A$2:$G$1512,5,FALSE())</f>
        <v>Kg</v>
      </c>
      <c r="R390" s="27">
        <f>VLOOKUP(M390,[1]LPU!$A$2:$G$1512,6,FALSE())</f>
        <v>12911.5</v>
      </c>
      <c r="S390" s="27" t="str">
        <f>VLOOKUP(M390,[1]LPU!$A$2:$G$1512,7,FALSE())</f>
        <v>Mantenimiento CW</v>
      </c>
      <c r="T390" s="28">
        <v>30</v>
      </c>
      <c r="U390" s="29">
        <f t="shared" si="7"/>
        <v>387345</v>
      </c>
      <c r="V390" s="29" t="s">
        <v>220</v>
      </c>
      <c r="W390" s="30"/>
      <c r="X390" s="29" t="s">
        <v>38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ht="21" customHeight="1" x14ac:dyDescent="0.3">
      <c r="A391" s="22">
        <v>387</v>
      </c>
      <c r="B391" s="23">
        <v>1</v>
      </c>
      <c r="C391" s="23" t="s">
        <v>219</v>
      </c>
      <c r="D391" s="23" t="str">
        <f>VLOOKUP(C391,'[1]1.CUADRO RESUMEN DE SITIOS '!$C$5:$L$1052,2,FALSE())</f>
        <v>NOR_02665</v>
      </c>
      <c r="E391" s="24">
        <f>VLOOKUP(C391,'[1]1.CUADRO RESUMEN DE SITIOS '!$C$5:$L$1052,3,FALSE())</f>
        <v>46012</v>
      </c>
      <c r="F391" s="23">
        <f>VLOOKUP(C391,'[1]1.CUADRO RESUMEN DE SITIOS '!$C$5:$L$1052,4,FALSE())</f>
        <v>7.3841109999999999</v>
      </c>
      <c r="G391" s="23">
        <f>VLOOKUP(C391,'[1]1.CUADRO RESUMEN DE SITIOS '!$C$5:$L$1052,5,FALSE())</f>
        <v>-72.646823999999995</v>
      </c>
      <c r="H391" s="23" t="str">
        <f>VLOOKUP(C391,'[1]1.CUADRO RESUMEN DE SITIOS '!$C$5:$L$1052,6,FALSE())</f>
        <v>Santander</v>
      </c>
      <c r="I391" s="23" t="str">
        <f>VLOOKUP(C391,'[1]1.CUADRO RESUMEN DE SITIOS '!$C$5:$L$1052,7,FALSE())</f>
        <v>WOM</v>
      </c>
      <c r="J391" s="25" t="str">
        <f>VLOOKUP(C391,'[1]1.CUADRO RESUMEN DE SITIOS '!$C$5:$L$1052,8,FALSE())</f>
        <v>NOROCCIDENTE</v>
      </c>
      <c r="K391" s="23" t="str">
        <f>VLOOKUP(C391,'[1]1.CUADRO RESUMEN DE SITIOS '!$C$5:$L$1052,9,FALSE())</f>
        <v>DIEGO CEPEDA</v>
      </c>
      <c r="L391" s="26" t="str">
        <f>VLOOKUP(C391,'[1]1.CUADRO RESUMEN DE SITIOS '!$C$5:$L$1052,10,FALSE())</f>
        <v>Terminado</v>
      </c>
      <c r="M391" s="26">
        <v>8828119110</v>
      </c>
      <c r="N391" s="26">
        <f>VLOOKUP(M391,[1]LPU!$A$2:$G$1512,2,FALSE())</f>
        <v>107</v>
      </c>
      <c r="O391" s="26" t="str">
        <f>VLOOKUP(M391,[1]LPU!$A$2:$G$1512,3,FALSE)</f>
        <v>Mano de Obra Tecnico Electricista Certficado CONTE</v>
      </c>
      <c r="P391" s="26" t="str">
        <f>VLOOKUP(M391,[1]LPU!$A$2:$G$1512,4,FALSE())</f>
        <v>ENERGÍA</v>
      </c>
      <c r="Q391" s="26" t="str">
        <f>VLOOKUP(M391,[1]LPU!$A$2:$G$1512,5,FALSE())</f>
        <v>DIA</v>
      </c>
      <c r="R391" s="27">
        <f>VLOOKUP(M391,[1]LPU!$A$2:$G$1512,6,FALSE())</f>
        <v>136000</v>
      </c>
      <c r="S391" s="27" t="str">
        <f>VLOOKUP(M391,[1]LPU!$A$2:$G$1512,7,FALSE())</f>
        <v>LPU FLM</v>
      </c>
      <c r="T391" s="28">
        <v>3</v>
      </c>
      <c r="U391" s="29">
        <f t="shared" si="7"/>
        <v>408000</v>
      </c>
      <c r="V391" s="29" t="s">
        <v>220</v>
      </c>
      <c r="W391" s="30"/>
      <c r="X391" s="29" t="s">
        <v>38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ht="21" customHeight="1" x14ac:dyDescent="0.3">
      <c r="A392" s="22">
        <v>388</v>
      </c>
      <c r="B392" s="23">
        <v>1</v>
      </c>
      <c r="C392" s="23" t="s">
        <v>219</v>
      </c>
      <c r="D392" s="23" t="str">
        <f>VLOOKUP(C392,'[1]1.CUADRO RESUMEN DE SITIOS '!$C$5:$L$1052,2,FALSE())</f>
        <v>NOR_02665</v>
      </c>
      <c r="E392" s="24">
        <f>VLOOKUP(C392,'[1]1.CUADRO RESUMEN DE SITIOS '!$C$5:$L$1052,3,FALSE())</f>
        <v>46012</v>
      </c>
      <c r="F392" s="23">
        <f>VLOOKUP(C392,'[1]1.CUADRO RESUMEN DE SITIOS '!$C$5:$L$1052,4,FALSE())</f>
        <v>7.3841109999999999</v>
      </c>
      <c r="G392" s="23">
        <f>VLOOKUP(C392,'[1]1.CUADRO RESUMEN DE SITIOS '!$C$5:$L$1052,5,FALSE())</f>
        <v>-72.646823999999995</v>
      </c>
      <c r="H392" s="23" t="str">
        <f>VLOOKUP(C392,'[1]1.CUADRO RESUMEN DE SITIOS '!$C$5:$L$1052,6,FALSE())</f>
        <v>Santander</v>
      </c>
      <c r="I392" s="23" t="str">
        <f>VLOOKUP(C392,'[1]1.CUADRO RESUMEN DE SITIOS '!$C$5:$L$1052,7,FALSE())</f>
        <v>WOM</v>
      </c>
      <c r="J392" s="25" t="str">
        <f>VLOOKUP(C392,'[1]1.CUADRO RESUMEN DE SITIOS '!$C$5:$L$1052,8,FALSE())</f>
        <v>NOROCCIDENTE</v>
      </c>
      <c r="K392" s="23" t="str">
        <f>VLOOKUP(C392,'[1]1.CUADRO RESUMEN DE SITIOS '!$C$5:$L$1052,9,FALSE())</f>
        <v>DIEGO CEPEDA</v>
      </c>
      <c r="L392" s="26" t="str">
        <f>VLOOKUP(C392,'[1]1.CUADRO RESUMEN DE SITIOS '!$C$5:$L$1052,10,FALSE())</f>
        <v>Terminado</v>
      </c>
      <c r="M392" s="26">
        <v>8828119448</v>
      </c>
      <c r="N392" s="26">
        <f>VLOOKUP(M392,[1]LPU!$A$2:$G$1512,2,FALSE())</f>
        <v>181</v>
      </c>
      <c r="O392" s="26" t="str">
        <f>VLOOKUP(M392,[1]LPU!$A$2:$G$1512,3,FALSE)</f>
        <v>Limpieza Final de Obra. Retiro y Disposición de Escombros.</v>
      </c>
      <c r="P392" s="26" t="str">
        <f>VLOOKUP(M392,[1]LPU!$A$2:$G$1512,4,FALSE())</f>
        <v>LOCATIVO</v>
      </c>
      <c r="Q392" s="26" t="str">
        <f>VLOOKUP(M392,[1]LPU!$A$2:$G$1512,5,FALSE())</f>
        <v>MTS3</v>
      </c>
      <c r="R392" s="27">
        <f>VLOOKUP(M392,[1]LPU!$A$2:$G$1512,6,FALSE())</f>
        <v>19448</v>
      </c>
      <c r="S392" s="27" t="str">
        <f>VLOOKUP(M392,[1]LPU!$A$2:$G$1512,7,FALSE())</f>
        <v>LPU FLM</v>
      </c>
      <c r="T392" s="28">
        <v>5</v>
      </c>
      <c r="U392" s="29">
        <f t="shared" si="7"/>
        <v>97240</v>
      </c>
      <c r="V392" s="29" t="s">
        <v>220</v>
      </c>
      <c r="W392" s="30"/>
      <c r="X392" s="29" t="s">
        <v>38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ht="21" customHeight="1" x14ac:dyDescent="0.3">
      <c r="A393" s="22">
        <v>389</v>
      </c>
      <c r="B393" s="23">
        <v>1</v>
      </c>
      <c r="C393" s="23" t="s">
        <v>219</v>
      </c>
      <c r="D393" s="23" t="str">
        <f>VLOOKUP(C393,'[1]1.CUADRO RESUMEN DE SITIOS '!$C$5:$L$1052,2,FALSE())</f>
        <v>NOR_02665</v>
      </c>
      <c r="E393" s="24">
        <f>VLOOKUP(C393,'[1]1.CUADRO RESUMEN DE SITIOS '!$C$5:$L$1052,3,FALSE())</f>
        <v>46012</v>
      </c>
      <c r="F393" s="23">
        <f>VLOOKUP(C393,'[1]1.CUADRO RESUMEN DE SITIOS '!$C$5:$L$1052,4,FALSE())</f>
        <v>7.3841109999999999</v>
      </c>
      <c r="G393" s="23">
        <f>VLOOKUP(C393,'[1]1.CUADRO RESUMEN DE SITIOS '!$C$5:$L$1052,5,FALSE())</f>
        <v>-72.646823999999995</v>
      </c>
      <c r="H393" s="23" t="str">
        <f>VLOOKUP(C393,'[1]1.CUADRO RESUMEN DE SITIOS '!$C$5:$L$1052,6,FALSE())</f>
        <v>Santander</v>
      </c>
      <c r="I393" s="23" t="str">
        <f>VLOOKUP(C393,'[1]1.CUADRO RESUMEN DE SITIOS '!$C$5:$L$1052,7,FALSE())</f>
        <v>WOM</v>
      </c>
      <c r="J393" s="25" t="str">
        <f>VLOOKUP(C393,'[1]1.CUADRO RESUMEN DE SITIOS '!$C$5:$L$1052,8,FALSE())</f>
        <v>NOROCCIDENTE</v>
      </c>
      <c r="K393" s="23" t="str">
        <f>VLOOKUP(C393,'[1]1.CUADRO RESUMEN DE SITIOS '!$C$5:$L$1052,9,FALSE())</f>
        <v>DIEGO CEPEDA</v>
      </c>
      <c r="L393" s="26" t="str">
        <f>VLOOKUP(C393,'[1]1.CUADRO RESUMEN DE SITIOS '!$C$5:$L$1052,10,FALSE())</f>
        <v>Terminado</v>
      </c>
      <c r="M393" s="26">
        <v>8828119910</v>
      </c>
      <c r="N393" s="26">
        <f>VLOOKUP(M393,[1]LPU!$A$2:$G$1512,2,FALSE())</f>
        <v>4.2699999999999996</v>
      </c>
      <c r="O393" s="26" t="str">
        <f>VLOOKUP(M393,[1]LPU!$A$2:$G$1512,3,FALSE)</f>
        <v>Suministro e instalación de sika Impermeabilizante para muros, ambas caras</v>
      </c>
      <c r="P393" s="26" t="str">
        <f>VLOOKUP(M393,[1]LPU!$A$2:$G$1512,4,FALSE())</f>
        <v>Mantenimiento CW</v>
      </c>
      <c r="Q393" s="26" t="str">
        <f>VLOOKUP(M393,[1]LPU!$A$2:$G$1512,5,FALSE())</f>
        <v>M2</v>
      </c>
      <c r="R393" s="27">
        <f>VLOOKUP(M393,[1]LPU!$A$2:$G$1512,6,FALSE())</f>
        <v>11846.45</v>
      </c>
      <c r="S393" s="27" t="str">
        <f>VLOOKUP(M393,[1]LPU!$A$2:$G$1512,7,FALSE())</f>
        <v>Mantenimiento CW</v>
      </c>
      <c r="T393" s="28">
        <v>42.56</v>
      </c>
      <c r="U393" s="29">
        <f t="shared" si="7"/>
        <v>504184.91200000007</v>
      </c>
      <c r="V393" s="29" t="s">
        <v>220</v>
      </c>
      <c r="W393" s="30"/>
      <c r="X393" s="29" t="s">
        <v>38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ht="21" customHeight="1" x14ac:dyDescent="0.3">
      <c r="A394" s="22">
        <v>390</v>
      </c>
      <c r="B394" s="23">
        <v>1</v>
      </c>
      <c r="C394" s="23" t="s">
        <v>219</v>
      </c>
      <c r="D394" s="23" t="str">
        <f>VLOOKUP(C394,'[1]1.CUADRO RESUMEN DE SITIOS '!$C$5:$L$1052,2,FALSE())</f>
        <v>NOR_02665</v>
      </c>
      <c r="E394" s="24">
        <f>VLOOKUP(C394,'[1]1.CUADRO RESUMEN DE SITIOS '!$C$5:$L$1052,3,FALSE())</f>
        <v>46012</v>
      </c>
      <c r="F394" s="23">
        <f>VLOOKUP(C394,'[1]1.CUADRO RESUMEN DE SITIOS '!$C$5:$L$1052,4,FALSE())</f>
        <v>7.3841109999999999</v>
      </c>
      <c r="G394" s="23">
        <f>VLOOKUP(C394,'[1]1.CUADRO RESUMEN DE SITIOS '!$C$5:$L$1052,5,FALSE())</f>
        <v>-72.646823999999995</v>
      </c>
      <c r="H394" s="23" t="str">
        <f>VLOOKUP(C394,'[1]1.CUADRO RESUMEN DE SITIOS '!$C$5:$L$1052,6,FALSE())</f>
        <v>Santander</v>
      </c>
      <c r="I394" s="23" t="str">
        <f>VLOOKUP(C394,'[1]1.CUADRO RESUMEN DE SITIOS '!$C$5:$L$1052,7,FALSE())</f>
        <v>WOM</v>
      </c>
      <c r="J394" s="25" t="str">
        <f>VLOOKUP(C394,'[1]1.CUADRO RESUMEN DE SITIOS '!$C$5:$L$1052,8,FALSE())</f>
        <v>NOROCCIDENTE</v>
      </c>
      <c r="K394" s="23" t="str">
        <f>VLOOKUP(C394,'[1]1.CUADRO RESUMEN DE SITIOS '!$C$5:$L$1052,9,FALSE())</f>
        <v>DIEGO CEPEDA</v>
      </c>
      <c r="L394" s="26" t="str">
        <f>VLOOKUP(C394,'[1]1.CUADRO RESUMEN DE SITIOS '!$C$5:$L$1052,10,FALSE())</f>
        <v>Terminado</v>
      </c>
      <c r="M394" s="26">
        <v>8828119590</v>
      </c>
      <c r="N394" s="26">
        <f>VLOOKUP(M394,[1]LPU!$A$2:$G$1512,2,FALSE())</f>
        <v>196</v>
      </c>
      <c r="O394" s="26" t="str">
        <f>VLOOKUP(M394,[1]LPU!$A$2:$G$1512,3,FALSE)</f>
        <v>Transporte de Equipos y Materiales, Carga y Descarga, desde y hacía Bodega Regional. Mas de 1 Tonelada. ZONA 1 (Resolución 5078 de 2016)</v>
      </c>
      <c r="P394" s="26" t="str">
        <f>VLOOKUP(M394,[1]LPU!$A$2:$G$1512,4,FALSE())</f>
        <v>LOCATIVO</v>
      </c>
      <c r="Q394" s="26" t="str">
        <f>VLOOKUP(M394,[1]LPU!$A$2:$G$1512,5,FALSE())</f>
        <v>U</v>
      </c>
      <c r="R394" s="27">
        <f>VLOOKUP(M394,[1]LPU!$A$2:$G$1512,6,FALSE())</f>
        <v>389844</v>
      </c>
      <c r="S394" s="27" t="str">
        <f>VLOOKUP(M394,[1]LPU!$A$2:$G$1512,7,FALSE())</f>
        <v>LPU FLM</v>
      </c>
      <c r="T394" s="28">
        <v>1</v>
      </c>
      <c r="U394" s="29">
        <f t="shared" si="7"/>
        <v>389844</v>
      </c>
      <c r="V394" s="29" t="s">
        <v>220</v>
      </c>
      <c r="W394" s="30"/>
      <c r="X394" s="29" t="s">
        <v>38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21" customHeight="1" x14ac:dyDescent="0.3">
      <c r="A395" s="22">
        <v>391</v>
      </c>
      <c r="B395" s="23">
        <v>1</v>
      </c>
      <c r="C395" s="23" t="s">
        <v>219</v>
      </c>
      <c r="D395" s="23" t="str">
        <f>VLOOKUP(C395,'[1]1.CUADRO RESUMEN DE SITIOS '!$C$5:$L$1052,2,FALSE())</f>
        <v>NOR_02665</v>
      </c>
      <c r="E395" s="24">
        <f>VLOOKUP(C395,'[1]1.CUADRO RESUMEN DE SITIOS '!$C$5:$L$1052,3,FALSE())</f>
        <v>46012</v>
      </c>
      <c r="F395" s="23">
        <f>VLOOKUP(C395,'[1]1.CUADRO RESUMEN DE SITIOS '!$C$5:$L$1052,4,FALSE())</f>
        <v>7.3841109999999999</v>
      </c>
      <c r="G395" s="23">
        <f>VLOOKUP(C395,'[1]1.CUADRO RESUMEN DE SITIOS '!$C$5:$L$1052,5,FALSE())</f>
        <v>-72.646823999999995</v>
      </c>
      <c r="H395" s="23" t="str">
        <f>VLOOKUP(C395,'[1]1.CUADRO RESUMEN DE SITIOS '!$C$5:$L$1052,6,FALSE())</f>
        <v>Santander</v>
      </c>
      <c r="I395" s="23" t="str">
        <f>VLOOKUP(C395,'[1]1.CUADRO RESUMEN DE SITIOS '!$C$5:$L$1052,7,FALSE())</f>
        <v>WOM</v>
      </c>
      <c r="J395" s="25" t="str">
        <f>VLOOKUP(C395,'[1]1.CUADRO RESUMEN DE SITIOS '!$C$5:$L$1052,8,FALSE())</f>
        <v>NOROCCIDENTE</v>
      </c>
      <c r="K395" s="23" t="str">
        <f>VLOOKUP(C395,'[1]1.CUADRO RESUMEN DE SITIOS '!$C$5:$L$1052,9,FALSE())</f>
        <v>DIEGO CEPEDA</v>
      </c>
      <c r="L395" s="26" t="str">
        <f>VLOOKUP(C395,'[1]1.CUADRO RESUMEN DE SITIOS '!$C$5:$L$1052,10,FALSE())</f>
        <v>Terminado</v>
      </c>
      <c r="M395" s="26">
        <v>8828120099</v>
      </c>
      <c r="N395" s="26">
        <f>VLOOKUP(M395,[1]LPU!$A$2:$G$1512,2,FALSE())</f>
        <v>187</v>
      </c>
      <c r="O395" s="26" t="str">
        <f>VLOOKUP(M395,[1]LPU!$A$2:$G$1512,3,FALSE)</f>
        <v>Atención de Emergencia y/o Mantenimiento Correctivo Planeado en Estación Base no Asignada dentro de la (s) Regional (es) Asignada (s) - ZONA 1</v>
      </c>
      <c r="P395" s="26" t="str">
        <f>VLOOKUP(M395,[1]LPU!$A$2:$G$1512,4,FALSE())</f>
        <v>LOCATIVO</v>
      </c>
      <c r="Q395" s="26" t="str">
        <f>VLOOKUP(M395,[1]LPU!$A$2:$G$1512,5,FALSE())</f>
        <v>U</v>
      </c>
      <c r="R395" s="27">
        <f>VLOOKUP(M395,[1]LPU!$A$2:$G$1512,6,FALSE())</f>
        <v>174664</v>
      </c>
      <c r="S395" s="27" t="str">
        <f>VLOOKUP(M395,[1]LPU!$A$2:$G$1512,7,FALSE())</f>
        <v>LPU FLM</v>
      </c>
      <c r="T395" s="28">
        <v>1</v>
      </c>
      <c r="U395" s="29">
        <f t="shared" si="7"/>
        <v>174664</v>
      </c>
      <c r="V395" s="29" t="s">
        <v>220</v>
      </c>
      <c r="W395" s="30"/>
      <c r="X395" s="29" t="s">
        <v>38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21" customHeight="1" x14ac:dyDescent="0.3">
      <c r="A396" s="22">
        <v>392</v>
      </c>
      <c r="B396" s="23">
        <v>1</v>
      </c>
      <c r="C396" s="23" t="s">
        <v>221</v>
      </c>
      <c r="D396" s="23" t="str">
        <f>VLOOKUP(C396,'[1]1.CUADRO RESUMEN DE SITIOS '!$C$5:$L$1052,2,FALSE())</f>
        <v>BTA_03729</v>
      </c>
      <c r="E396" s="24">
        <f>VLOOKUP(C396,'[1]1.CUADRO RESUMEN DE SITIOS '!$C$5:$L$1052,3,FALSE())</f>
        <v>46020</v>
      </c>
      <c r="F396" s="23">
        <f>VLOOKUP(C396,'[1]1.CUADRO RESUMEN DE SITIOS '!$C$5:$L$1052,4,FALSE())</f>
        <v>4.6379299999999999</v>
      </c>
      <c r="G396" s="23">
        <f>VLOOKUP(C396,'[1]1.CUADRO RESUMEN DE SITIOS '!$C$5:$L$1052,5,FALSE())</f>
        <v>-74.1404</v>
      </c>
      <c r="H396" s="23" t="str">
        <f>VLOOKUP(C396,'[1]1.CUADRO RESUMEN DE SITIOS '!$C$5:$L$1052,6,FALSE())</f>
        <v>Bogotá</v>
      </c>
      <c r="I396" s="23" t="str">
        <f>VLOOKUP(C396,'[1]1.CUADRO RESUMEN DE SITIOS '!$C$5:$L$1052,7,FALSE())</f>
        <v>WOM</v>
      </c>
      <c r="J396" s="25" t="str">
        <f>VLOOKUP(C396,'[1]1.CUADRO RESUMEN DE SITIOS '!$C$5:$L$1052,8,FALSE())</f>
        <v>CENTRO SUR/ NORTE</v>
      </c>
      <c r="K396" s="23" t="str">
        <f>VLOOKUP(C396,'[1]1.CUADRO RESUMEN DE SITIOS '!$C$5:$L$1052,9,FALSE())</f>
        <v>Maria Camila Torres</v>
      </c>
      <c r="L396" s="26" t="str">
        <f>VLOOKUP(C396,'[1]1.CUADRO RESUMEN DE SITIOS '!$C$5:$L$1052,10,FALSE())</f>
        <v>Terminado</v>
      </c>
      <c r="M396" s="26">
        <v>8828118978</v>
      </c>
      <c r="N396" s="26">
        <f>VLOOKUP(M396,[1]LPU!$A$2:$G$1512,2,FALSE())</f>
        <v>4.04</v>
      </c>
      <c r="O396" s="26" t="str">
        <f>VLOOKUP(M396,[1]LPU!$A$2:$G$1512,3,FALSE)</f>
        <v>Suministro e instalación Cerramiento con lámina de fibrocemento de mínimo 6 mm</v>
      </c>
      <c r="P396" s="26" t="str">
        <f>VLOOKUP(M396,[1]LPU!$A$2:$G$1512,4,FALSE())</f>
        <v>Mantenimiento CW</v>
      </c>
      <c r="Q396" s="26" t="str">
        <f>VLOOKUP(M396,[1]LPU!$A$2:$G$1512,5,FALSE())</f>
        <v>M2</v>
      </c>
      <c r="R396" s="27">
        <f>VLOOKUP(M396,[1]LPU!$A$2:$G$1512,6,FALSE())</f>
        <v>157374.95000000001</v>
      </c>
      <c r="S396" s="27" t="str">
        <f>VLOOKUP(M396,[1]LPU!$A$2:$G$1512,7,FALSE())</f>
        <v>Mantenimiento CW</v>
      </c>
      <c r="T396" s="28">
        <v>12</v>
      </c>
      <c r="U396" s="29">
        <f t="shared" si="7"/>
        <v>1888499.4000000001</v>
      </c>
      <c r="V396" s="29" t="s">
        <v>222</v>
      </c>
      <c r="W396" s="30"/>
      <c r="X396" s="29" t="s">
        <v>38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21" customHeight="1" x14ac:dyDescent="0.3">
      <c r="A397" s="22">
        <v>393</v>
      </c>
      <c r="B397" s="23">
        <v>1</v>
      </c>
      <c r="C397" s="23" t="s">
        <v>221</v>
      </c>
      <c r="D397" s="23" t="str">
        <f>VLOOKUP(C397,'[1]1.CUADRO RESUMEN DE SITIOS '!$C$5:$L$1052,2,FALSE())</f>
        <v>BTA_03729</v>
      </c>
      <c r="E397" s="24">
        <f>VLOOKUP(C397,'[1]1.CUADRO RESUMEN DE SITIOS '!$C$5:$L$1052,3,FALSE())</f>
        <v>46020</v>
      </c>
      <c r="F397" s="23">
        <f>VLOOKUP(C397,'[1]1.CUADRO RESUMEN DE SITIOS '!$C$5:$L$1052,4,FALSE())</f>
        <v>4.6379299999999999</v>
      </c>
      <c r="G397" s="23">
        <f>VLOOKUP(C397,'[1]1.CUADRO RESUMEN DE SITIOS '!$C$5:$L$1052,5,FALSE())</f>
        <v>-74.1404</v>
      </c>
      <c r="H397" s="23" t="str">
        <f>VLOOKUP(C397,'[1]1.CUADRO RESUMEN DE SITIOS '!$C$5:$L$1052,6,FALSE())</f>
        <v>Bogotá</v>
      </c>
      <c r="I397" s="23" t="str">
        <f>VLOOKUP(C397,'[1]1.CUADRO RESUMEN DE SITIOS '!$C$5:$L$1052,7,FALSE())</f>
        <v>WOM</v>
      </c>
      <c r="J397" s="25" t="str">
        <f>VLOOKUP(C397,'[1]1.CUADRO RESUMEN DE SITIOS '!$C$5:$L$1052,8,FALSE())</f>
        <v>CENTRO SUR/ NORTE</v>
      </c>
      <c r="K397" s="23" t="str">
        <f>VLOOKUP(C397,'[1]1.CUADRO RESUMEN DE SITIOS '!$C$5:$L$1052,9,FALSE())</f>
        <v>Maria Camila Torres</v>
      </c>
      <c r="L397" s="26" t="str">
        <f>VLOOKUP(C397,'[1]1.CUADRO RESUMEN DE SITIOS '!$C$5:$L$1052,10,FALSE())</f>
        <v>Terminado</v>
      </c>
      <c r="M397" s="26">
        <v>8828119921</v>
      </c>
      <c r="N397" s="26">
        <f>VLOOKUP(M397,[1]LPU!$A$2:$G$1512,2,FALSE())</f>
        <v>163</v>
      </c>
      <c r="O397" s="26" t="str">
        <f>VLOOKUP(M397,[1]LPU!$A$2:$G$1512,3,FALSE)</f>
        <v>Tansporte tipo A, ciudad principal y área metropolitana</v>
      </c>
      <c r="P397" s="26" t="str">
        <f>VLOOKUP(M397,[1]LPU!$A$2:$G$1512,4,FALSE())</f>
        <v>LOCATIVO</v>
      </c>
      <c r="Q397" s="26" t="str">
        <f>VLOOKUP(M397,[1]LPU!$A$2:$G$1512,5,FALSE())</f>
        <v>Global</v>
      </c>
      <c r="R397" s="27">
        <f>VLOOKUP(M397,[1]LPU!$A$2:$G$1512,6,FALSE())</f>
        <v>133571.54999999999</v>
      </c>
      <c r="S397" s="27" t="str">
        <f>VLOOKUP(M397,[1]LPU!$A$2:$G$1512,7,FALSE())</f>
        <v>LPU FLM</v>
      </c>
      <c r="T397" s="28">
        <v>1</v>
      </c>
      <c r="U397" s="29">
        <f t="shared" si="7"/>
        <v>133571.54999999999</v>
      </c>
      <c r="V397" s="29" t="s">
        <v>222</v>
      </c>
      <c r="W397" s="30"/>
      <c r="X397" s="29" t="s">
        <v>38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21" customHeight="1" x14ac:dyDescent="0.3">
      <c r="A398" s="22">
        <v>394</v>
      </c>
      <c r="B398" s="39">
        <v>1</v>
      </c>
      <c r="C398" s="39" t="s">
        <v>221</v>
      </c>
      <c r="D398" s="39" t="str">
        <f>VLOOKUP(C398,'[1]1.CUADRO RESUMEN DE SITIOS '!$C$5:$L$1052,2,FALSE())</f>
        <v>BTA_03729</v>
      </c>
      <c r="E398" s="40">
        <f>VLOOKUP(C398,'[1]1.CUADRO RESUMEN DE SITIOS '!$C$5:$L$1052,3,FALSE())</f>
        <v>46020</v>
      </c>
      <c r="F398" s="39">
        <f>VLOOKUP(C398,'[1]1.CUADRO RESUMEN DE SITIOS '!$C$5:$L$1052,4,FALSE())</f>
        <v>4.6379299999999999</v>
      </c>
      <c r="G398" s="39">
        <f>VLOOKUP(C398,'[1]1.CUADRO RESUMEN DE SITIOS '!$C$5:$L$1052,5,FALSE())</f>
        <v>-74.1404</v>
      </c>
      <c r="H398" s="39" t="str">
        <f>VLOOKUP(C398,'[1]1.CUADRO RESUMEN DE SITIOS '!$C$5:$L$1052,6,FALSE())</f>
        <v>Bogotá</v>
      </c>
      <c r="I398" s="39" t="str">
        <f>VLOOKUP(C398,'[1]1.CUADRO RESUMEN DE SITIOS '!$C$5:$L$1052,7,FALSE())</f>
        <v>WOM</v>
      </c>
      <c r="J398" s="41" t="str">
        <f>VLOOKUP(C398,'[1]1.CUADRO RESUMEN DE SITIOS '!$C$5:$L$1052,8,FALSE())</f>
        <v>CENTRO SUR/ NORTE</v>
      </c>
      <c r="K398" s="39" t="str">
        <f>VLOOKUP(C398,'[1]1.CUADRO RESUMEN DE SITIOS '!$C$5:$L$1052,9,FALSE())</f>
        <v>Maria Camila Torres</v>
      </c>
      <c r="L398" s="42" t="str">
        <f>VLOOKUP(C398,'[1]1.CUADRO RESUMEN DE SITIOS '!$C$5:$L$1052,10,FALSE())</f>
        <v>Terminado</v>
      </c>
      <c r="M398" s="26">
        <v>8828119719</v>
      </c>
      <c r="N398" s="42">
        <f>VLOOKUP(M398,[1]LPU!$A$2:$G$1512,2,FALSE())</f>
        <v>1.0900000000000001</v>
      </c>
      <c r="O398" s="42" t="str">
        <f>VLOOKUP(M398,[1]LPU!$A$2:$G$1512,3,FALSE)</f>
        <v>Desmonte y retiro de cubierta de tejas, láminas onduladas, o similar y su cercha en madera o metálica. Incluye toda herramienta y equipos requeridos para la ejecución. Incluye limpieza de área, retiro y disposición de escombros en escombrera autorizada.</v>
      </c>
      <c r="P398" s="42" t="str">
        <f>VLOOKUP(M398,[1]LPU!$A$2:$G$1512,4,FALSE())</f>
        <v>Mantenimiento CW</v>
      </c>
      <c r="Q398" s="42" t="str">
        <f>VLOOKUP(M398,[1]LPU!$A$2:$G$1512,5,FALSE())</f>
        <v>M2</v>
      </c>
      <c r="R398" s="43">
        <f>VLOOKUP(M398,[1]LPU!$A$2:$G$1512,6,FALSE())</f>
        <v>15963</v>
      </c>
      <c r="S398" s="43" t="str">
        <f>VLOOKUP(M398,[1]LPU!$A$2:$G$1512,7,FALSE())</f>
        <v>Mantenimiento CW</v>
      </c>
      <c r="T398" s="44">
        <v>3</v>
      </c>
      <c r="U398" s="45">
        <f t="shared" si="7"/>
        <v>47889</v>
      </c>
      <c r="V398" s="45" t="s">
        <v>222</v>
      </c>
      <c r="W398" s="46"/>
      <c r="X398" s="45" t="s">
        <v>27</v>
      </c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</row>
    <row r="399" spans="1:42" ht="21" customHeight="1" x14ac:dyDescent="0.3">
      <c r="A399" s="22">
        <v>395</v>
      </c>
      <c r="B399" s="23">
        <v>1</v>
      </c>
      <c r="C399" s="23" t="s">
        <v>221</v>
      </c>
      <c r="D399" s="23" t="str">
        <f>VLOOKUP(C399,'[1]1.CUADRO RESUMEN DE SITIOS '!$C$5:$L$1052,2,FALSE())</f>
        <v>BTA_03729</v>
      </c>
      <c r="E399" s="24">
        <f>VLOOKUP(C399,'[1]1.CUADRO RESUMEN DE SITIOS '!$C$5:$L$1052,3,FALSE())</f>
        <v>46020</v>
      </c>
      <c r="F399" s="23">
        <f>VLOOKUP(C399,'[1]1.CUADRO RESUMEN DE SITIOS '!$C$5:$L$1052,4,FALSE())</f>
        <v>4.6379299999999999</v>
      </c>
      <c r="G399" s="23">
        <f>VLOOKUP(C399,'[1]1.CUADRO RESUMEN DE SITIOS '!$C$5:$L$1052,5,FALSE())</f>
        <v>-74.1404</v>
      </c>
      <c r="H399" s="23" t="str">
        <f>VLOOKUP(C399,'[1]1.CUADRO RESUMEN DE SITIOS '!$C$5:$L$1052,6,FALSE())</f>
        <v>Bogotá</v>
      </c>
      <c r="I399" s="23" t="str">
        <f>VLOOKUP(C399,'[1]1.CUADRO RESUMEN DE SITIOS '!$C$5:$L$1052,7,FALSE())</f>
        <v>WOM</v>
      </c>
      <c r="J399" s="25" t="str">
        <f>VLOOKUP(C399,'[1]1.CUADRO RESUMEN DE SITIOS '!$C$5:$L$1052,8,FALSE())</f>
        <v>CENTRO SUR/ NORTE</v>
      </c>
      <c r="K399" s="23" t="str">
        <f>VLOOKUP(C399,'[1]1.CUADRO RESUMEN DE SITIOS '!$C$5:$L$1052,9,FALSE())</f>
        <v>Maria Camila Torres</v>
      </c>
      <c r="L399" s="26" t="str">
        <f>VLOOKUP(C399,'[1]1.CUADRO RESUMEN DE SITIOS '!$C$5:$L$1052,10,FALSE())</f>
        <v>Terminado</v>
      </c>
      <c r="M399" s="26">
        <v>8828119346</v>
      </c>
      <c r="N399" s="26">
        <f>VLOOKUP(M399,[1]LPU!$A$2:$G$1512,2,FALSE())</f>
        <v>4.21</v>
      </c>
      <c r="O399" s="26" t="str">
        <f>VLOOKUP(M399,[1]LPU!$A$2:$G$1512,3,FALSE)</f>
        <v>Suministro e instalación de pintura en vinilo tipo interior a 3 manos</v>
      </c>
      <c r="P399" s="26" t="str">
        <f>VLOOKUP(M399,[1]LPU!$A$2:$G$1512,4,FALSE())</f>
        <v>Mantenimiento CW</v>
      </c>
      <c r="Q399" s="26" t="str">
        <f>VLOOKUP(M399,[1]LPU!$A$2:$G$1512,5,FALSE())</f>
        <v>M2</v>
      </c>
      <c r="R399" s="27">
        <f>VLOOKUP(M399,[1]LPU!$A$2:$G$1512,6,FALSE())</f>
        <v>17690.2</v>
      </c>
      <c r="S399" s="27" t="str">
        <f>VLOOKUP(M399,[1]LPU!$A$2:$G$1512,7,FALSE())</f>
        <v>Mantenimiento CW</v>
      </c>
      <c r="T399" s="28">
        <v>22</v>
      </c>
      <c r="U399" s="29">
        <f t="shared" si="7"/>
        <v>389184.4</v>
      </c>
      <c r="V399" s="29" t="s">
        <v>222</v>
      </c>
      <c r="W399" s="30"/>
      <c r="X399" s="29" t="s">
        <v>38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21" customHeight="1" x14ac:dyDescent="0.3">
      <c r="A400" s="22">
        <v>396</v>
      </c>
      <c r="B400" s="23">
        <v>1</v>
      </c>
      <c r="C400" s="23" t="s">
        <v>221</v>
      </c>
      <c r="D400" s="23" t="str">
        <f>VLOOKUP(C400,'[1]1.CUADRO RESUMEN DE SITIOS '!$C$5:$L$1052,2,FALSE())</f>
        <v>BTA_03729</v>
      </c>
      <c r="E400" s="24">
        <f>VLOOKUP(C400,'[1]1.CUADRO RESUMEN DE SITIOS '!$C$5:$L$1052,3,FALSE())</f>
        <v>46020</v>
      </c>
      <c r="F400" s="23">
        <f>VLOOKUP(C400,'[1]1.CUADRO RESUMEN DE SITIOS '!$C$5:$L$1052,4,FALSE())</f>
        <v>4.6379299999999999</v>
      </c>
      <c r="G400" s="23">
        <f>VLOOKUP(C400,'[1]1.CUADRO RESUMEN DE SITIOS '!$C$5:$L$1052,5,FALSE())</f>
        <v>-74.1404</v>
      </c>
      <c r="H400" s="23" t="str">
        <f>VLOOKUP(C400,'[1]1.CUADRO RESUMEN DE SITIOS '!$C$5:$L$1052,6,FALSE())</f>
        <v>Bogotá</v>
      </c>
      <c r="I400" s="23" t="str">
        <f>VLOOKUP(C400,'[1]1.CUADRO RESUMEN DE SITIOS '!$C$5:$L$1052,7,FALSE())</f>
        <v>WOM</v>
      </c>
      <c r="J400" s="25" t="str">
        <f>VLOOKUP(C400,'[1]1.CUADRO RESUMEN DE SITIOS '!$C$5:$L$1052,8,FALSE())</f>
        <v>CENTRO SUR/ NORTE</v>
      </c>
      <c r="K400" s="23" t="str">
        <f>VLOOKUP(C400,'[1]1.CUADRO RESUMEN DE SITIOS '!$C$5:$L$1052,9,FALSE())</f>
        <v>Maria Camila Torres</v>
      </c>
      <c r="L400" s="26" t="str">
        <f>VLOOKUP(C400,'[1]1.CUADRO RESUMEN DE SITIOS '!$C$5:$L$1052,10,FALSE())</f>
        <v>Terminado</v>
      </c>
      <c r="M400" s="26">
        <v>8828119309</v>
      </c>
      <c r="N400" s="26">
        <f>VLOOKUP(M400,[1]LPU!$A$2:$G$1512,2,FALSE())</f>
        <v>4.17</v>
      </c>
      <c r="O400" s="26" t="str">
        <f>VLOOKUP(M400,[1]LPU!$A$2:$G$1512,3,FALSE)</f>
        <v>Suministro e instalación de estuco plástico</v>
      </c>
      <c r="P400" s="26" t="str">
        <f>VLOOKUP(M400,[1]LPU!$A$2:$G$1512,4,FALSE())</f>
        <v>Mantenimiento CW</v>
      </c>
      <c r="Q400" s="26" t="str">
        <f>VLOOKUP(M400,[1]LPU!$A$2:$G$1512,5,FALSE())</f>
        <v>M2</v>
      </c>
      <c r="R400" s="27">
        <f>VLOOKUP(M400,[1]LPU!$A$2:$G$1512,6,FALSE())</f>
        <v>19737</v>
      </c>
      <c r="S400" s="27" t="str">
        <f>VLOOKUP(M400,[1]LPU!$A$2:$G$1512,7,FALSE())</f>
        <v>Mantenimiento CW</v>
      </c>
      <c r="T400" s="28">
        <v>12</v>
      </c>
      <c r="U400" s="29">
        <f t="shared" si="7"/>
        <v>236844</v>
      </c>
      <c r="V400" s="29" t="s">
        <v>222</v>
      </c>
      <c r="W400" s="30"/>
      <c r="X400" s="29" t="s">
        <v>38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21" customHeight="1" x14ac:dyDescent="0.3">
      <c r="A401" s="22">
        <v>397</v>
      </c>
      <c r="B401" s="23">
        <v>1</v>
      </c>
      <c r="C401" s="23" t="s">
        <v>221</v>
      </c>
      <c r="D401" s="23" t="str">
        <f>VLOOKUP(C401,'[1]1.CUADRO RESUMEN DE SITIOS '!$C$5:$L$1052,2,FALSE())</f>
        <v>BTA_03729</v>
      </c>
      <c r="E401" s="24">
        <f>VLOOKUP(C401,'[1]1.CUADRO RESUMEN DE SITIOS '!$C$5:$L$1052,3,FALSE())</f>
        <v>46020</v>
      </c>
      <c r="F401" s="23">
        <f>VLOOKUP(C401,'[1]1.CUADRO RESUMEN DE SITIOS '!$C$5:$L$1052,4,FALSE())</f>
        <v>4.6379299999999999</v>
      </c>
      <c r="G401" s="23">
        <f>VLOOKUP(C401,'[1]1.CUADRO RESUMEN DE SITIOS '!$C$5:$L$1052,5,FALSE())</f>
        <v>-74.1404</v>
      </c>
      <c r="H401" s="23" t="str">
        <f>VLOOKUP(C401,'[1]1.CUADRO RESUMEN DE SITIOS '!$C$5:$L$1052,6,FALSE())</f>
        <v>Bogotá</v>
      </c>
      <c r="I401" s="23" t="str">
        <f>VLOOKUP(C401,'[1]1.CUADRO RESUMEN DE SITIOS '!$C$5:$L$1052,7,FALSE())</f>
        <v>WOM</v>
      </c>
      <c r="J401" s="25" t="str">
        <f>VLOOKUP(C401,'[1]1.CUADRO RESUMEN DE SITIOS '!$C$5:$L$1052,8,FALSE())</f>
        <v>CENTRO SUR/ NORTE</v>
      </c>
      <c r="K401" s="23" t="str">
        <f>VLOOKUP(C401,'[1]1.CUADRO RESUMEN DE SITIOS '!$C$5:$L$1052,9,FALSE())</f>
        <v>Maria Camila Torres</v>
      </c>
      <c r="L401" s="26" t="str">
        <f>VLOOKUP(C401,'[1]1.CUADRO RESUMEN DE SITIOS '!$C$5:$L$1052,10,FALSE())</f>
        <v>Terminado</v>
      </c>
      <c r="M401" s="26">
        <v>8828118899</v>
      </c>
      <c r="N401" s="26">
        <f>VLOOKUP(M401,[1]LPU!$A$2:$G$1512,2,FALSE())</f>
        <v>3.03</v>
      </c>
      <c r="O401" s="26" t="str">
        <f>VLOOKUP(M401,[1]LPU!$A$2:$G$1512,3,FALSE)</f>
        <v>Alistado de piso en mortero 1:4 impermeabilizado con sika 1, con espesor máximo =0.05m con pendientados para sifones. Incluye aditivo Sika látex o similar para adherencia a concreto inicial. Incluye dilataciones cada 3 o 4 metros.</v>
      </c>
      <c r="P401" s="26" t="str">
        <f>VLOOKUP(M401,[1]LPU!$A$2:$G$1512,4,FALSE())</f>
        <v>Mantenimiento CW</v>
      </c>
      <c r="Q401" s="26" t="str">
        <f>VLOOKUP(M401,[1]LPU!$A$2:$G$1512,5,FALSE())</f>
        <v>M2</v>
      </c>
      <c r="R401" s="27">
        <f>VLOOKUP(M401,[1]LPU!$A$2:$G$1512,6,FALSE())</f>
        <v>33869.1</v>
      </c>
      <c r="S401" s="27" t="str">
        <f>VLOOKUP(M401,[1]LPU!$A$2:$G$1512,7,FALSE())</f>
        <v>Mantenimiento CW</v>
      </c>
      <c r="T401" s="28">
        <v>4</v>
      </c>
      <c r="U401" s="29">
        <f t="shared" si="7"/>
        <v>135476.4</v>
      </c>
      <c r="V401" s="29" t="s">
        <v>222</v>
      </c>
      <c r="W401" s="30"/>
      <c r="X401" s="29" t="s">
        <v>38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21" customHeight="1" x14ac:dyDescent="0.3">
      <c r="A402" s="22">
        <v>398</v>
      </c>
      <c r="B402" s="23">
        <v>1</v>
      </c>
      <c r="C402" s="23" t="s">
        <v>221</v>
      </c>
      <c r="D402" s="23" t="str">
        <f>VLOOKUP(C402,'[1]1.CUADRO RESUMEN DE SITIOS '!$C$5:$L$1052,2,FALSE())</f>
        <v>BTA_03729</v>
      </c>
      <c r="E402" s="24">
        <f>VLOOKUP(C402,'[1]1.CUADRO RESUMEN DE SITIOS '!$C$5:$L$1052,3,FALSE())</f>
        <v>46020</v>
      </c>
      <c r="F402" s="23">
        <f>VLOOKUP(C402,'[1]1.CUADRO RESUMEN DE SITIOS '!$C$5:$L$1052,4,FALSE())</f>
        <v>4.6379299999999999</v>
      </c>
      <c r="G402" s="23">
        <f>VLOOKUP(C402,'[1]1.CUADRO RESUMEN DE SITIOS '!$C$5:$L$1052,5,FALSE())</f>
        <v>-74.1404</v>
      </c>
      <c r="H402" s="23" t="str">
        <f>VLOOKUP(C402,'[1]1.CUADRO RESUMEN DE SITIOS '!$C$5:$L$1052,6,FALSE())</f>
        <v>Bogotá</v>
      </c>
      <c r="I402" s="23" t="str">
        <f>VLOOKUP(C402,'[1]1.CUADRO RESUMEN DE SITIOS '!$C$5:$L$1052,7,FALSE())</f>
        <v>WOM</v>
      </c>
      <c r="J402" s="25" t="str">
        <f>VLOOKUP(C402,'[1]1.CUADRO RESUMEN DE SITIOS '!$C$5:$L$1052,8,FALSE())</f>
        <v>CENTRO SUR/ NORTE</v>
      </c>
      <c r="K402" s="23" t="str">
        <f>VLOOKUP(C402,'[1]1.CUADRO RESUMEN DE SITIOS '!$C$5:$L$1052,9,FALSE())</f>
        <v>Maria Camila Torres</v>
      </c>
      <c r="L402" s="26" t="str">
        <f>VLOOKUP(C402,'[1]1.CUADRO RESUMEN DE SITIOS '!$C$5:$L$1052,10,FALSE())</f>
        <v>Terminado</v>
      </c>
      <c r="M402" s="26">
        <v>8828120018</v>
      </c>
      <c r="N402" s="26">
        <f>VLOOKUP(M402,[1]LPU!$A$2:$G$1512,2,FALSE())</f>
        <v>4.38</v>
      </c>
      <c r="O402" s="26" t="str">
        <f>VLOOKUP(M402,[1]LPU!$A$2:$G$1512,3,FALSE)</f>
        <v>Impermeabilización sikalastic 450 y refuerzo con sikafealt o similar. (incluye Imprimación, nivelaciones, sellamiento en los traslapos).</v>
      </c>
      <c r="P402" s="26" t="str">
        <f>VLOOKUP(M402,[1]LPU!$A$2:$G$1512,4,FALSE())</f>
        <v>Mantenimiento CW</v>
      </c>
      <c r="Q402" s="26" t="str">
        <f>VLOOKUP(M402,[1]LPU!$A$2:$G$1512,5,FALSE())</f>
        <v>M2</v>
      </c>
      <c r="R402" s="27">
        <f>VLOOKUP(M402,[1]LPU!$A$2:$G$1512,6,FALSE())</f>
        <v>52240.15</v>
      </c>
      <c r="S402" s="27" t="str">
        <f>VLOOKUP(M402,[1]LPU!$A$2:$G$1512,7,FALSE())</f>
        <v>Mantenimiento CW</v>
      </c>
      <c r="T402" s="28">
        <v>4</v>
      </c>
      <c r="U402" s="29">
        <f t="shared" si="7"/>
        <v>208960.6</v>
      </c>
      <c r="V402" s="29" t="s">
        <v>222</v>
      </c>
      <c r="W402" s="30"/>
      <c r="X402" s="29" t="s">
        <v>38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21" customHeight="1" x14ac:dyDescent="0.3">
      <c r="A403" s="22">
        <v>399</v>
      </c>
      <c r="B403" s="23">
        <v>1</v>
      </c>
      <c r="C403" s="23" t="s">
        <v>221</v>
      </c>
      <c r="D403" s="23" t="str">
        <f>VLOOKUP(C403,'[1]1.CUADRO RESUMEN DE SITIOS '!$C$5:$L$1052,2,FALSE())</f>
        <v>BTA_03729</v>
      </c>
      <c r="E403" s="24">
        <f>VLOOKUP(C403,'[1]1.CUADRO RESUMEN DE SITIOS '!$C$5:$L$1052,3,FALSE())</f>
        <v>46020</v>
      </c>
      <c r="F403" s="23">
        <f>VLOOKUP(C403,'[1]1.CUADRO RESUMEN DE SITIOS '!$C$5:$L$1052,4,FALSE())</f>
        <v>4.6379299999999999</v>
      </c>
      <c r="G403" s="23">
        <f>VLOOKUP(C403,'[1]1.CUADRO RESUMEN DE SITIOS '!$C$5:$L$1052,5,FALSE())</f>
        <v>-74.1404</v>
      </c>
      <c r="H403" s="23" t="str">
        <f>VLOOKUP(C403,'[1]1.CUADRO RESUMEN DE SITIOS '!$C$5:$L$1052,6,FALSE())</f>
        <v>Bogotá</v>
      </c>
      <c r="I403" s="23" t="str">
        <f>VLOOKUP(C403,'[1]1.CUADRO RESUMEN DE SITIOS '!$C$5:$L$1052,7,FALSE())</f>
        <v>WOM</v>
      </c>
      <c r="J403" s="25" t="str">
        <f>VLOOKUP(C403,'[1]1.CUADRO RESUMEN DE SITIOS '!$C$5:$L$1052,8,FALSE())</f>
        <v>CENTRO SUR/ NORTE</v>
      </c>
      <c r="K403" s="23" t="str">
        <f>VLOOKUP(C403,'[1]1.CUADRO RESUMEN DE SITIOS '!$C$5:$L$1052,9,FALSE())</f>
        <v>Maria Camila Torres</v>
      </c>
      <c r="L403" s="26" t="str">
        <f>VLOOKUP(C403,'[1]1.CUADRO RESUMEN DE SITIOS '!$C$5:$L$1052,10,FALSE())</f>
        <v>Terminado</v>
      </c>
      <c r="M403" s="26">
        <v>8828119081</v>
      </c>
      <c r="N403" s="26">
        <f>VLOOKUP(M403,[1]LPU!$A$2:$G$1512,2,FALSE())</f>
        <v>6.01</v>
      </c>
      <c r="O403" s="26" t="str">
        <f>VLOOKUP(M403,[1]LPU!$A$2:$G$1512,3,FALSE)</f>
        <v>Servicio de SST - HSEQ ***</v>
      </c>
      <c r="P403" s="26" t="str">
        <f>VLOOKUP(M403,[1]LPU!$A$2:$G$1512,4,FALSE())</f>
        <v>Mantenimiento CW</v>
      </c>
      <c r="Q403" s="26" t="str">
        <f>VLOOKUP(M403,[1]LPU!$A$2:$G$1512,5,FALSE())</f>
        <v>Día</v>
      </c>
      <c r="R403" s="27">
        <f>VLOOKUP(M403,[1]LPU!$A$2:$G$1512,6,FALSE())</f>
        <v>163166.85</v>
      </c>
      <c r="S403" s="27" t="str">
        <f>VLOOKUP(M403,[1]LPU!$A$2:$G$1512,7,FALSE())</f>
        <v>Mantenimiento CW</v>
      </c>
      <c r="T403" s="28">
        <v>2</v>
      </c>
      <c r="U403" s="29">
        <f t="shared" si="7"/>
        <v>326333.7</v>
      </c>
      <c r="V403" s="29" t="s">
        <v>222</v>
      </c>
      <c r="W403" s="30"/>
      <c r="X403" s="29" t="s">
        <v>38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21" customHeight="1" x14ac:dyDescent="0.3">
      <c r="A404" s="22">
        <v>400</v>
      </c>
      <c r="B404" s="23">
        <v>1</v>
      </c>
      <c r="C404" s="23" t="s">
        <v>221</v>
      </c>
      <c r="D404" s="23" t="str">
        <f>VLOOKUP(C404,'[1]1.CUADRO RESUMEN DE SITIOS '!$C$5:$L$1052,2,FALSE())</f>
        <v>BTA_03729</v>
      </c>
      <c r="E404" s="24">
        <f>VLOOKUP(C404,'[1]1.CUADRO RESUMEN DE SITIOS '!$C$5:$L$1052,3,FALSE())</f>
        <v>46020</v>
      </c>
      <c r="F404" s="23">
        <f>VLOOKUP(C404,'[1]1.CUADRO RESUMEN DE SITIOS '!$C$5:$L$1052,4,FALSE())</f>
        <v>4.6379299999999999</v>
      </c>
      <c r="G404" s="23">
        <f>VLOOKUP(C404,'[1]1.CUADRO RESUMEN DE SITIOS '!$C$5:$L$1052,5,FALSE())</f>
        <v>-74.1404</v>
      </c>
      <c r="H404" s="23" t="str">
        <f>VLOOKUP(C404,'[1]1.CUADRO RESUMEN DE SITIOS '!$C$5:$L$1052,6,FALSE())</f>
        <v>Bogotá</v>
      </c>
      <c r="I404" s="23" t="str">
        <f>VLOOKUP(C404,'[1]1.CUADRO RESUMEN DE SITIOS '!$C$5:$L$1052,7,FALSE())</f>
        <v>WOM</v>
      </c>
      <c r="J404" s="25" t="str">
        <f>VLOOKUP(C404,'[1]1.CUADRO RESUMEN DE SITIOS '!$C$5:$L$1052,8,FALSE())</f>
        <v>CENTRO SUR/ NORTE</v>
      </c>
      <c r="K404" s="23" t="str">
        <f>VLOOKUP(C404,'[1]1.CUADRO RESUMEN DE SITIOS '!$C$5:$L$1052,9,FALSE())</f>
        <v>Maria Camila Torres</v>
      </c>
      <c r="L404" s="26" t="str">
        <f>VLOOKUP(C404,'[1]1.CUADRO RESUMEN DE SITIOS '!$C$5:$L$1052,10,FALSE())</f>
        <v>Terminado</v>
      </c>
      <c r="M404" s="26">
        <v>8828119090</v>
      </c>
      <c r="N404" s="26">
        <f>VLOOKUP(M404,[1]LPU!$A$2:$G$1512,2,FALSE())</f>
        <v>6.02</v>
      </c>
      <c r="O404" s="26" t="str">
        <f>VLOOKUP(M404,[1]LPU!$A$2:$G$1512,3,FALSE)</f>
        <v>Sistemas de ingeniería para actividades en alturas (Andamios certificados, líneas de vida portátiles, elementos de fijación o anclajes certificados) adicionales a las condiciones normales de trabajo ***</v>
      </c>
      <c r="P404" s="26" t="str">
        <f>VLOOKUP(M404,[1]LPU!$A$2:$G$1512,4,FALSE())</f>
        <v>Mantenimiento CW</v>
      </c>
      <c r="Q404" s="26" t="str">
        <f>VLOOKUP(M404,[1]LPU!$A$2:$G$1512,5,FALSE())</f>
        <v>Día</v>
      </c>
      <c r="R404" s="27">
        <f>VLOOKUP(M404,[1]LPU!$A$2:$G$1512,6,FALSE())</f>
        <v>212376.75</v>
      </c>
      <c r="S404" s="27" t="str">
        <f>VLOOKUP(M404,[1]LPU!$A$2:$G$1512,7,FALSE())</f>
        <v>Mantenimiento CW</v>
      </c>
      <c r="T404" s="28">
        <v>2</v>
      </c>
      <c r="U404" s="29">
        <f t="shared" si="7"/>
        <v>424753.5</v>
      </c>
      <c r="V404" s="29" t="s">
        <v>222</v>
      </c>
      <c r="W404" s="30"/>
      <c r="X404" s="29" t="s">
        <v>38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21" customHeight="1" x14ac:dyDescent="0.3">
      <c r="A405" s="22">
        <v>401</v>
      </c>
      <c r="B405" s="23">
        <v>1</v>
      </c>
      <c r="C405" s="23" t="s">
        <v>72</v>
      </c>
      <c r="D405" s="23" t="str">
        <f>VLOOKUP(C405,'[1]1.CUADRO RESUMEN DE SITIOS '!$C$5:$L$1052,2,FALSE())</f>
        <v>CLI_01014</v>
      </c>
      <c r="E405" s="24">
        <f>VLOOKUP(C405,'[1]1.CUADRO RESUMEN DE SITIOS '!$C$5:$L$1052,3,FALSE())</f>
        <v>45929</v>
      </c>
      <c r="F405" s="23">
        <f>VLOOKUP(C405,'[1]1.CUADRO RESUMEN DE SITIOS '!$C$5:$L$1052,4,FALSE())</f>
        <v>3.4849999999999999</v>
      </c>
      <c r="G405" s="23">
        <f>VLOOKUP(C405,'[1]1.CUADRO RESUMEN DE SITIOS '!$C$5:$L$1052,5,FALSE())</f>
        <v>-76.512349999999998</v>
      </c>
      <c r="H405" s="23" t="str">
        <f>VLOOKUP(C405,'[1]1.CUADRO RESUMEN DE SITIOS '!$C$5:$L$1052,6,FALSE())</f>
        <v>Valle del Cauca</v>
      </c>
      <c r="I405" s="23" t="str">
        <f>VLOOKUP(C405,'[1]1.CUADRO RESUMEN DE SITIOS '!$C$5:$L$1052,7,FALSE())</f>
        <v>WOM</v>
      </c>
      <c r="J405" s="25" t="str">
        <f>VLOOKUP(C405,'[1]1.CUADRO RESUMEN DE SITIOS '!$C$5:$L$1052,8,FALSE())</f>
        <v>SUROCCIDENTE</v>
      </c>
      <c r="K405" s="23" t="str">
        <f>VLOOKUP(C405,'[1]1.CUADRO RESUMEN DE SITIOS '!$C$5:$L$1052,9,FALSE())</f>
        <v>Wilson Alejandro Solarte</v>
      </c>
      <c r="L405" s="26" t="str">
        <f>VLOOKUP(C405,'[1]1.CUADRO RESUMEN DE SITIOS '!$C$5:$L$1052,10,FALSE())</f>
        <v>Terminado</v>
      </c>
      <c r="M405" s="26">
        <v>8828119110</v>
      </c>
      <c r="N405" s="26">
        <f>VLOOKUP(M405,[1]LPU!$A$2:$G$1512,2,FALSE())</f>
        <v>107</v>
      </c>
      <c r="O405" s="26" t="str">
        <f>VLOOKUP(M405,[1]LPU!$A$2:$G$1512,3,FALSE)</f>
        <v>Mano de Obra Tecnico Electricista Certficado CONTE</v>
      </c>
      <c r="P405" s="26" t="str">
        <f>VLOOKUP(M405,[1]LPU!$A$2:$G$1512,4,FALSE())</f>
        <v>ENERGÍA</v>
      </c>
      <c r="Q405" s="26" t="str">
        <f>VLOOKUP(M405,[1]LPU!$A$2:$G$1512,5,FALSE())</f>
        <v>DIA</v>
      </c>
      <c r="R405" s="27">
        <f>VLOOKUP(M405,[1]LPU!$A$2:$G$1512,6,FALSE())</f>
        <v>136000</v>
      </c>
      <c r="S405" s="27" t="str">
        <f>VLOOKUP(M405,[1]LPU!$A$2:$G$1512,7,FALSE())</f>
        <v>LPU FLM</v>
      </c>
      <c r="T405" s="28">
        <v>1</v>
      </c>
      <c r="U405" s="29">
        <f t="shared" si="7"/>
        <v>136000</v>
      </c>
      <c r="V405" s="29" t="s">
        <v>223</v>
      </c>
      <c r="W405" s="30"/>
      <c r="X405" s="29" t="s">
        <v>27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21" customHeight="1" x14ac:dyDescent="0.3">
      <c r="A406" s="22">
        <v>402</v>
      </c>
      <c r="B406" s="23">
        <v>1</v>
      </c>
      <c r="C406" s="23" t="s">
        <v>72</v>
      </c>
      <c r="D406" s="23" t="str">
        <f>VLOOKUP(C406,'[1]1.CUADRO RESUMEN DE SITIOS '!$C$5:$L$1052,2,FALSE())</f>
        <v>CLI_01014</v>
      </c>
      <c r="E406" s="24">
        <f>VLOOKUP(C406,'[1]1.CUADRO RESUMEN DE SITIOS '!$C$5:$L$1052,3,FALSE())</f>
        <v>45929</v>
      </c>
      <c r="F406" s="23">
        <f>VLOOKUP(C406,'[1]1.CUADRO RESUMEN DE SITIOS '!$C$5:$L$1052,4,FALSE())</f>
        <v>3.4849999999999999</v>
      </c>
      <c r="G406" s="23">
        <f>VLOOKUP(C406,'[1]1.CUADRO RESUMEN DE SITIOS '!$C$5:$L$1052,5,FALSE())</f>
        <v>-76.512349999999998</v>
      </c>
      <c r="H406" s="23" t="str">
        <f>VLOOKUP(C406,'[1]1.CUADRO RESUMEN DE SITIOS '!$C$5:$L$1052,6,FALSE())</f>
        <v>Valle del Cauca</v>
      </c>
      <c r="I406" s="23" t="str">
        <f>VLOOKUP(C406,'[1]1.CUADRO RESUMEN DE SITIOS '!$C$5:$L$1052,7,FALSE())</f>
        <v>WOM</v>
      </c>
      <c r="J406" s="25" t="str">
        <f>VLOOKUP(C406,'[1]1.CUADRO RESUMEN DE SITIOS '!$C$5:$L$1052,8,FALSE())</f>
        <v>SUROCCIDENTE</v>
      </c>
      <c r="K406" s="23" t="str">
        <f>VLOOKUP(C406,'[1]1.CUADRO RESUMEN DE SITIOS '!$C$5:$L$1052,9,FALSE())</f>
        <v>Wilson Alejandro Solarte</v>
      </c>
      <c r="L406" s="26" t="str">
        <f>VLOOKUP(C406,'[1]1.CUADRO RESUMEN DE SITIOS '!$C$5:$L$1052,10,FALSE())</f>
        <v>Terminado</v>
      </c>
      <c r="M406" s="26">
        <v>8828119921</v>
      </c>
      <c r="N406" s="26">
        <f>VLOOKUP(M406,[1]LPU!$A$2:$G$1512,2,FALSE())</f>
        <v>163</v>
      </c>
      <c r="O406" s="26" t="str">
        <f>VLOOKUP(M406,[1]LPU!$A$2:$G$1512,3,FALSE)</f>
        <v>Tansporte tipo A, ciudad principal y área metropolitana</v>
      </c>
      <c r="P406" s="26" t="str">
        <f>VLOOKUP(M406,[1]LPU!$A$2:$G$1512,4,FALSE())</f>
        <v>LOCATIVO</v>
      </c>
      <c r="Q406" s="26" t="str">
        <f>VLOOKUP(M406,[1]LPU!$A$2:$G$1512,5,FALSE())</f>
        <v>Global</v>
      </c>
      <c r="R406" s="27">
        <f>VLOOKUP(M406,[1]LPU!$A$2:$G$1512,6,FALSE())</f>
        <v>133571.54999999999</v>
      </c>
      <c r="S406" s="27" t="str">
        <f>VLOOKUP(M406,[1]LPU!$A$2:$G$1512,7,FALSE())</f>
        <v>LPU FLM</v>
      </c>
      <c r="T406" s="28">
        <v>1</v>
      </c>
      <c r="U406" s="29">
        <f t="shared" si="7"/>
        <v>133571.54999999999</v>
      </c>
      <c r="V406" s="29" t="s">
        <v>223</v>
      </c>
      <c r="W406" s="30"/>
      <c r="X406" s="29" t="s">
        <v>27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21" customHeight="1" x14ac:dyDescent="0.3">
      <c r="A407" s="22">
        <v>403</v>
      </c>
      <c r="B407" s="23">
        <v>1</v>
      </c>
      <c r="C407" s="23" t="s">
        <v>224</v>
      </c>
      <c r="D407" s="23" t="str">
        <f>VLOOKUP(C407,'[1]1.CUADRO RESUMEN DE SITIOS '!$C$5:$L$1052,2,FALSE())</f>
        <v>CCLI_02378</v>
      </c>
      <c r="E407" s="24">
        <f>VLOOKUP(C407,'[1]1.CUADRO RESUMEN DE SITIOS '!$C$5:$L$1052,3,FALSE())</f>
        <v>46029</v>
      </c>
      <c r="F407" s="23">
        <f>VLOOKUP(C407,'[1]1.CUADRO RESUMEN DE SITIOS '!$C$5:$L$1052,4,FALSE())</f>
        <v>3.5107499999999998</v>
      </c>
      <c r="G407" s="23">
        <f>VLOOKUP(C407,'[1]1.CUADRO RESUMEN DE SITIOS '!$C$5:$L$1052,5,FALSE())</f>
        <v>-76.511920000000003</v>
      </c>
      <c r="H407" s="23" t="str">
        <f>VLOOKUP(C407,'[1]1.CUADRO RESUMEN DE SITIOS '!$C$5:$L$1052,6,FALSE())</f>
        <v>Valle Del Cauca</v>
      </c>
      <c r="I407" s="23" t="str">
        <f>VLOOKUP(C407,'[1]1.CUADRO RESUMEN DE SITIOS '!$C$5:$L$1052,7,FALSE())</f>
        <v>WOM-HUAWEI</v>
      </c>
      <c r="J407" s="25" t="str">
        <f>VLOOKUP(C407,'[1]1.CUADRO RESUMEN DE SITIOS '!$C$5:$L$1052,8,FALSE())</f>
        <v>SUROCCIDENTE</v>
      </c>
      <c r="K407" s="23" t="str">
        <f>VLOOKUP(C407,'[1]1.CUADRO RESUMEN DE SITIOS '!$C$5:$L$1052,9,FALSE())</f>
        <v>Alejandro Sanchez</v>
      </c>
      <c r="L407" s="26" t="str">
        <f>VLOOKUP(C407,'[1]1.CUADRO RESUMEN DE SITIOS '!$C$5:$L$1052,10,FALSE())</f>
        <v>Terminado</v>
      </c>
      <c r="M407" s="26">
        <v>8828119396</v>
      </c>
      <c r="N407" s="26">
        <f>VLOOKUP(M407,[1]LPU!$A$2:$G$1512,2,FALSE())</f>
        <v>0</v>
      </c>
      <c r="O407" s="26" t="str">
        <f>VLOOKUP(M407,[1]LPU!$A$2:$G$1512,3,FALSE)</f>
        <v>Capacete de 2"</v>
      </c>
      <c r="P407" s="26" t="str">
        <f>VLOOKUP(M407,[1]LPU!$A$2:$G$1512,4,FALSE())</f>
        <v>Item No Critico</v>
      </c>
      <c r="Q407" s="26" t="str">
        <f>VLOOKUP(M407,[1]LPU!$A$2:$G$1512,5,FALSE())</f>
        <v>Unidad</v>
      </c>
      <c r="R407" s="27">
        <f>VLOOKUP(M407,[1]LPU!$A$2:$G$1512,6,FALSE())</f>
        <v>12741</v>
      </c>
      <c r="S407" s="27" t="str">
        <f>VLOOKUP(M407,[1]LPU!$A$2:$G$1512,7,FALSE())</f>
        <v>LPU FO Propia</v>
      </c>
      <c r="T407" s="28">
        <v>1</v>
      </c>
      <c r="U407" s="29">
        <f t="shared" si="7"/>
        <v>12741</v>
      </c>
      <c r="V407" s="29" t="s">
        <v>225</v>
      </c>
      <c r="W407" s="30"/>
      <c r="X407" s="29" t="s">
        <v>120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21" customHeight="1" x14ac:dyDescent="0.3">
      <c r="A408" s="22">
        <v>404</v>
      </c>
      <c r="B408" s="23">
        <v>1</v>
      </c>
      <c r="C408" s="23" t="s">
        <v>224</v>
      </c>
      <c r="D408" s="23" t="str">
        <f>VLOOKUP(C408,'[1]1.CUADRO RESUMEN DE SITIOS '!$C$5:$L$1052,2,FALSE())</f>
        <v>CCLI_02378</v>
      </c>
      <c r="E408" s="24">
        <f>VLOOKUP(C408,'[1]1.CUADRO RESUMEN DE SITIOS '!$C$5:$L$1052,3,FALSE())</f>
        <v>46029</v>
      </c>
      <c r="F408" s="23">
        <f>VLOOKUP(C408,'[1]1.CUADRO RESUMEN DE SITIOS '!$C$5:$L$1052,4,FALSE())</f>
        <v>3.5107499999999998</v>
      </c>
      <c r="G408" s="23">
        <f>VLOOKUP(C408,'[1]1.CUADRO RESUMEN DE SITIOS '!$C$5:$L$1052,5,FALSE())</f>
        <v>-76.511920000000003</v>
      </c>
      <c r="H408" s="23" t="str">
        <f>VLOOKUP(C408,'[1]1.CUADRO RESUMEN DE SITIOS '!$C$5:$L$1052,6,FALSE())</f>
        <v>Valle Del Cauca</v>
      </c>
      <c r="I408" s="23" t="str">
        <f>VLOOKUP(C408,'[1]1.CUADRO RESUMEN DE SITIOS '!$C$5:$L$1052,7,FALSE())</f>
        <v>WOM-HUAWEI</v>
      </c>
      <c r="J408" s="25" t="str">
        <f>VLOOKUP(C408,'[1]1.CUADRO RESUMEN DE SITIOS '!$C$5:$L$1052,8,FALSE())</f>
        <v>SUROCCIDENTE</v>
      </c>
      <c r="K408" s="23" t="str">
        <f>VLOOKUP(C408,'[1]1.CUADRO RESUMEN DE SITIOS '!$C$5:$L$1052,9,FALSE())</f>
        <v>Alejandro Sanchez</v>
      </c>
      <c r="L408" s="26" t="str">
        <f>VLOOKUP(C408,'[1]1.CUADRO RESUMEN DE SITIOS '!$C$5:$L$1052,10,FALSE())</f>
        <v>Terminado</v>
      </c>
      <c r="M408" s="26">
        <v>8828119098</v>
      </c>
      <c r="N408" s="26">
        <f>VLOOKUP(M408,[1]LPU!$A$2:$G$1512,2,FALSE())</f>
        <v>167</v>
      </c>
      <c r="O408" s="26" t="str">
        <f>VLOOKUP(M408,[1]LPU!$A$2:$G$1512,3,FALSE)</f>
        <v>PERCHA DE HIERRO GALVANIZADO DE 1 PUESTO N2 23</v>
      </c>
      <c r="P408" s="26" t="str">
        <f>VLOOKUP(M408,[1]LPU!$A$2:$G$1512,4,FALSE())</f>
        <v>Nivel 2</v>
      </c>
      <c r="Q408" s="26" t="str">
        <f>VLOOKUP(M408,[1]LPU!$A$2:$G$1512,5,FALSE())</f>
        <v>Uni</v>
      </c>
      <c r="R408" s="27">
        <f>VLOOKUP(M408,[1]LPU!$A$2:$G$1512,6,FALSE())</f>
        <v>82859</v>
      </c>
      <c r="S408" s="27" t="str">
        <f>VLOOKUP(M408,[1]LPU!$A$2:$G$1512,7,FALSE())</f>
        <v>N2</v>
      </c>
      <c r="T408" s="28">
        <v>2</v>
      </c>
      <c r="U408" s="29">
        <f t="shared" si="7"/>
        <v>165718</v>
      </c>
      <c r="V408" s="29" t="s">
        <v>225</v>
      </c>
      <c r="W408" s="30"/>
      <c r="X408" s="29" t="s">
        <v>120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21" customHeight="1" x14ac:dyDescent="0.3">
      <c r="A409" s="22">
        <v>405</v>
      </c>
      <c r="B409" s="23">
        <v>1</v>
      </c>
      <c r="C409" s="23" t="s">
        <v>224</v>
      </c>
      <c r="D409" s="23" t="str">
        <f>VLOOKUP(C409,'[1]1.CUADRO RESUMEN DE SITIOS '!$C$5:$L$1052,2,FALSE())</f>
        <v>CCLI_02378</v>
      </c>
      <c r="E409" s="24">
        <f>VLOOKUP(C409,'[1]1.CUADRO RESUMEN DE SITIOS '!$C$5:$L$1052,3,FALSE())</f>
        <v>46029</v>
      </c>
      <c r="F409" s="23">
        <f>VLOOKUP(C409,'[1]1.CUADRO RESUMEN DE SITIOS '!$C$5:$L$1052,4,FALSE())</f>
        <v>3.5107499999999998</v>
      </c>
      <c r="G409" s="23">
        <f>VLOOKUP(C409,'[1]1.CUADRO RESUMEN DE SITIOS '!$C$5:$L$1052,5,FALSE())</f>
        <v>-76.511920000000003</v>
      </c>
      <c r="H409" s="23" t="str">
        <f>VLOOKUP(C409,'[1]1.CUADRO RESUMEN DE SITIOS '!$C$5:$L$1052,6,FALSE())</f>
        <v>Valle Del Cauca</v>
      </c>
      <c r="I409" s="23" t="str">
        <f>VLOOKUP(C409,'[1]1.CUADRO RESUMEN DE SITIOS '!$C$5:$L$1052,7,FALSE())</f>
        <v>WOM-HUAWEI</v>
      </c>
      <c r="J409" s="25" t="str">
        <f>VLOOKUP(C409,'[1]1.CUADRO RESUMEN DE SITIOS '!$C$5:$L$1052,8,FALSE())</f>
        <v>SUROCCIDENTE</v>
      </c>
      <c r="K409" s="23" t="str">
        <f>VLOOKUP(C409,'[1]1.CUADRO RESUMEN DE SITIOS '!$C$5:$L$1052,9,FALSE())</f>
        <v>Alejandro Sanchez</v>
      </c>
      <c r="L409" s="26" t="str">
        <f>VLOOKUP(C409,'[1]1.CUADRO RESUMEN DE SITIOS '!$C$5:$L$1052,10,FALSE())</f>
        <v>Terminado</v>
      </c>
      <c r="M409" s="26">
        <v>8828120157</v>
      </c>
      <c r="N409" s="26">
        <f>VLOOKUP(M409,[1]LPU!$A$2:$G$1512,2,FALSE())</f>
        <v>0</v>
      </c>
      <c r="O409" s="26" t="str">
        <f>VLOOKUP(M409,[1]LPU!$A$2:$G$1512,3,FALSE)</f>
        <v>Suministro e Instalación de poste de 12m por 510 Kg.</v>
      </c>
      <c r="P409" s="26" t="str">
        <f>VLOOKUP(M409,[1]LPU!$A$2:$G$1512,4,FALSE())</f>
        <v>Variables</v>
      </c>
      <c r="Q409" s="26" t="str">
        <f>VLOOKUP(M409,[1]LPU!$A$2:$G$1512,5,FALSE())</f>
        <v>Unidad</v>
      </c>
      <c r="R409" s="27">
        <f>VLOOKUP(M409,[1]LPU!$A$2:$G$1512,6,FALSE())</f>
        <v>2226809</v>
      </c>
      <c r="S409" s="27" t="str">
        <f>VLOOKUP(M409,[1]LPU!$A$2:$G$1512,7,FALSE())</f>
        <v>LPU FO</v>
      </c>
      <c r="T409" s="28">
        <v>1</v>
      </c>
      <c r="U409" s="29">
        <f t="shared" si="7"/>
        <v>2226809</v>
      </c>
      <c r="V409" s="29" t="s">
        <v>225</v>
      </c>
      <c r="W409" s="30"/>
      <c r="X409" s="29" t="s">
        <v>120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21" customHeight="1" x14ac:dyDescent="0.3">
      <c r="A410" s="22">
        <v>406</v>
      </c>
      <c r="B410" s="23">
        <v>1</v>
      </c>
      <c r="C410" s="23" t="s">
        <v>224</v>
      </c>
      <c r="D410" s="23" t="str">
        <f>VLOOKUP(C410,'[1]1.CUADRO RESUMEN DE SITIOS '!$C$5:$L$1052,2,FALSE())</f>
        <v>CCLI_02378</v>
      </c>
      <c r="E410" s="24">
        <f>VLOOKUP(C410,'[1]1.CUADRO RESUMEN DE SITIOS '!$C$5:$L$1052,3,FALSE())</f>
        <v>46029</v>
      </c>
      <c r="F410" s="23">
        <f>VLOOKUP(C410,'[1]1.CUADRO RESUMEN DE SITIOS '!$C$5:$L$1052,4,FALSE())</f>
        <v>3.5107499999999998</v>
      </c>
      <c r="G410" s="23">
        <f>VLOOKUP(C410,'[1]1.CUADRO RESUMEN DE SITIOS '!$C$5:$L$1052,5,FALSE())</f>
        <v>-76.511920000000003</v>
      </c>
      <c r="H410" s="23" t="str">
        <f>VLOOKUP(C410,'[1]1.CUADRO RESUMEN DE SITIOS '!$C$5:$L$1052,6,FALSE())</f>
        <v>Valle Del Cauca</v>
      </c>
      <c r="I410" s="23" t="str">
        <f>VLOOKUP(C410,'[1]1.CUADRO RESUMEN DE SITIOS '!$C$5:$L$1052,7,FALSE())</f>
        <v>WOM-HUAWEI</v>
      </c>
      <c r="J410" s="25" t="str">
        <f>VLOOKUP(C410,'[1]1.CUADRO RESUMEN DE SITIOS '!$C$5:$L$1052,8,FALSE())</f>
        <v>SUROCCIDENTE</v>
      </c>
      <c r="K410" s="23" t="str">
        <f>VLOOKUP(C410,'[1]1.CUADRO RESUMEN DE SITIOS '!$C$5:$L$1052,9,FALSE())</f>
        <v>Alejandro Sanchez</v>
      </c>
      <c r="L410" s="26" t="str">
        <f>VLOOKUP(C410,'[1]1.CUADRO RESUMEN DE SITIOS '!$C$5:$L$1052,10,FALSE())</f>
        <v>Terminado</v>
      </c>
      <c r="M410" s="26">
        <v>8828119393</v>
      </c>
      <c r="N410" s="26">
        <f>VLOOKUP(M410,[1]LPU!$A$2:$G$1512,2,FALSE())</f>
        <v>0</v>
      </c>
      <c r="O410" s="26" t="str">
        <f>VLOOKUP(M410,[1]LPU!$A$2:$G$1512,3,FALSE)</f>
        <v>Tuberia IMC de 2"</v>
      </c>
      <c r="P410" s="26" t="str">
        <f>VLOOKUP(M410,[1]LPU!$A$2:$G$1512,4,FALSE())</f>
        <v>Variables</v>
      </c>
      <c r="Q410" s="26" t="str">
        <f>VLOOKUP(M410,[1]LPU!$A$2:$G$1512,5,FALSE())</f>
        <v>ml</v>
      </c>
      <c r="R410" s="27">
        <f>VLOOKUP(M410,[1]LPU!$A$2:$G$1512,6,FALSE())</f>
        <v>47813</v>
      </c>
      <c r="S410" s="27" t="str">
        <f>VLOOKUP(M410,[1]LPU!$A$2:$G$1512,7,FALSE())</f>
        <v>LPU FO</v>
      </c>
      <c r="T410" s="28">
        <v>3</v>
      </c>
      <c r="U410" s="29">
        <f t="shared" si="7"/>
        <v>143439</v>
      </c>
      <c r="V410" s="29" t="s">
        <v>225</v>
      </c>
      <c r="W410" s="30"/>
      <c r="X410" s="29" t="s">
        <v>120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21" customHeight="1" x14ac:dyDescent="0.3">
      <c r="A411" s="22">
        <v>407</v>
      </c>
      <c r="B411" s="23">
        <v>1</v>
      </c>
      <c r="C411" s="23" t="s">
        <v>224</v>
      </c>
      <c r="D411" s="23" t="str">
        <f>VLOOKUP(C411,'[1]1.CUADRO RESUMEN DE SITIOS '!$C$5:$L$1052,2,FALSE())</f>
        <v>CCLI_02378</v>
      </c>
      <c r="E411" s="24">
        <f>VLOOKUP(C411,'[1]1.CUADRO RESUMEN DE SITIOS '!$C$5:$L$1052,3,FALSE())</f>
        <v>46029</v>
      </c>
      <c r="F411" s="23">
        <f>VLOOKUP(C411,'[1]1.CUADRO RESUMEN DE SITIOS '!$C$5:$L$1052,4,FALSE())</f>
        <v>3.5107499999999998</v>
      </c>
      <c r="G411" s="23">
        <f>VLOOKUP(C411,'[1]1.CUADRO RESUMEN DE SITIOS '!$C$5:$L$1052,5,FALSE())</f>
        <v>-76.511920000000003</v>
      </c>
      <c r="H411" s="23" t="str">
        <f>VLOOKUP(C411,'[1]1.CUADRO RESUMEN DE SITIOS '!$C$5:$L$1052,6,FALSE())</f>
        <v>Valle Del Cauca</v>
      </c>
      <c r="I411" s="23" t="str">
        <f>VLOOKUP(C411,'[1]1.CUADRO RESUMEN DE SITIOS '!$C$5:$L$1052,7,FALSE())</f>
        <v>WOM-HUAWEI</v>
      </c>
      <c r="J411" s="25" t="str">
        <f>VLOOKUP(C411,'[1]1.CUADRO RESUMEN DE SITIOS '!$C$5:$L$1052,8,FALSE())</f>
        <v>SUROCCIDENTE</v>
      </c>
      <c r="K411" s="23" t="str">
        <f>VLOOKUP(C411,'[1]1.CUADRO RESUMEN DE SITIOS '!$C$5:$L$1052,9,FALSE())</f>
        <v>Alejandro Sanchez</v>
      </c>
      <c r="L411" s="26" t="str">
        <f>VLOOKUP(C411,'[1]1.CUADRO RESUMEN DE SITIOS '!$C$5:$L$1052,10,FALSE())</f>
        <v>Terminado</v>
      </c>
      <c r="M411" s="26">
        <v>8828119590</v>
      </c>
      <c r="N411" s="26">
        <f>VLOOKUP(M411,[1]LPU!$A$2:$G$1512,2,FALSE())</f>
        <v>196</v>
      </c>
      <c r="O411" s="26" t="str">
        <f>VLOOKUP(M411,[1]LPU!$A$2:$G$1512,3,FALSE)</f>
        <v>Transporte de Equipos y Materiales, Carga y Descarga, desde y hacía Bodega Regional. Mas de 1 Tonelada. ZONA 1 (Resolución 5078 de 2016)</v>
      </c>
      <c r="P411" s="26" t="str">
        <f>VLOOKUP(M411,[1]LPU!$A$2:$G$1512,4,FALSE())</f>
        <v>LOCATIVO</v>
      </c>
      <c r="Q411" s="26" t="str">
        <f>VLOOKUP(M411,[1]LPU!$A$2:$G$1512,5,FALSE())</f>
        <v>U</v>
      </c>
      <c r="R411" s="27">
        <f>VLOOKUP(M411,[1]LPU!$A$2:$G$1512,6,FALSE())</f>
        <v>389844</v>
      </c>
      <c r="S411" s="27" t="str">
        <f>VLOOKUP(M411,[1]LPU!$A$2:$G$1512,7,FALSE())</f>
        <v>LPU FLM</v>
      </c>
      <c r="T411" s="28">
        <v>1</v>
      </c>
      <c r="U411" s="29">
        <f t="shared" si="7"/>
        <v>389844</v>
      </c>
      <c r="V411" s="29" t="s">
        <v>225</v>
      </c>
      <c r="W411" s="30"/>
      <c r="X411" s="29" t="s">
        <v>120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21" customHeight="1" x14ac:dyDescent="0.3">
      <c r="A412" s="22">
        <v>408</v>
      </c>
      <c r="B412" s="23">
        <v>1</v>
      </c>
      <c r="C412" s="23" t="s">
        <v>224</v>
      </c>
      <c r="D412" s="23" t="str">
        <f>VLOOKUP(C412,'[1]1.CUADRO RESUMEN DE SITIOS '!$C$5:$L$1052,2,FALSE())</f>
        <v>CCLI_02378</v>
      </c>
      <c r="E412" s="24">
        <f>VLOOKUP(C412,'[1]1.CUADRO RESUMEN DE SITIOS '!$C$5:$L$1052,3,FALSE())</f>
        <v>46029</v>
      </c>
      <c r="F412" s="23">
        <f>VLOOKUP(C412,'[1]1.CUADRO RESUMEN DE SITIOS '!$C$5:$L$1052,4,FALSE())</f>
        <v>3.5107499999999998</v>
      </c>
      <c r="G412" s="23">
        <f>VLOOKUP(C412,'[1]1.CUADRO RESUMEN DE SITIOS '!$C$5:$L$1052,5,FALSE())</f>
        <v>-76.511920000000003</v>
      </c>
      <c r="H412" s="23" t="str">
        <f>VLOOKUP(C412,'[1]1.CUADRO RESUMEN DE SITIOS '!$C$5:$L$1052,6,FALSE())</f>
        <v>Valle Del Cauca</v>
      </c>
      <c r="I412" s="23" t="str">
        <f>VLOOKUP(C412,'[1]1.CUADRO RESUMEN DE SITIOS '!$C$5:$L$1052,7,FALSE())</f>
        <v>WOM-HUAWEI</v>
      </c>
      <c r="J412" s="25" t="str">
        <f>VLOOKUP(C412,'[1]1.CUADRO RESUMEN DE SITIOS '!$C$5:$L$1052,8,FALSE())</f>
        <v>SUROCCIDENTE</v>
      </c>
      <c r="K412" s="23" t="str">
        <f>VLOOKUP(C412,'[1]1.CUADRO RESUMEN DE SITIOS '!$C$5:$L$1052,9,FALSE())</f>
        <v>Alejandro Sanchez</v>
      </c>
      <c r="L412" s="26" t="str">
        <f>VLOOKUP(C412,'[1]1.CUADRO RESUMEN DE SITIOS '!$C$5:$L$1052,10,FALSE())</f>
        <v>Terminado</v>
      </c>
      <c r="M412" s="26">
        <v>8828119110</v>
      </c>
      <c r="N412" s="26">
        <f>VLOOKUP(M412,[1]LPU!$A$2:$G$1512,2,FALSE())</f>
        <v>107</v>
      </c>
      <c r="O412" s="26" t="str">
        <f>VLOOKUP(M412,[1]LPU!$A$2:$G$1512,3,FALSE)</f>
        <v>Mano de Obra Tecnico Electricista Certficado CONTE</v>
      </c>
      <c r="P412" s="26" t="str">
        <f>VLOOKUP(M412,[1]LPU!$A$2:$G$1512,4,FALSE())</f>
        <v>ENERGÍA</v>
      </c>
      <c r="Q412" s="26" t="str">
        <f>VLOOKUP(M412,[1]LPU!$A$2:$G$1512,5,FALSE())</f>
        <v>DIA</v>
      </c>
      <c r="R412" s="27">
        <f>VLOOKUP(M412,[1]LPU!$A$2:$G$1512,6,FALSE())</f>
        <v>136000</v>
      </c>
      <c r="S412" s="27" t="str">
        <f>VLOOKUP(M412,[1]LPU!$A$2:$G$1512,7,FALSE())</f>
        <v>LPU FLM</v>
      </c>
      <c r="T412" s="28">
        <v>4</v>
      </c>
      <c r="U412" s="29">
        <f t="shared" si="7"/>
        <v>544000</v>
      </c>
      <c r="V412" s="29" t="s">
        <v>225</v>
      </c>
      <c r="W412" s="30"/>
      <c r="X412" s="29" t="s">
        <v>120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21" customHeight="1" x14ac:dyDescent="0.3">
      <c r="A413" s="22">
        <v>409</v>
      </c>
      <c r="B413" s="23">
        <v>1</v>
      </c>
      <c r="C413" s="23" t="s">
        <v>224</v>
      </c>
      <c r="D413" s="23" t="str">
        <f>VLOOKUP(C413,'[1]1.CUADRO RESUMEN DE SITIOS '!$C$5:$L$1052,2,FALSE())</f>
        <v>CCLI_02378</v>
      </c>
      <c r="E413" s="24">
        <f>VLOOKUP(C413,'[1]1.CUADRO RESUMEN DE SITIOS '!$C$5:$L$1052,3,FALSE())</f>
        <v>46029</v>
      </c>
      <c r="F413" s="23">
        <f>VLOOKUP(C413,'[1]1.CUADRO RESUMEN DE SITIOS '!$C$5:$L$1052,4,FALSE())</f>
        <v>3.5107499999999998</v>
      </c>
      <c r="G413" s="23">
        <f>VLOOKUP(C413,'[1]1.CUADRO RESUMEN DE SITIOS '!$C$5:$L$1052,5,FALSE())</f>
        <v>-76.511920000000003</v>
      </c>
      <c r="H413" s="23" t="str">
        <f>VLOOKUP(C413,'[1]1.CUADRO RESUMEN DE SITIOS '!$C$5:$L$1052,6,FALSE())</f>
        <v>Valle Del Cauca</v>
      </c>
      <c r="I413" s="23" t="str">
        <f>VLOOKUP(C413,'[1]1.CUADRO RESUMEN DE SITIOS '!$C$5:$L$1052,7,FALSE())</f>
        <v>WOM-HUAWEI</v>
      </c>
      <c r="J413" s="25" t="str">
        <f>VLOOKUP(C413,'[1]1.CUADRO RESUMEN DE SITIOS '!$C$5:$L$1052,8,FALSE())</f>
        <v>SUROCCIDENTE</v>
      </c>
      <c r="K413" s="23" t="str">
        <f>VLOOKUP(C413,'[1]1.CUADRO RESUMEN DE SITIOS '!$C$5:$L$1052,9,FALSE())</f>
        <v>Alejandro Sanchez</v>
      </c>
      <c r="L413" s="26" t="str">
        <f>VLOOKUP(C413,'[1]1.CUADRO RESUMEN DE SITIOS '!$C$5:$L$1052,10,FALSE())</f>
        <v>Terminado</v>
      </c>
      <c r="M413" s="26">
        <v>8828119751</v>
      </c>
      <c r="N413" s="26">
        <f>VLOOKUP(M413,[1]LPU!$A$2:$G$1512,2,FALSE())</f>
        <v>490</v>
      </c>
      <c r="O413" s="26" t="str">
        <f>VLOOKUP(M413,[1]LPU!$A$2:$G$1512,3,FALSE)</f>
        <v>CABLE CONCENTRICO ANTIFRAUDE AWG 2X6+6 N2 23</v>
      </c>
      <c r="P413" s="26" t="str">
        <f>VLOOKUP(M413,[1]LPU!$A$2:$G$1512,4,FALSE())</f>
        <v>Nivel 2</v>
      </c>
      <c r="Q413" s="26" t="str">
        <f>VLOOKUP(M413,[1]LPU!$A$2:$G$1512,5,FALSE())</f>
        <v>M</v>
      </c>
      <c r="R413" s="27">
        <f>VLOOKUP(M413,[1]LPU!$A$2:$G$1512,6,FALSE())</f>
        <v>27844</v>
      </c>
      <c r="S413" s="27" t="str">
        <f>VLOOKUP(M413,[1]LPU!$A$2:$G$1512,7,FALSE())</f>
        <v>N2</v>
      </c>
      <c r="T413" s="28">
        <v>70</v>
      </c>
      <c r="U413" s="29">
        <f t="shared" si="7"/>
        <v>1949080</v>
      </c>
      <c r="V413" s="29" t="s">
        <v>225</v>
      </c>
      <c r="W413" s="30"/>
      <c r="X413" s="29" t="s">
        <v>120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21" customHeight="1" x14ac:dyDescent="0.3">
      <c r="A414" s="22">
        <v>410</v>
      </c>
      <c r="B414" s="23">
        <v>1</v>
      </c>
      <c r="C414" s="23" t="s">
        <v>224</v>
      </c>
      <c r="D414" s="23" t="str">
        <f>VLOOKUP(C414,'[1]1.CUADRO RESUMEN DE SITIOS '!$C$5:$L$1052,2,FALSE())</f>
        <v>CCLI_02378</v>
      </c>
      <c r="E414" s="24">
        <f>VLOOKUP(C414,'[1]1.CUADRO RESUMEN DE SITIOS '!$C$5:$L$1052,3,FALSE())</f>
        <v>46029</v>
      </c>
      <c r="F414" s="23">
        <f>VLOOKUP(C414,'[1]1.CUADRO RESUMEN DE SITIOS '!$C$5:$L$1052,4,FALSE())</f>
        <v>3.5107499999999998</v>
      </c>
      <c r="G414" s="23">
        <f>VLOOKUP(C414,'[1]1.CUADRO RESUMEN DE SITIOS '!$C$5:$L$1052,5,FALSE())</f>
        <v>-76.511920000000003</v>
      </c>
      <c r="H414" s="23" t="str">
        <f>VLOOKUP(C414,'[1]1.CUADRO RESUMEN DE SITIOS '!$C$5:$L$1052,6,FALSE())</f>
        <v>Valle Del Cauca</v>
      </c>
      <c r="I414" s="23" t="str">
        <f>VLOOKUP(C414,'[1]1.CUADRO RESUMEN DE SITIOS '!$C$5:$L$1052,7,FALSE())</f>
        <v>WOM-HUAWEI</v>
      </c>
      <c r="J414" s="25" t="str">
        <f>VLOOKUP(C414,'[1]1.CUADRO RESUMEN DE SITIOS '!$C$5:$L$1052,8,FALSE())</f>
        <v>SUROCCIDENTE</v>
      </c>
      <c r="K414" s="23" t="str">
        <f>VLOOKUP(C414,'[1]1.CUADRO RESUMEN DE SITIOS '!$C$5:$L$1052,9,FALSE())</f>
        <v>Alejandro Sanchez</v>
      </c>
      <c r="L414" s="26" t="str">
        <f>VLOOKUP(C414,'[1]1.CUADRO RESUMEN DE SITIOS '!$C$5:$L$1052,10,FALSE())</f>
        <v>Terminado</v>
      </c>
      <c r="M414" s="26" t="s">
        <v>226</v>
      </c>
      <c r="N414" s="26"/>
      <c r="O414" s="26" t="s">
        <v>227</v>
      </c>
      <c r="P414" s="26" t="s">
        <v>228</v>
      </c>
      <c r="Q414" s="26" t="s">
        <v>229</v>
      </c>
      <c r="R414" s="27">
        <v>1800000</v>
      </c>
      <c r="S414" s="27" t="s">
        <v>230</v>
      </c>
      <c r="T414" s="28">
        <v>1</v>
      </c>
      <c r="U414" s="29">
        <f t="shared" si="7"/>
        <v>1800000</v>
      </c>
      <c r="V414" s="29" t="s">
        <v>225</v>
      </c>
      <c r="W414" s="30"/>
      <c r="X414" s="29" t="s">
        <v>120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21" customHeight="1" x14ac:dyDescent="0.3">
      <c r="A415" s="22">
        <v>411</v>
      </c>
      <c r="B415" s="23">
        <v>1</v>
      </c>
      <c r="C415" s="23" t="s">
        <v>224</v>
      </c>
      <c r="D415" s="23" t="str">
        <f>VLOOKUP(C415,'[1]1.CUADRO RESUMEN DE SITIOS '!$C$5:$L$1052,2,FALSE())</f>
        <v>CCLI_02378</v>
      </c>
      <c r="E415" s="24">
        <f>VLOOKUP(C415,'[1]1.CUADRO RESUMEN DE SITIOS '!$C$5:$L$1052,3,FALSE())</f>
        <v>46029</v>
      </c>
      <c r="F415" s="23">
        <f>VLOOKUP(C415,'[1]1.CUADRO RESUMEN DE SITIOS '!$C$5:$L$1052,4,FALSE())</f>
        <v>3.5107499999999998</v>
      </c>
      <c r="G415" s="23">
        <f>VLOOKUP(C415,'[1]1.CUADRO RESUMEN DE SITIOS '!$C$5:$L$1052,5,FALSE())</f>
        <v>-76.511920000000003</v>
      </c>
      <c r="H415" s="23" t="str">
        <f>VLOOKUP(C415,'[1]1.CUADRO RESUMEN DE SITIOS '!$C$5:$L$1052,6,FALSE())</f>
        <v>Valle Del Cauca</v>
      </c>
      <c r="I415" s="23" t="str">
        <f>VLOOKUP(C415,'[1]1.CUADRO RESUMEN DE SITIOS '!$C$5:$L$1052,7,FALSE())</f>
        <v>WOM-HUAWEI</v>
      </c>
      <c r="J415" s="25" t="str">
        <f>VLOOKUP(C415,'[1]1.CUADRO RESUMEN DE SITIOS '!$C$5:$L$1052,8,FALSE())</f>
        <v>SUROCCIDENTE</v>
      </c>
      <c r="K415" s="23" t="str">
        <f>VLOOKUP(C415,'[1]1.CUADRO RESUMEN DE SITIOS '!$C$5:$L$1052,9,FALSE())</f>
        <v>Alejandro Sanchez</v>
      </c>
      <c r="L415" s="26" t="str">
        <f>VLOOKUP(C415,'[1]1.CUADRO RESUMEN DE SITIOS '!$C$5:$L$1052,10,FALSE())</f>
        <v>Terminado</v>
      </c>
      <c r="M415" s="26" t="s">
        <v>226</v>
      </c>
      <c r="N415" s="26" t="s">
        <v>139</v>
      </c>
      <c r="O415" s="26" t="s">
        <v>231</v>
      </c>
      <c r="P415" s="26" t="s">
        <v>228</v>
      </c>
      <c r="Q415" s="26" t="s">
        <v>232</v>
      </c>
      <c r="R415" s="27">
        <v>6200</v>
      </c>
      <c r="S415" s="27" t="s">
        <v>230</v>
      </c>
      <c r="T415" s="28">
        <v>60</v>
      </c>
      <c r="U415" s="29">
        <f t="shared" si="7"/>
        <v>372000</v>
      </c>
      <c r="V415" s="29" t="s">
        <v>225</v>
      </c>
      <c r="W415" s="30"/>
      <c r="X415" s="29" t="s">
        <v>120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21" customHeight="1" x14ac:dyDescent="0.3">
      <c r="A416" s="22">
        <v>412</v>
      </c>
      <c r="B416" s="23">
        <v>1</v>
      </c>
      <c r="C416" s="23" t="s">
        <v>233</v>
      </c>
      <c r="D416" s="23" t="str">
        <f>VLOOKUP(C416,'[1]1.CUADRO RESUMEN DE SITIOS '!$C$5:$L$1052,2,FALSE())</f>
        <v>JCOR_0017</v>
      </c>
      <c r="E416" s="24">
        <f>VLOOKUP(C416,'[1]1.CUADRO RESUMEN DE SITIOS '!$C$5:$L$1052,3,FALSE())</f>
        <v>46010</v>
      </c>
      <c r="F416" s="23">
        <f>VLOOKUP(C416,'[1]1.CUADRO RESUMEN DE SITIOS '!$C$5:$L$1052,4,FALSE())</f>
        <v>8.6954700000000003</v>
      </c>
      <c r="G416" s="23">
        <f>VLOOKUP(C416,'[1]1.CUADRO RESUMEN DE SITIOS '!$C$5:$L$1052,5,FALSE())</f>
        <v>-76.123750000000001</v>
      </c>
      <c r="H416" s="23" t="str">
        <f>VLOOKUP(C416,'[1]1.CUADRO RESUMEN DE SITIOS '!$C$5:$L$1052,6,FALSE())</f>
        <v>Cordoba</v>
      </c>
      <c r="I416" s="23" t="str">
        <f>VLOOKUP(C416,'[1]1.CUADRO RESUMEN DE SITIOS '!$C$5:$L$1052,7,FALSE())</f>
        <v>WOM-HUAWEI</v>
      </c>
      <c r="J416" s="25" t="str">
        <f>VLOOKUP(C416,'[1]1.CUADRO RESUMEN DE SITIOS '!$C$5:$L$1052,8,FALSE())</f>
        <v>COSTA</v>
      </c>
      <c r="K416" s="23" t="str">
        <f>VLOOKUP(C416,'[1]1.CUADRO RESUMEN DE SITIOS '!$C$5:$L$1052,9,FALSE())</f>
        <v>Cesar Osorio</v>
      </c>
      <c r="L416" s="26" t="str">
        <f>VLOOKUP(C416,'[1]1.CUADRO RESUMEN DE SITIOS '!$C$5:$L$1052,10,FALSE())</f>
        <v>Terminado</v>
      </c>
      <c r="M416" s="26" t="s">
        <v>226</v>
      </c>
      <c r="N416" s="26" t="s">
        <v>139</v>
      </c>
      <c r="O416" s="26" t="s">
        <v>26</v>
      </c>
      <c r="P416" s="26" t="s">
        <v>228</v>
      </c>
      <c r="Q416" s="26" t="s">
        <v>234</v>
      </c>
      <c r="R416" s="27">
        <v>600000</v>
      </c>
      <c r="S416" s="27" t="s">
        <v>230</v>
      </c>
      <c r="T416" s="28">
        <v>1.35</v>
      </c>
      <c r="U416" s="29">
        <f t="shared" si="7"/>
        <v>810000</v>
      </c>
      <c r="V416" s="29" t="s">
        <v>26</v>
      </c>
      <c r="W416" s="30"/>
      <c r="X416" s="29" t="s">
        <v>235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21" customHeight="1" x14ac:dyDescent="0.3">
      <c r="A417" s="22">
        <v>413</v>
      </c>
      <c r="B417" s="23">
        <v>1</v>
      </c>
      <c r="C417" s="23" t="s">
        <v>236</v>
      </c>
      <c r="D417" s="23" t="str">
        <f>VLOOKUP(C417,'[1]1.CUADRO RESUMEN DE SITIOS '!$C$5:$L$1052,2,FALSE())</f>
        <v>JCAU_00082</v>
      </c>
      <c r="E417" s="24">
        <f>VLOOKUP(C417,'[1]1.CUADRO RESUMEN DE SITIOS '!$C$5:$L$1052,3,FALSE())</f>
        <v>46002</v>
      </c>
      <c r="F417" s="23">
        <f>VLOOKUP(C417,'[1]1.CUADRO RESUMEN DE SITIOS '!$C$5:$L$1052,4,FALSE())</f>
        <v>3.0853830000000002</v>
      </c>
      <c r="G417" s="23">
        <f>VLOOKUP(C417,'[1]1.CUADRO RESUMEN DE SITIOS '!$C$5:$L$1052,5,FALSE())</f>
        <v>-76.758807000000004</v>
      </c>
      <c r="H417" s="23" t="str">
        <f>VLOOKUP(C417,'[1]1.CUADRO RESUMEN DE SITIOS '!$C$5:$L$1052,6,FALSE())</f>
        <v>Cauca</v>
      </c>
      <c r="I417" s="23" t="str">
        <f>VLOOKUP(C417,'[1]1.CUADRO RESUMEN DE SITIOS '!$C$5:$L$1052,7,FALSE())</f>
        <v>WOM-HUAWEI</v>
      </c>
      <c r="J417" s="25">
        <f>VLOOKUP(C417,'[1]1.CUADRO RESUMEN DE SITIOS '!$C$5:$L$1052,8,FALSE())</f>
        <v>0</v>
      </c>
      <c r="K417" s="23" t="str">
        <f>VLOOKUP(C417,'[1]1.CUADRO RESUMEN DE SITIOS '!$C$5:$L$1052,9,FALSE())</f>
        <v>Cesar Osorio</v>
      </c>
      <c r="L417" s="26" t="str">
        <f>VLOOKUP(C417,'[1]1.CUADRO RESUMEN DE SITIOS '!$C$5:$L$1052,10,FALSE())</f>
        <v>Terminado</v>
      </c>
      <c r="M417" s="26" t="s">
        <v>226</v>
      </c>
      <c r="N417" s="26" t="s">
        <v>139</v>
      </c>
      <c r="O417" s="26" t="s">
        <v>26</v>
      </c>
      <c r="P417" s="26" t="s">
        <v>228</v>
      </c>
      <c r="Q417" s="26" t="s">
        <v>234</v>
      </c>
      <c r="R417" s="27">
        <v>250000</v>
      </c>
      <c r="S417" s="27" t="s">
        <v>230</v>
      </c>
      <c r="T417" s="28">
        <v>1.35</v>
      </c>
      <c r="U417" s="29">
        <f t="shared" si="7"/>
        <v>337500</v>
      </c>
      <c r="V417" s="29" t="s">
        <v>26</v>
      </c>
      <c r="W417" s="30"/>
      <c r="X417" s="29" t="s">
        <v>38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21" customHeight="1" x14ac:dyDescent="0.3">
      <c r="A418" s="22">
        <v>414</v>
      </c>
      <c r="B418" s="23">
        <v>1</v>
      </c>
      <c r="C418" s="23" t="s">
        <v>237</v>
      </c>
      <c r="D418" s="23" t="str">
        <f>VLOOKUP(C418,'[1]1.CUADRO RESUMEN DE SITIOS '!$C$5:$L$1052,2,FALSE())</f>
        <v>JSUC_00070</v>
      </c>
      <c r="E418" s="24">
        <f>VLOOKUP(C418,'[1]1.CUADRO RESUMEN DE SITIOS '!$C$5:$L$1052,3,FALSE())</f>
        <v>45787</v>
      </c>
      <c r="F418" s="23">
        <f>VLOOKUP(C418,'[1]1.CUADRO RESUMEN DE SITIOS '!$C$5:$L$1052,4,FALSE())</f>
        <v>8.70627</v>
      </c>
      <c r="G418" s="23">
        <f>VLOOKUP(C418,'[1]1.CUADRO RESUMEN DE SITIOS '!$C$5:$L$1052,5,FALSE())</f>
        <v>-75.221459999999993</v>
      </c>
      <c r="H418" s="23" t="str">
        <f>VLOOKUP(C418,'[1]1.CUADRO RESUMEN DE SITIOS '!$C$5:$L$1052,6,FALSE())</f>
        <v>Sucre</v>
      </c>
      <c r="I418" s="23" t="str">
        <f>VLOOKUP(C418,'[1]1.CUADRO RESUMEN DE SITIOS '!$C$5:$L$1052,7,FALSE())</f>
        <v>WOM</v>
      </c>
      <c r="J418" s="25" t="str">
        <f>VLOOKUP(C418,'[1]1.CUADRO RESUMEN DE SITIOS '!$C$5:$L$1052,8,FALSE())</f>
        <v>COSTA</v>
      </c>
      <c r="K418" s="23" t="str">
        <f>VLOOKUP(C418,'[1]1.CUADRO RESUMEN DE SITIOS '!$C$5:$L$1052,9,FALSE())</f>
        <v>Elkis Sandoval</v>
      </c>
      <c r="L418" s="26" t="str">
        <f>VLOOKUP(C418,'[1]1.CUADRO RESUMEN DE SITIOS '!$C$5:$L$1052,10,FALSE())</f>
        <v>Terminado</v>
      </c>
      <c r="M418" s="26" t="s">
        <v>226</v>
      </c>
      <c r="N418" s="26" t="s">
        <v>139</v>
      </c>
      <c r="O418" s="26" t="s">
        <v>26</v>
      </c>
      <c r="P418" s="26" t="s">
        <v>228</v>
      </c>
      <c r="Q418" s="26" t="s">
        <v>234</v>
      </c>
      <c r="R418" s="27">
        <v>500000</v>
      </c>
      <c r="S418" s="27" t="s">
        <v>230</v>
      </c>
      <c r="T418" s="28">
        <v>1.35</v>
      </c>
      <c r="U418" s="29">
        <f t="shared" si="7"/>
        <v>675000</v>
      </c>
      <c r="V418" s="29" t="s">
        <v>26</v>
      </c>
      <c r="W418" s="30"/>
      <c r="X418" s="29" t="s">
        <v>235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21" customHeight="1" x14ac:dyDescent="0.3">
      <c r="A419" s="22">
        <v>415</v>
      </c>
      <c r="B419" s="23">
        <v>1</v>
      </c>
      <c r="C419" s="23" t="s">
        <v>33</v>
      </c>
      <c r="D419" s="23" t="str">
        <f>VLOOKUP(C419,'[1]1.CUADRO RESUMEN DE SITIOS '!$C$5:$L$1052,2,FALSE())</f>
        <v>JSUC_00070</v>
      </c>
      <c r="E419" s="24">
        <f>VLOOKUP(C419,'[1]1.CUADRO RESUMEN DE SITIOS '!$C$5:$L$1052,3,FALSE())</f>
        <v>45787</v>
      </c>
      <c r="F419" s="23">
        <f>VLOOKUP(C419,'[1]1.CUADRO RESUMEN DE SITIOS '!$C$5:$L$1052,4,FALSE())</f>
        <v>8.70627</v>
      </c>
      <c r="G419" s="23">
        <f>VLOOKUP(C419,'[1]1.CUADRO RESUMEN DE SITIOS '!$C$5:$L$1052,5,FALSE())</f>
        <v>-75.221459999999993</v>
      </c>
      <c r="H419" s="23" t="str">
        <f>VLOOKUP(C419,'[1]1.CUADRO RESUMEN DE SITIOS '!$C$5:$L$1052,6,FALSE())</f>
        <v>Sucre</v>
      </c>
      <c r="I419" s="23" t="str">
        <f>VLOOKUP(C419,'[1]1.CUADRO RESUMEN DE SITIOS '!$C$5:$L$1052,7,FALSE())</f>
        <v>WOM</v>
      </c>
      <c r="J419" s="25" t="str">
        <f>VLOOKUP(C419,'[1]1.CUADRO RESUMEN DE SITIOS '!$C$5:$L$1052,8,FALSE())</f>
        <v>COSTA</v>
      </c>
      <c r="K419" s="23" t="str">
        <f>VLOOKUP(C419,'[1]1.CUADRO RESUMEN DE SITIOS '!$C$5:$L$1052,9,FALSE())</f>
        <v>Elkis Sandoval</v>
      </c>
      <c r="L419" s="26" t="str">
        <f>VLOOKUP(C419,'[1]1.CUADRO RESUMEN DE SITIOS '!$C$5:$L$1052,10,FALSE())</f>
        <v>Terminado</v>
      </c>
      <c r="M419" s="26" t="s">
        <v>226</v>
      </c>
      <c r="N419" s="26" t="s">
        <v>139</v>
      </c>
      <c r="O419" s="26" t="s">
        <v>26</v>
      </c>
      <c r="P419" s="26" t="s">
        <v>228</v>
      </c>
      <c r="Q419" s="26" t="s">
        <v>234</v>
      </c>
      <c r="R419" s="27">
        <v>300000</v>
      </c>
      <c r="S419" s="27" t="s">
        <v>230</v>
      </c>
      <c r="T419" s="28">
        <v>1.35</v>
      </c>
      <c r="U419" s="29">
        <f t="shared" si="7"/>
        <v>405000</v>
      </c>
      <c r="V419" s="29" t="s">
        <v>26</v>
      </c>
      <c r="W419" s="30"/>
      <c r="X419" s="29" t="s">
        <v>235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21" customHeight="1" x14ac:dyDescent="0.3">
      <c r="A420" s="22">
        <v>416</v>
      </c>
      <c r="B420" s="23">
        <v>1</v>
      </c>
      <c r="C420" s="23" t="s">
        <v>233</v>
      </c>
      <c r="D420" s="23" t="str">
        <f>VLOOKUP(C420,'[1]1.CUADRO RESUMEN DE SITIOS '!$C$5:$L$1052,2,FALSE())</f>
        <v>JCOR_0017</v>
      </c>
      <c r="E420" s="24">
        <f>VLOOKUP(C420,'[1]1.CUADRO RESUMEN DE SITIOS '!$C$5:$L$1052,3,FALSE())</f>
        <v>46010</v>
      </c>
      <c r="F420" s="23">
        <f>VLOOKUP(C420,'[1]1.CUADRO RESUMEN DE SITIOS '!$C$5:$L$1052,4,FALSE())</f>
        <v>8.6954700000000003</v>
      </c>
      <c r="G420" s="23">
        <f>VLOOKUP(C420,'[1]1.CUADRO RESUMEN DE SITIOS '!$C$5:$L$1052,5,FALSE())</f>
        <v>-76.123750000000001</v>
      </c>
      <c r="H420" s="23" t="str">
        <f>VLOOKUP(C420,'[1]1.CUADRO RESUMEN DE SITIOS '!$C$5:$L$1052,6,FALSE())</f>
        <v>Cordoba</v>
      </c>
      <c r="I420" s="23" t="str">
        <f>VLOOKUP(C420,'[1]1.CUADRO RESUMEN DE SITIOS '!$C$5:$L$1052,7,FALSE())</f>
        <v>WOM-HUAWEI</v>
      </c>
      <c r="J420" s="25" t="str">
        <f>VLOOKUP(C420,'[1]1.CUADRO RESUMEN DE SITIOS '!$C$5:$L$1052,8,FALSE())</f>
        <v>COSTA</v>
      </c>
      <c r="K420" s="23" t="str">
        <f>VLOOKUP(C420,'[1]1.CUADRO RESUMEN DE SITIOS '!$C$5:$L$1052,9,FALSE())</f>
        <v>Cesar Osorio</v>
      </c>
      <c r="L420" s="26" t="str">
        <f>VLOOKUP(C420,'[1]1.CUADRO RESUMEN DE SITIOS '!$C$5:$L$1052,10,FALSE())</f>
        <v>Terminado</v>
      </c>
      <c r="M420" s="26" t="s">
        <v>226</v>
      </c>
      <c r="N420" s="26" t="s">
        <v>139</v>
      </c>
      <c r="O420" s="26" t="s">
        <v>26</v>
      </c>
      <c r="P420" s="26" t="s">
        <v>228</v>
      </c>
      <c r="Q420" s="26" t="s">
        <v>234</v>
      </c>
      <c r="R420" s="27">
        <v>100000</v>
      </c>
      <c r="S420" s="27" t="s">
        <v>230</v>
      </c>
      <c r="T420" s="28">
        <v>1.35</v>
      </c>
      <c r="U420" s="29">
        <f t="shared" si="7"/>
        <v>135000</v>
      </c>
      <c r="V420" s="29" t="s">
        <v>26</v>
      </c>
      <c r="W420" s="30">
        <v>277732</v>
      </c>
      <c r="X420" s="29" t="s">
        <v>27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21" customHeight="1" x14ac:dyDescent="0.3">
      <c r="A421" s="22">
        <v>417</v>
      </c>
      <c r="B421" s="23">
        <v>1</v>
      </c>
      <c r="C421" s="23" t="s">
        <v>238</v>
      </c>
      <c r="D421" s="23" t="str">
        <f>VLOOKUP(C421,'[1]1.CUADRO RESUMEN DE SITIOS '!$C$5:$L$1052,2,FALSE())</f>
        <v>JCOR_00240</v>
      </c>
      <c r="E421" s="24">
        <f>VLOOKUP(C421,'[1]1.CUADRO RESUMEN DE SITIOS '!$C$5:$L$1052,3,FALSE())</f>
        <v>46010</v>
      </c>
      <c r="F421" s="23">
        <f>VLOOKUP(C421,'[1]1.CUADRO RESUMEN DE SITIOS '!$C$5:$L$1052,4,FALSE())</f>
        <v>8.5542200000000008</v>
      </c>
      <c r="G421" s="23">
        <f>VLOOKUP(C421,'[1]1.CUADRO RESUMEN DE SITIOS '!$C$5:$L$1052,5,FALSE())</f>
        <v>-75.342680000000001</v>
      </c>
      <c r="H421" s="23" t="str">
        <f>VLOOKUP(C421,'[1]1.CUADRO RESUMEN DE SITIOS '!$C$5:$L$1052,6,FALSE())</f>
        <v>Cordoba</v>
      </c>
      <c r="I421" s="23" t="str">
        <f>VLOOKUP(C421,'[1]1.CUADRO RESUMEN DE SITIOS '!$C$5:$L$1052,7,FALSE())</f>
        <v>WOM-HUAWEI</v>
      </c>
      <c r="J421" s="25">
        <f>VLOOKUP(C421,'[1]1.CUADRO RESUMEN DE SITIOS '!$C$5:$L$1052,8,FALSE())</f>
        <v>0</v>
      </c>
      <c r="K421" s="23" t="str">
        <f>VLOOKUP(C421,'[1]1.CUADRO RESUMEN DE SITIOS '!$C$5:$L$1052,9,FALSE())</f>
        <v>Cesar Osorio</v>
      </c>
      <c r="L421" s="26" t="str">
        <f>VLOOKUP(C421,'[1]1.CUADRO RESUMEN DE SITIOS '!$C$5:$L$1052,10,FALSE())</f>
        <v>Terminado</v>
      </c>
      <c r="M421" s="26" t="s">
        <v>226</v>
      </c>
      <c r="N421" s="26" t="s">
        <v>139</v>
      </c>
      <c r="O421" s="26" t="s">
        <v>26</v>
      </c>
      <c r="P421" s="26" t="s">
        <v>228</v>
      </c>
      <c r="Q421" s="26" t="s">
        <v>234</v>
      </c>
      <c r="R421" s="27">
        <v>400000</v>
      </c>
      <c r="S421" s="27" t="s">
        <v>230</v>
      </c>
      <c r="T421" s="28">
        <v>1.35</v>
      </c>
      <c r="U421" s="29">
        <f t="shared" si="7"/>
        <v>540000</v>
      </c>
      <c r="V421" s="29" t="s">
        <v>26</v>
      </c>
      <c r="W421" s="30">
        <v>279239</v>
      </c>
      <c r="X421" s="29" t="s">
        <v>235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21" customHeight="1" x14ac:dyDescent="0.3">
      <c r="A422" s="22">
        <v>418</v>
      </c>
      <c r="B422" s="23">
        <v>1</v>
      </c>
      <c r="C422" s="23" t="s">
        <v>239</v>
      </c>
      <c r="D422" s="23" t="str">
        <f>VLOOKUP(C422,'[1]1.CUADRO RESUMEN DE SITIOS '!$C$5:$L$1052,2,FALSE())</f>
        <v>JSUC_00215</v>
      </c>
      <c r="E422" s="24">
        <f>VLOOKUP(C422,'[1]1.CUADRO RESUMEN DE SITIOS '!$C$5:$L$1052,3,FALSE())</f>
        <v>46011</v>
      </c>
      <c r="F422" s="23">
        <f>VLOOKUP(C422,'[1]1.CUADRO RESUMEN DE SITIOS '!$C$5:$L$1052,4,FALSE())</f>
        <v>9.1791099999999997</v>
      </c>
      <c r="G422" s="23">
        <f>VLOOKUP(C422,'[1]1.CUADRO RESUMEN DE SITIOS '!$C$5:$L$1052,5,FALSE())</f>
        <v>-75.198250000000002</v>
      </c>
      <c r="H422" s="23" t="str">
        <f>VLOOKUP(C422,'[1]1.CUADRO RESUMEN DE SITIOS '!$C$5:$L$1052,6,FALSE())</f>
        <v>Sucre</v>
      </c>
      <c r="I422" s="23" t="str">
        <f>VLOOKUP(C422,'[1]1.CUADRO RESUMEN DE SITIOS '!$C$5:$L$1052,7,FALSE())</f>
        <v>WOM-HUAWEI</v>
      </c>
      <c r="J422" s="25">
        <f>VLOOKUP(C422,'[1]1.CUADRO RESUMEN DE SITIOS '!$C$5:$L$1052,8,FALSE())</f>
        <v>0</v>
      </c>
      <c r="K422" s="23" t="str">
        <f>VLOOKUP(C422,'[1]1.CUADRO RESUMEN DE SITIOS '!$C$5:$L$1052,9,FALSE())</f>
        <v>Maria Camila Torres</v>
      </c>
      <c r="L422" s="26" t="str">
        <f>VLOOKUP(C422,'[1]1.CUADRO RESUMEN DE SITIOS '!$C$5:$L$1052,10,FALSE())</f>
        <v>Terminado</v>
      </c>
      <c r="M422" s="26" t="s">
        <v>226</v>
      </c>
      <c r="N422" s="26" t="s">
        <v>139</v>
      </c>
      <c r="O422" s="26" t="s">
        <v>26</v>
      </c>
      <c r="P422" s="26" t="s">
        <v>228</v>
      </c>
      <c r="Q422" s="26" t="s">
        <v>234</v>
      </c>
      <c r="R422" s="27">
        <v>140000</v>
      </c>
      <c r="S422" s="27" t="s">
        <v>230</v>
      </c>
      <c r="T422" s="28">
        <v>1.35</v>
      </c>
      <c r="U422" s="29">
        <f t="shared" si="7"/>
        <v>189000</v>
      </c>
      <c r="V422" s="29" t="s">
        <v>26</v>
      </c>
      <c r="W422" s="30">
        <v>279408</v>
      </c>
      <c r="X422" s="29" t="s">
        <v>27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21" customHeight="1" x14ac:dyDescent="0.3">
      <c r="A423" s="22">
        <v>419</v>
      </c>
      <c r="B423" s="23">
        <v>1</v>
      </c>
      <c r="C423" s="23" t="s">
        <v>240</v>
      </c>
      <c r="D423" s="23" t="str">
        <f>VLOOKUP(C423,'[1]1.CUADRO RESUMEN DE SITIOS '!$C$5:$L$1052,2,FALSE())</f>
        <v>MET_02161</v>
      </c>
      <c r="E423" s="24">
        <f>VLOOKUP(C423,'[1]1.CUADRO RESUMEN DE SITIOS '!$C$5:$L$1052,3,FALSE())</f>
        <v>46013</v>
      </c>
      <c r="F423" s="23">
        <f>VLOOKUP(C423,'[1]1.CUADRO RESUMEN DE SITIOS '!$C$5:$L$1052,4,FALSE())</f>
        <v>3.900226</v>
      </c>
      <c r="G423" s="23">
        <f>VLOOKUP(C423,'[1]1.CUADRO RESUMEN DE SITIOS '!$C$5:$L$1052,5,FALSE())</f>
        <v>-73.824250000000006</v>
      </c>
      <c r="H423" s="23" t="str">
        <f>VLOOKUP(C423,'[1]1.CUADRO RESUMEN DE SITIOS '!$C$5:$L$1052,6,FALSE())</f>
        <v>Meta</v>
      </c>
      <c r="I423" s="23" t="str">
        <f>VLOOKUP(C423,'[1]1.CUADRO RESUMEN DE SITIOS '!$C$5:$L$1052,7,FALSE())</f>
        <v>WOM-HUAWEI</v>
      </c>
      <c r="J423" s="25">
        <f>VLOOKUP(C423,'[1]1.CUADRO RESUMEN DE SITIOS '!$C$5:$L$1052,8,FALSE())</f>
        <v>0</v>
      </c>
      <c r="K423" s="23" t="str">
        <f>VLOOKUP(C423,'[1]1.CUADRO RESUMEN DE SITIOS '!$C$5:$L$1052,9,FALSE())</f>
        <v>Maria Camila Torres</v>
      </c>
      <c r="L423" s="26" t="str">
        <f>VLOOKUP(C423,'[1]1.CUADRO RESUMEN DE SITIOS '!$C$5:$L$1052,10,FALSE())</f>
        <v>Terminado</v>
      </c>
      <c r="M423" s="26" t="s">
        <v>226</v>
      </c>
      <c r="N423" s="26" t="s">
        <v>139</v>
      </c>
      <c r="O423" s="26" t="s">
        <v>26</v>
      </c>
      <c r="P423" s="26" t="s">
        <v>228</v>
      </c>
      <c r="Q423" s="26" t="s">
        <v>234</v>
      </c>
      <c r="R423" s="27">
        <v>350000</v>
      </c>
      <c r="S423" s="27" t="s">
        <v>230</v>
      </c>
      <c r="T423" s="28">
        <v>1.35</v>
      </c>
      <c r="U423" s="29">
        <f t="shared" si="7"/>
        <v>472500.00000000006</v>
      </c>
      <c r="V423" s="29" t="s">
        <v>26</v>
      </c>
      <c r="W423" s="30">
        <v>279891</v>
      </c>
      <c r="X423" s="29" t="s">
        <v>136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21" customHeight="1" x14ac:dyDescent="0.3">
      <c r="A424" s="22">
        <v>420</v>
      </c>
      <c r="B424" s="23">
        <v>1</v>
      </c>
      <c r="C424" s="23" t="s">
        <v>125</v>
      </c>
      <c r="D424" s="23" t="str">
        <f>VLOOKUP(C424,'[1]1.CUADRO RESUMEN DE SITIOS '!$C$5:$L$1052,2,FALSE())</f>
        <v>JCOR_00232</v>
      </c>
      <c r="E424" s="24">
        <f>VLOOKUP(C424,'[1]1.CUADRO RESUMEN DE SITIOS '!$C$5:$L$1052,3,FALSE())</f>
        <v>46005</v>
      </c>
      <c r="F424" s="23">
        <f>VLOOKUP(C424,'[1]1.CUADRO RESUMEN DE SITIOS '!$C$5:$L$1052,4,FALSE())</f>
        <v>9.0695899999999998</v>
      </c>
      <c r="G424" s="23">
        <f>VLOOKUP(C424,'[1]1.CUADRO RESUMEN DE SITIOS '!$C$5:$L$1052,5,FALSE())</f>
        <v>-75.558620000000005</v>
      </c>
      <c r="H424" s="23" t="str">
        <f>VLOOKUP(C424,'[1]1.CUADRO RESUMEN DE SITIOS '!$C$5:$L$1052,6,FALSE())</f>
        <v>Córdoba</v>
      </c>
      <c r="I424" s="23" t="str">
        <f>VLOOKUP(C424,'[1]1.CUADRO RESUMEN DE SITIOS '!$C$5:$L$1052,7,FALSE())</f>
        <v>WOM-HUAWEI</v>
      </c>
      <c r="J424" s="25" t="str">
        <f>VLOOKUP(C424,'[1]1.CUADRO RESUMEN DE SITIOS '!$C$5:$L$1052,8,FALSE())</f>
        <v>COSTA</v>
      </c>
      <c r="K424" s="23" t="str">
        <f>VLOOKUP(C424,'[1]1.CUADRO RESUMEN DE SITIOS '!$C$5:$L$1052,9,FALSE())</f>
        <v>Cesar Osorio</v>
      </c>
      <c r="L424" s="26" t="str">
        <f>VLOOKUP(C424,'[1]1.CUADRO RESUMEN DE SITIOS '!$C$5:$L$1052,10,FALSE())</f>
        <v>Terminado</v>
      </c>
      <c r="M424" s="26" t="s">
        <v>226</v>
      </c>
      <c r="N424" s="26" t="s">
        <v>139</v>
      </c>
      <c r="O424" s="26" t="s">
        <v>26</v>
      </c>
      <c r="P424" s="26" t="s">
        <v>228</v>
      </c>
      <c r="Q424" s="26" t="s">
        <v>234</v>
      </c>
      <c r="R424" s="27">
        <v>380000</v>
      </c>
      <c r="S424" s="27" t="s">
        <v>230</v>
      </c>
      <c r="T424" s="28">
        <v>1.35</v>
      </c>
      <c r="U424" s="29">
        <f t="shared" si="7"/>
        <v>513000.00000000006</v>
      </c>
      <c r="V424" s="29" t="s">
        <v>26</v>
      </c>
      <c r="W424" s="30">
        <v>280030</v>
      </c>
      <c r="X424" s="29" t="s">
        <v>235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21" customHeight="1" x14ac:dyDescent="0.3">
      <c r="A425" s="22">
        <v>421</v>
      </c>
      <c r="B425" s="23">
        <v>1</v>
      </c>
      <c r="C425" s="23" t="s">
        <v>241</v>
      </c>
      <c r="D425" s="23" t="str">
        <f>VLOOKUP(C425,'[1]1.CUADRO RESUMEN DE SITIOS '!$C$5:$L$1052,2,FALSE())</f>
        <v>JCOR_00104</v>
      </c>
      <c r="E425" s="24">
        <f>VLOOKUP(C425,'[1]1.CUADRO RESUMEN DE SITIOS '!$C$5:$L$1052,3,FALSE())</f>
        <v>46014</v>
      </c>
      <c r="F425" s="23">
        <f>VLOOKUP(C425,'[1]1.CUADRO RESUMEN DE SITIOS '!$C$5:$L$1052,4,FALSE())</f>
        <v>8.6066000000000003</v>
      </c>
      <c r="G425" s="23">
        <f>VLOOKUP(C425,'[1]1.CUADRO RESUMEN DE SITIOS '!$C$5:$L$1052,5,FALSE())</f>
        <v>-76.152349999999998</v>
      </c>
      <c r="H425" s="23" t="str">
        <f>VLOOKUP(C425,'[1]1.CUADRO RESUMEN DE SITIOS '!$C$5:$L$1052,6,FALSE())</f>
        <v>Cordoba</v>
      </c>
      <c r="I425" s="23" t="str">
        <f>VLOOKUP(C425,'[1]1.CUADRO RESUMEN DE SITIOS '!$C$5:$L$1052,7,FALSE())</f>
        <v>WOM-HUAWEI</v>
      </c>
      <c r="J425" s="25">
        <f>VLOOKUP(C425,'[1]1.CUADRO RESUMEN DE SITIOS '!$C$5:$L$1052,8,FALSE())</f>
        <v>0</v>
      </c>
      <c r="K425" s="23" t="str">
        <f>VLOOKUP(C425,'[1]1.CUADRO RESUMEN DE SITIOS '!$C$5:$L$1052,9,FALSE())</f>
        <v>Cesar Osorio</v>
      </c>
      <c r="L425" s="26" t="str">
        <f>VLOOKUP(C425,'[1]1.CUADRO RESUMEN DE SITIOS '!$C$5:$L$1052,10,FALSE())</f>
        <v>Terminado</v>
      </c>
      <c r="M425" s="26" t="s">
        <v>226</v>
      </c>
      <c r="N425" s="26" t="s">
        <v>139</v>
      </c>
      <c r="O425" s="26" t="s">
        <v>26</v>
      </c>
      <c r="P425" s="26" t="s">
        <v>228</v>
      </c>
      <c r="Q425" s="26" t="s">
        <v>234</v>
      </c>
      <c r="R425" s="27">
        <v>100000</v>
      </c>
      <c r="S425" s="27" t="s">
        <v>230</v>
      </c>
      <c r="T425" s="28">
        <v>1.35</v>
      </c>
      <c r="U425" s="29">
        <f t="shared" si="7"/>
        <v>135000</v>
      </c>
      <c r="V425" s="29" t="s">
        <v>26</v>
      </c>
      <c r="W425" s="30">
        <v>280273</v>
      </c>
      <c r="X425" s="29" t="s">
        <v>235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21" customHeight="1" x14ac:dyDescent="0.3">
      <c r="A426" s="22">
        <v>422</v>
      </c>
      <c r="B426" s="23">
        <v>1</v>
      </c>
      <c r="C426" s="23" t="s">
        <v>242</v>
      </c>
      <c r="D426" s="23" t="str">
        <f>VLOOKUP(C426,'[1]1.CUADRO RESUMEN DE SITIOS '!$C$5:$L$1052,2,FALSE())</f>
        <v>VAL_02971</v>
      </c>
      <c r="E426" s="24">
        <f>VLOOKUP(C426,'[1]1.CUADRO RESUMEN DE SITIOS '!$C$5:$L$1052,3,FALSE())</f>
        <v>46014</v>
      </c>
      <c r="F426" s="23">
        <f>VLOOKUP(C426,'[1]1.CUADRO RESUMEN DE SITIOS '!$C$5:$L$1052,4,FALSE())</f>
        <v>3.8828100000000001</v>
      </c>
      <c r="G426" s="23">
        <f>VLOOKUP(C426,'[1]1.CUADRO RESUMEN DE SITIOS '!$C$5:$L$1052,5,FALSE())</f>
        <v>-77.063400000000001</v>
      </c>
      <c r="H426" s="23" t="str">
        <f>VLOOKUP(C426,'[1]1.CUADRO RESUMEN DE SITIOS '!$C$5:$L$1052,6,FALSE())</f>
        <v>Valle del Cauca</v>
      </c>
      <c r="I426" s="23" t="str">
        <f>VLOOKUP(C426,'[1]1.CUADRO RESUMEN DE SITIOS '!$C$5:$L$1052,7,FALSE())</f>
        <v>WOM-HUAWEI</v>
      </c>
      <c r="J426" s="25">
        <f>VLOOKUP(C426,'[1]1.CUADRO RESUMEN DE SITIOS '!$C$5:$L$1052,8,FALSE())</f>
        <v>0</v>
      </c>
      <c r="K426" s="23" t="str">
        <f>VLOOKUP(C426,'[1]1.CUADRO RESUMEN DE SITIOS '!$C$5:$L$1052,9,FALSE())</f>
        <v>Alejandro Sanchez</v>
      </c>
      <c r="L426" s="26" t="str">
        <f>VLOOKUP(C426,'[1]1.CUADRO RESUMEN DE SITIOS '!$C$5:$L$1052,10,FALSE())</f>
        <v>Terminado</v>
      </c>
      <c r="M426" s="26" t="s">
        <v>226</v>
      </c>
      <c r="N426" s="26" t="s">
        <v>139</v>
      </c>
      <c r="O426" s="26" t="s">
        <v>26</v>
      </c>
      <c r="P426" s="26" t="s">
        <v>228</v>
      </c>
      <c r="Q426" s="26" t="s">
        <v>234</v>
      </c>
      <c r="R426" s="27">
        <v>88400</v>
      </c>
      <c r="S426" s="27" t="s">
        <v>230</v>
      </c>
      <c r="T426" s="28">
        <v>4.59</v>
      </c>
      <c r="U426" s="29">
        <f t="shared" si="7"/>
        <v>405756</v>
      </c>
      <c r="V426" s="29" t="s">
        <v>26</v>
      </c>
      <c r="W426" s="30">
        <v>277132</v>
      </c>
      <c r="X426" s="29" t="s">
        <v>38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21" customHeight="1" x14ac:dyDescent="0.3">
      <c r="A427" s="22">
        <v>423</v>
      </c>
      <c r="B427" s="23">
        <v>1</v>
      </c>
      <c r="C427" s="23" t="s">
        <v>243</v>
      </c>
      <c r="D427" s="23" t="str">
        <f>VLOOKUP(C427,'[1]1.CUADRO RESUMEN DE SITIOS '!$C$5:$L$1052,2,FALSE())</f>
        <v>S18794</v>
      </c>
      <c r="E427" s="24">
        <f>VLOOKUP(C427,'[1]1.CUADRO RESUMEN DE SITIOS '!$C$5:$L$1052,3,FALSE())</f>
        <v>46015</v>
      </c>
      <c r="F427" s="23" t="str">
        <f>VLOOKUP(C427,'[1]1.CUADRO RESUMEN DE SITIOS '!$C$5:$L$1052,4,FALSE())</f>
        <v>N/A</v>
      </c>
      <c r="G427" s="23" t="str">
        <f>VLOOKUP(C427,'[1]1.CUADRO RESUMEN DE SITIOS '!$C$5:$L$1052,5,FALSE())</f>
        <v>N/A</v>
      </c>
      <c r="H427" s="23" t="str">
        <f>VLOOKUP(C427,'[1]1.CUADRO RESUMEN DE SITIOS '!$C$5:$L$1052,6,FALSE())</f>
        <v>Cauca</v>
      </c>
      <c r="I427" s="23" t="str">
        <f>VLOOKUP(C427,'[1]1.CUADRO RESUMEN DE SITIOS '!$C$5:$L$1052,7,FALSE())</f>
        <v>WOM-HUAWEI</v>
      </c>
      <c r="J427" s="25" t="str">
        <f>VLOOKUP(C427,'[1]1.CUADRO RESUMEN DE SITIOS '!$C$5:$L$1052,8,FALSE())</f>
        <v>NOROCCIDENTE</v>
      </c>
      <c r="K427" s="23" t="str">
        <f>VLOOKUP(C427,'[1]1.CUADRO RESUMEN DE SITIOS '!$C$5:$L$1052,9,FALSE())</f>
        <v>Cesar Osorio</v>
      </c>
      <c r="L427" s="26" t="str">
        <f>VLOOKUP(C427,'[1]1.CUADRO RESUMEN DE SITIOS '!$C$5:$L$1052,10,FALSE())</f>
        <v>Terminado</v>
      </c>
      <c r="M427" s="26" t="s">
        <v>226</v>
      </c>
      <c r="N427" s="26" t="s">
        <v>139</v>
      </c>
      <c r="O427" s="26" t="s">
        <v>26</v>
      </c>
      <c r="P427" s="26" t="s">
        <v>228</v>
      </c>
      <c r="Q427" s="26" t="s">
        <v>234</v>
      </c>
      <c r="R427" s="27">
        <v>2250000</v>
      </c>
      <c r="S427" s="27" t="s">
        <v>230</v>
      </c>
      <c r="T427" s="28">
        <v>1.33</v>
      </c>
      <c r="U427" s="29">
        <f t="shared" si="7"/>
        <v>2992500</v>
      </c>
      <c r="V427" s="29" t="s">
        <v>26</v>
      </c>
      <c r="W427" s="30"/>
      <c r="X427" s="29" t="s">
        <v>244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21" customHeight="1" x14ac:dyDescent="0.3">
      <c r="A428" s="22">
        <v>424</v>
      </c>
      <c r="B428" s="23">
        <v>1</v>
      </c>
      <c r="C428" s="23" t="s">
        <v>245</v>
      </c>
      <c r="D428" s="23" t="str">
        <f>VLOOKUP(C428,'[1]1.CUADRO RESUMEN DE SITIOS '!$C$5:$L$1052,2,FALSE())</f>
        <v>JCOR_00234</v>
      </c>
      <c r="E428" s="24">
        <f>VLOOKUP(C428,'[1]1.CUADRO RESUMEN DE SITIOS '!$C$5:$L$1052,3,FALSE())</f>
        <v>46021</v>
      </c>
      <c r="F428" s="23">
        <f>VLOOKUP(C428,'[1]1.CUADRO RESUMEN DE SITIOS '!$C$5:$L$1052,4,FALSE())</f>
        <v>8.7888889999999993</v>
      </c>
      <c r="G428" s="23">
        <f>VLOOKUP(C428,'[1]1.CUADRO RESUMEN DE SITIOS '!$C$5:$L$1052,5,FALSE())</f>
        <v>-76.132220000000004</v>
      </c>
      <c r="H428" s="23" t="str">
        <f>VLOOKUP(C428,'[1]1.CUADRO RESUMEN DE SITIOS '!$C$5:$L$1052,6,FALSE())</f>
        <v>Cordoba</v>
      </c>
      <c r="I428" s="23" t="str">
        <f>VLOOKUP(C428,'[1]1.CUADRO RESUMEN DE SITIOS '!$C$5:$L$1052,7,FALSE())</f>
        <v>WOM-HUAWEI</v>
      </c>
      <c r="J428" s="25">
        <f>VLOOKUP(C428,'[1]1.CUADRO RESUMEN DE SITIOS '!$C$5:$L$1052,8,FALSE())</f>
        <v>0</v>
      </c>
      <c r="K428" s="23" t="str">
        <f>VLOOKUP(C428,'[1]1.CUADRO RESUMEN DE SITIOS '!$C$5:$L$1052,9,FALSE())</f>
        <v>Cesar Osorio</v>
      </c>
      <c r="L428" s="26" t="str">
        <f>VLOOKUP(C428,'[1]1.CUADRO RESUMEN DE SITIOS '!$C$5:$L$1052,10,FALSE())</f>
        <v>Terminado</v>
      </c>
      <c r="M428" s="26" t="s">
        <v>226</v>
      </c>
      <c r="N428" s="26" t="s">
        <v>139</v>
      </c>
      <c r="O428" s="26" t="s">
        <v>26</v>
      </c>
      <c r="P428" s="26" t="s">
        <v>228</v>
      </c>
      <c r="Q428" s="26" t="s">
        <v>234</v>
      </c>
      <c r="R428" s="27">
        <v>550000</v>
      </c>
      <c r="S428" s="27" t="s">
        <v>230</v>
      </c>
      <c r="T428" s="28">
        <v>1.35</v>
      </c>
      <c r="U428" s="29">
        <f t="shared" si="7"/>
        <v>742500</v>
      </c>
      <c r="V428" s="29" t="s">
        <v>26</v>
      </c>
      <c r="W428" s="30">
        <v>268902</v>
      </c>
      <c r="X428" s="29" t="s">
        <v>235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21" customHeight="1" x14ac:dyDescent="0.3">
      <c r="A429" s="22">
        <v>425</v>
      </c>
      <c r="B429" s="23">
        <v>1</v>
      </c>
      <c r="C429" s="23" t="s">
        <v>128</v>
      </c>
      <c r="D429" s="23" t="str">
        <f>VLOOKUP(C429,'[1]1.CUADRO RESUMEN DE SITIOS '!$C$5:$L$1052,2,FALSE())</f>
        <v>JCOR_00145</v>
      </c>
      <c r="E429" s="24">
        <f>VLOOKUP(C429,'[1]1.CUADRO RESUMEN DE SITIOS '!$C$5:$L$1052,3,FALSE())</f>
        <v>45928</v>
      </c>
      <c r="F429" s="23">
        <f>VLOOKUP(C429,'[1]1.CUADRO RESUMEN DE SITIOS '!$C$5:$L$1052,4,FALSE())</f>
        <v>7.7544665000000004</v>
      </c>
      <c r="G429" s="23">
        <f>VLOOKUP(C429,'[1]1.CUADRO RESUMEN DE SITIOS '!$C$5:$L$1052,5,FALSE())</f>
        <v>-75.839269999999999</v>
      </c>
      <c r="H429" s="23" t="str">
        <f>VLOOKUP(C429,'[1]1.CUADRO RESUMEN DE SITIOS '!$C$5:$L$1052,6,FALSE())</f>
        <v>Sucre</v>
      </c>
      <c r="I429" s="23" t="str">
        <f>VLOOKUP(C429,'[1]1.CUADRO RESUMEN DE SITIOS '!$C$5:$L$1052,7,FALSE())</f>
        <v>WOM</v>
      </c>
      <c r="J429" s="25" t="str">
        <f>VLOOKUP(C429,'[1]1.CUADRO RESUMEN DE SITIOS '!$C$5:$L$1052,8,FALSE())</f>
        <v>COSTA</v>
      </c>
      <c r="K429" s="23" t="str">
        <f>VLOOKUP(C429,'[1]1.CUADRO RESUMEN DE SITIOS '!$C$5:$L$1052,9,FALSE())</f>
        <v>Alfredo de la Cruz</v>
      </c>
      <c r="L429" s="26" t="str">
        <f>VLOOKUP(C429,'[1]1.CUADRO RESUMEN DE SITIOS '!$C$5:$L$1052,10,FALSE())</f>
        <v>Terminado</v>
      </c>
      <c r="M429" s="26" t="s">
        <v>226</v>
      </c>
      <c r="N429" s="26" t="s">
        <v>139</v>
      </c>
      <c r="O429" s="26" t="s">
        <v>26</v>
      </c>
      <c r="P429" s="26" t="s">
        <v>228</v>
      </c>
      <c r="Q429" s="26" t="s">
        <v>234</v>
      </c>
      <c r="R429" s="27">
        <v>300000</v>
      </c>
      <c r="S429" s="27" t="s">
        <v>230</v>
      </c>
      <c r="T429" s="28">
        <v>1.35</v>
      </c>
      <c r="U429" s="29">
        <f t="shared" si="7"/>
        <v>405000</v>
      </c>
      <c r="V429" s="29" t="s">
        <v>26</v>
      </c>
      <c r="W429" s="30">
        <v>267252</v>
      </c>
      <c r="X429" s="29" t="s">
        <v>235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21" customHeight="1" x14ac:dyDescent="0.3">
      <c r="A430" s="22">
        <v>426</v>
      </c>
      <c r="B430" s="23">
        <v>1</v>
      </c>
      <c r="C430" s="23" t="s">
        <v>246</v>
      </c>
      <c r="D430" s="23" t="str">
        <f>VLOOKUP(C430,'[1]1.CUADRO RESUMEN DE SITIOS '!$C$5:$L$1052,2,FALSE())</f>
        <v>PCA_02381</v>
      </c>
      <c r="E430" s="24">
        <f>VLOOKUP(C430,'[1]1.CUADRO RESUMEN DE SITIOS '!$C$5:$L$1052,3,FALSE())</f>
        <v>46022</v>
      </c>
      <c r="F430" s="23">
        <f>VLOOKUP(C430,'[1]1.CUADRO RESUMEN DE SITIOS '!$C$5:$L$1052,4,FALSE())</f>
        <v>6.1844400000000004</v>
      </c>
      <c r="G430" s="23">
        <f>VLOOKUP(C430,'[1]1.CUADRO RESUMEN DE SITIOS '!$C$5:$L$1052,5,FALSE())</f>
        <v>-67.482929999999996</v>
      </c>
      <c r="H430" s="23" t="str">
        <f>VLOOKUP(C430,'[1]1.CUADRO RESUMEN DE SITIOS '!$C$5:$L$1052,6,FALSE())</f>
        <v>Vichada</v>
      </c>
      <c r="I430" s="23" t="str">
        <f>VLOOKUP(C430,'[1]1.CUADRO RESUMEN DE SITIOS '!$C$5:$L$1052,7,FALSE())</f>
        <v>WOM-HUAWEI</v>
      </c>
      <c r="J430" s="25">
        <f>VLOOKUP(C430,'[1]1.CUADRO RESUMEN DE SITIOS '!$C$5:$L$1052,8,FALSE())</f>
        <v>0</v>
      </c>
      <c r="K430" s="23" t="str">
        <f>VLOOKUP(C430,'[1]1.CUADRO RESUMEN DE SITIOS '!$C$5:$L$1052,9,FALSE())</f>
        <v>Maria Camila Torres</v>
      </c>
      <c r="L430" s="26" t="str">
        <f>VLOOKUP(C430,'[1]1.CUADRO RESUMEN DE SITIOS '!$C$5:$L$1052,10,FALSE())</f>
        <v>Terminado</v>
      </c>
      <c r="M430" s="26" t="s">
        <v>226</v>
      </c>
      <c r="N430" s="26" t="s">
        <v>139</v>
      </c>
      <c r="O430" s="26" t="s">
        <v>26</v>
      </c>
      <c r="P430" s="26" t="s">
        <v>228</v>
      </c>
      <c r="Q430" s="26" t="s">
        <v>234</v>
      </c>
      <c r="R430" s="27">
        <v>200000</v>
      </c>
      <c r="S430" s="27" t="s">
        <v>230</v>
      </c>
      <c r="T430" s="28">
        <v>1.35</v>
      </c>
      <c r="U430" s="29">
        <f t="shared" si="7"/>
        <v>270000</v>
      </c>
      <c r="V430" s="29" t="s">
        <v>26</v>
      </c>
      <c r="W430" s="30">
        <v>281513</v>
      </c>
      <c r="X430" s="29" t="s">
        <v>27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21" customHeight="1" x14ac:dyDescent="0.3">
      <c r="A431" s="22">
        <v>427</v>
      </c>
      <c r="B431" s="23">
        <v>1</v>
      </c>
      <c r="C431" s="23" t="s">
        <v>247</v>
      </c>
      <c r="D431" s="23" t="str">
        <f>VLOOKUP(C431,'[1]1.CUADRO RESUMEN DE SITIOS '!$C$5:$L$1052,2,FALSE())</f>
        <v>VDP_03356</v>
      </c>
      <c r="E431" s="24">
        <f>VLOOKUP(C431,'[1]1.CUADRO RESUMEN DE SITIOS '!$C$5:$L$1052,3,FALSE())</f>
        <v>46024</v>
      </c>
      <c r="F431" s="23">
        <f>VLOOKUP(C431,'[1]1.CUADRO RESUMEN DE SITIOS '!$C$5:$L$1052,4,FALSE())</f>
        <v>10.4788</v>
      </c>
      <c r="G431" s="23">
        <f>VLOOKUP(C431,'[1]1.CUADRO RESUMEN DE SITIOS '!$C$5:$L$1052,5,FALSE())</f>
        <v>-73.243099999999998</v>
      </c>
      <c r="H431" s="23" t="str">
        <f>VLOOKUP(C431,'[1]1.CUADRO RESUMEN DE SITIOS '!$C$5:$L$1052,6,FALSE())</f>
        <v>Cesar</v>
      </c>
      <c r="I431" s="23" t="str">
        <f>VLOOKUP(C431,'[1]1.CUADRO RESUMEN DE SITIOS '!$C$5:$L$1052,7,FALSE())</f>
        <v>WOM-HUAWEI</v>
      </c>
      <c r="J431" s="25">
        <f>VLOOKUP(C431,'[1]1.CUADRO RESUMEN DE SITIOS '!$C$5:$L$1052,8,FALSE())</f>
        <v>0</v>
      </c>
      <c r="K431" s="23" t="str">
        <f>VLOOKUP(C431,'[1]1.CUADRO RESUMEN DE SITIOS '!$C$5:$L$1052,9,FALSE())</f>
        <v>Cesar Osorio</v>
      </c>
      <c r="L431" s="26" t="str">
        <f>VLOOKUP(C431,'[1]1.CUADRO RESUMEN DE SITIOS '!$C$5:$L$1052,10,FALSE())</f>
        <v>Terminado</v>
      </c>
      <c r="M431" s="26" t="s">
        <v>226</v>
      </c>
      <c r="N431" s="26" t="s">
        <v>139</v>
      </c>
      <c r="O431" s="26" t="s">
        <v>26</v>
      </c>
      <c r="P431" s="26" t="s">
        <v>228</v>
      </c>
      <c r="Q431" s="26" t="s">
        <v>234</v>
      </c>
      <c r="R431" s="27">
        <v>104000</v>
      </c>
      <c r="S431" s="27" t="s">
        <v>230</v>
      </c>
      <c r="T431" s="28">
        <v>1.35</v>
      </c>
      <c r="U431" s="29">
        <f t="shared" si="7"/>
        <v>140400</v>
      </c>
      <c r="V431" s="29" t="s">
        <v>26</v>
      </c>
      <c r="W431" s="30">
        <v>281664</v>
      </c>
      <c r="X431" s="29" t="s">
        <v>235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21" customHeight="1" x14ac:dyDescent="0.3">
      <c r="A432" s="22">
        <v>428</v>
      </c>
      <c r="B432" s="23">
        <v>1</v>
      </c>
      <c r="C432" s="23" t="s">
        <v>124</v>
      </c>
      <c r="D432" s="23" t="str">
        <f>VLOOKUP(C432,'[1]1.CUADRO RESUMEN DE SITIOS '!$C$5:$L$1052,2,FALSE())</f>
        <v>JCOR_00252</v>
      </c>
      <c r="E432" s="24">
        <f>VLOOKUP(C432,'[1]1.CUADRO RESUMEN DE SITIOS '!$C$5:$L$1052,3,FALSE())</f>
        <v>46004</v>
      </c>
      <c r="F432" s="23">
        <f>VLOOKUP(C432,'[1]1.CUADRO RESUMEN DE SITIOS '!$C$5:$L$1052,4,FALSE())</f>
        <v>9.0390300000000003</v>
      </c>
      <c r="G432" s="23">
        <f>VLOOKUP(C432,'[1]1.CUADRO RESUMEN DE SITIOS '!$C$5:$L$1052,5,FALSE())</f>
        <v>-75.366119999999995</v>
      </c>
      <c r="H432" s="23" t="str">
        <f>VLOOKUP(C432,'[1]1.CUADRO RESUMEN DE SITIOS '!$C$5:$L$1052,6,FALSE())</f>
        <v>Córdoba</v>
      </c>
      <c r="I432" s="23" t="str">
        <f>VLOOKUP(C432,'[1]1.CUADRO RESUMEN DE SITIOS '!$C$5:$L$1052,7,FALSE())</f>
        <v>WOM-HUAWEI</v>
      </c>
      <c r="J432" s="25" t="str">
        <f>VLOOKUP(C432,'[1]1.CUADRO RESUMEN DE SITIOS '!$C$5:$L$1052,8,FALSE())</f>
        <v>COSTA</v>
      </c>
      <c r="K432" s="23" t="str">
        <f>VLOOKUP(C432,'[1]1.CUADRO RESUMEN DE SITIOS '!$C$5:$L$1052,9,FALSE())</f>
        <v>Cesar Osorio</v>
      </c>
      <c r="L432" s="26" t="str">
        <f>VLOOKUP(C432,'[1]1.CUADRO RESUMEN DE SITIOS '!$C$5:$L$1052,10,FALSE())</f>
        <v>Terminado</v>
      </c>
      <c r="M432" s="26" t="s">
        <v>226</v>
      </c>
      <c r="N432" s="26" t="s">
        <v>139</v>
      </c>
      <c r="O432" s="26" t="s">
        <v>26</v>
      </c>
      <c r="P432" s="26" t="s">
        <v>228</v>
      </c>
      <c r="Q432" s="26" t="s">
        <v>234</v>
      </c>
      <c r="R432" s="27">
        <v>300000</v>
      </c>
      <c r="S432" s="27" t="s">
        <v>230</v>
      </c>
      <c r="T432" s="28">
        <v>1.35</v>
      </c>
      <c r="U432" s="29">
        <f t="shared" si="7"/>
        <v>405000</v>
      </c>
      <c r="V432" s="29" t="s">
        <v>26</v>
      </c>
      <c r="W432" s="30"/>
      <c r="X432" s="29" t="s">
        <v>235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21" customHeight="1" x14ac:dyDescent="0.3">
      <c r="A433" s="22">
        <v>429</v>
      </c>
      <c r="B433" s="23">
        <v>1</v>
      </c>
      <c r="C433" s="23" t="s">
        <v>248</v>
      </c>
      <c r="D433" s="23" t="str">
        <f>VLOOKUP(C433,'[1]1.CUADRO RESUMEN DE SITIOS '!$C$5:$L$1052,2,FALSE())</f>
        <v>JCAQ_00151</v>
      </c>
      <c r="E433" s="24">
        <f>VLOOKUP(C433,'[1]1.CUADRO RESUMEN DE SITIOS '!$C$5:$L$1052,3,FALSE())</f>
        <v>46028</v>
      </c>
      <c r="F433" s="23">
        <f>VLOOKUP(C433,'[1]1.CUADRO RESUMEN DE SITIOS '!$C$5:$L$1052,4,FALSE())</f>
        <v>1.315388</v>
      </c>
      <c r="G433" s="23">
        <f>VLOOKUP(C433,'[1]1.CUADRO RESUMEN DE SITIOS '!$C$5:$L$1052,5,FALSE())</f>
        <v>-74.925633000000005</v>
      </c>
      <c r="H433" s="23" t="str">
        <f>VLOOKUP(C433,'[1]1.CUADRO RESUMEN DE SITIOS '!$C$5:$L$1052,6,FALSE())</f>
        <v>Caqueta</v>
      </c>
      <c r="I433" s="23" t="str">
        <f>VLOOKUP(C433,'[1]1.CUADRO RESUMEN DE SITIOS '!$C$5:$L$1052,7,FALSE())</f>
        <v>WOM-HUAWEI</v>
      </c>
      <c r="J433" s="25" t="str">
        <f>VLOOKUP(C433,'[1]1.CUADRO RESUMEN DE SITIOS '!$C$5:$L$1052,8,FALSE())</f>
        <v>SUROCCIDENTE</v>
      </c>
      <c r="K433" s="23" t="str">
        <f>VLOOKUP(C433,'[1]1.CUADRO RESUMEN DE SITIOS '!$C$5:$L$1052,9,FALSE())</f>
        <v>Maria Camila Torres</v>
      </c>
      <c r="L433" s="26" t="str">
        <f>VLOOKUP(C433,'[1]1.CUADRO RESUMEN DE SITIOS '!$C$5:$L$1052,10,FALSE())</f>
        <v>Terminado</v>
      </c>
      <c r="M433" s="26" t="s">
        <v>226</v>
      </c>
      <c r="N433" s="26" t="s">
        <v>139</v>
      </c>
      <c r="O433" s="26" t="s">
        <v>26</v>
      </c>
      <c r="P433" s="26" t="s">
        <v>228</v>
      </c>
      <c r="Q433" s="26" t="s">
        <v>234</v>
      </c>
      <c r="R433" s="27">
        <v>240000</v>
      </c>
      <c r="S433" s="27" t="s">
        <v>230</v>
      </c>
      <c r="T433" s="28">
        <v>1.35</v>
      </c>
      <c r="U433" s="29">
        <f t="shared" si="7"/>
        <v>324000</v>
      </c>
      <c r="V433" s="29" t="s">
        <v>26</v>
      </c>
      <c r="W433" s="30"/>
      <c r="X433" s="29" t="s">
        <v>136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21" customHeight="1" x14ac:dyDescent="0.3">
      <c r="A434" s="22">
        <v>430</v>
      </c>
      <c r="B434" s="23">
        <v>1</v>
      </c>
      <c r="C434" s="23" t="s">
        <v>249</v>
      </c>
      <c r="D434" s="23" t="str">
        <f>VLOOKUP(C434,'[1]1.CUADRO RESUMEN DE SITIOS '!$C$5:$L$1052,2,FALSE())</f>
        <v>JSUC_00035</v>
      </c>
      <c r="E434" s="24">
        <f>VLOOKUP(C434,'[1]1.CUADRO RESUMEN DE SITIOS '!$C$5:$L$1052,3,FALSE())</f>
        <v>46028</v>
      </c>
      <c r="F434" s="23">
        <f>VLOOKUP(C434,'[1]1.CUADRO RESUMEN DE SITIOS '!$C$5:$L$1052,4,FALSE())</f>
        <v>8.3064699999999991</v>
      </c>
      <c r="G434" s="23">
        <f>VLOOKUP(C434,'[1]1.CUADRO RESUMEN DE SITIOS '!$C$5:$L$1052,5,FALSE())</f>
        <v>-74.704239999999999</v>
      </c>
      <c r="H434" s="23" t="str">
        <f>VLOOKUP(C434,'[1]1.CUADRO RESUMEN DE SITIOS '!$C$5:$L$1052,6,FALSE())</f>
        <v>Sucre</v>
      </c>
      <c r="I434" s="23" t="str">
        <f>VLOOKUP(C434,'[1]1.CUADRO RESUMEN DE SITIOS '!$C$5:$L$1052,7,FALSE())</f>
        <v>WOM-HUAWEI</v>
      </c>
      <c r="J434" s="25">
        <f>VLOOKUP(C434,'[1]1.CUADRO RESUMEN DE SITIOS '!$C$5:$L$1052,8,FALSE())</f>
        <v>0</v>
      </c>
      <c r="K434" s="23" t="str">
        <f>VLOOKUP(C434,'[1]1.CUADRO RESUMEN DE SITIOS '!$C$5:$L$1052,9,FALSE())</f>
        <v>Maria Camila Torres</v>
      </c>
      <c r="L434" s="26" t="str">
        <f>VLOOKUP(C434,'[1]1.CUADRO RESUMEN DE SITIOS '!$C$5:$L$1052,10,FALSE())</f>
        <v>Terminado</v>
      </c>
      <c r="M434" s="26" t="s">
        <v>226</v>
      </c>
      <c r="N434" s="26" t="s">
        <v>139</v>
      </c>
      <c r="O434" s="26" t="s">
        <v>26</v>
      </c>
      <c r="P434" s="26" t="s">
        <v>228</v>
      </c>
      <c r="Q434" s="26" t="s">
        <v>234</v>
      </c>
      <c r="R434" s="27">
        <v>100000</v>
      </c>
      <c r="S434" s="27" t="s">
        <v>230</v>
      </c>
      <c r="T434" s="28">
        <v>1.35</v>
      </c>
      <c r="U434" s="29">
        <f t="shared" si="7"/>
        <v>135000</v>
      </c>
      <c r="V434" s="29" t="s">
        <v>26</v>
      </c>
      <c r="W434" s="30">
        <v>281451</v>
      </c>
      <c r="X434" s="29" t="s">
        <v>27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21" customHeight="1" x14ac:dyDescent="0.3">
      <c r="A435" s="22">
        <v>431</v>
      </c>
      <c r="B435" s="23">
        <v>1</v>
      </c>
      <c r="C435" s="23" t="s">
        <v>250</v>
      </c>
      <c r="D435" s="23" t="str">
        <f>VLOOKUP(C435,'[1]1.CUADRO RESUMEN DE SITIOS '!$C$5:$L$1052,2,FALSE())</f>
        <v>suc_06170</v>
      </c>
      <c r="E435" s="24">
        <f>VLOOKUP(C435,'[1]1.CUADRO RESUMEN DE SITIOS '!$C$5:$L$1052,3,FALSE())</f>
        <v>46028</v>
      </c>
      <c r="F435" s="23">
        <f>VLOOKUP(C435,'[1]1.CUADRO RESUMEN DE SITIOS '!$C$5:$L$1052,4,FALSE())</f>
        <v>9.7373399999999997</v>
      </c>
      <c r="G435" s="23">
        <f>VLOOKUP(C435,'[1]1.CUADRO RESUMEN DE SITIOS '!$C$5:$L$1052,5,FALSE())</f>
        <v>-75.524299999999997</v>
      </c>
      <c r="H435" s="23" t="str">
        <f>VLOOKUP(C435,'[1]1.CUADRO RESUMEN DE SITIOS '!$C$5:$L$1052,6,FALSE())</f>
        <v>Sucre</v>
      </c>
      <c r="I435" s="23" t="str">
        <f>VLOOKUP(C435,'[1]1.CUADRO RESUMEN DE SITIOS '!$C$5:$L$1052,7,FALSE())</f>
        <v>WOM-HUAWEI</v>
      </c>
      <c r="J435" s="25">
        <f>VLOOKUP(C435,'[1]1.CUADRO RESUMEN DE SITIOS '!$C$5:$L$1052,8,FALSE())</f>
        <v>0</v>
      </c>
      <c r="K435" s="23" t="str">
        <f>VLOOKUP(C435,'[1]1.CUADRO RESUMEN DE SITIOS '!$C$5:$L$1052,9,FALSE())</f>
        <v>Cesar Osorio</v>
      </c>
      <c r="L435" s="26" t="str">
        <f>VLOOKUP(C435,'[1]1.CUADRO RESUMEN DE SITIOS '!$C$5:$L$1052,10,FALSE())</f>
        <v>Terminado</v>
      </c>
      <c r="M435" s="26" t="s">
        <v>226</v>
      </c>
      <c r="N435" s="26" t="s">
        <v>139</v>
      </c>
      <c r="O435" s="26" t="s">
        <v>26</v>
      </c>
      <c r="P435" s="26" t="s">
        <v>228</v>
      </c>
      <c r="Q435" s="26" t="s">
        <v>234</v>
      </c>
      <c r="R435" s="27">
        <v>80000</v>
      </c>
      <c r="S435" s="27" t="s">
        <v>230</v>
      </c>
      <c r="T435" s="28">
        <v>1.35</v>
      </c>
      <c r="U435" s="29">
        <f t="shared" si="7"/>
        <v>108000</v>
      </c>
      <c r="V435" s="29" t="s">
        <v>26</v>
      </c>
      <c r="W435" s="30">
        <v>283017</v>
      </c>
      <c r="X435" s="29" t="s">
        <v>235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21" customHeight="1" x14ac:dyDescent="0.3">
      <c r="A436" s="22">
        <v>432</v>
      </c>
      <c r="B436" s="23">
        <v>1</v>
      </c>
      <c r="C436" s="23" t="s">
        <v>251</v>
      </c>
      <c r="D436" s="23" t="str">
        <f>VLOOKUP(C436,'[1]1.CUADRO RESUMEN DE SITIOS '!$C$5:$L$1052,2,FALSE())</f>
        <v>JPUT_00063</v>
      </c>
      <c r="E436" s="24">
        <f>VLOOKUP(C436,'[1]1.CUADRO RESUMEN DE SITIOS '!$C$5:$L$1052,3,FALSE())</f>
        <v>46029</v>
      </c>
      <c r="F436" s="23">
        <f>VLOOKUP(C436,'[1]1.CUADRO RESUMEN DE SITIOS '!$C$5:$L$1052,4,FALSE())</f>
        <v>0.35470299999999999</v>
      </c>
      <c r="G436" s="23">
        <f>VLOOKUP(C436,'[1]1.CUADRO RESUMEN DE SITIOS '!$C$5:$L$1052,5,FALSE())</f>
        <v>-77.058406000000005</v>
      </c>
      <c r="H436" s="23" t="str">
        <f>VLOOKUP(C436,'[1]1.CUADRO RESUMEN DE SITIOS '!$C$5:$L$1052,6,FALSE())</f>
        <v>Putumayo</v>
      </c>
      <c r="I436" s="23" t="str">
        <f>VLOOKUP(C436,'[1]1.CUADRO RESUMEN DE SITIOS '!$C$5:$L$1052,7,FALSE())</f>
        <v>WOM-HUAWEI</v>
      </c>
      <c r="J436" s="25">
        <f>VLOOKUP(C436,'[1]1.CUADRO RESUMEN DE SITIOS '!$C$5:$L$1052,8,FALSE())</f>
        <v>0</v>
      </c>
      <c r="K436" s="23" t="str">
        <f>VLOOKUP(C436,'[1]1.CUADRO RESUMEN DE SITIOS '!$C$5:$L$1052,9,FALSE())</f>
        <v>Maria Camila Torres</v>
      </c>
      <c r="L436" s="26" t="str">
        <f>VLOOKUP(C436,'[1]1.CUADRO RESUMEN DE SITIOS '!$C$5:$L$1052,10,FALSE())</f>
        <v>Terminado</v>
      </c>
      <c r="M436" s="26" t="s">
        <v>226</v>
      </c>
      <c r="N436" s="26" t="s">
        <v>139</v>
      </c>
      <c r="O436" s="26" t="s">
        <v>26</v>
      </c>
      <c r="P436" s="26" t="s">
        <v>228</v>
      </c>
      <c r="Q436" s="26" t="s">
        <v>234</v>
      </c>
      <c r="R436" s="27">
        <v>80000</v>
      </c>
      <c r="S436" s="27" t="s">
        <v>230</v>
      </c>
      <c r="T436" s="28">
        <v>1.35</v>
      </c>
      <c r="U436" s="29">
        <f t="shared" si="7"/>
        <v>108000</v>
      </c>
      <c r="V436" s="29" t="s">
        <v>26</v>
      </c>
      <c r="W436" s="30"/>
      <c r="X436" s="29" t="s">
        <v>136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21" customHeight="1" x14ac:dyDescent="0.3">
      <c r="A437" s="22">
        <v>433</v>
      </c>
      <c r="B437" s="23">
        <v>1</v>
      </c>
      <c r="C437" s="23" t="s">
        <v>252</v>
      </c>
      <c r="D437" s="23" t="str">
        <f>VLOOKUP(C437,'[1]1.CUADRO RESUMEN DE SITIOS '!$C$5:$L$1052,2,FALSE())</f>
        <v>VIC_04632</v>
      </c>
      <c r="E437" s="24">
        <f>VLOOKUP(C437,'[1]1.CUADRO RESUMEN DE SITIOS '!$C$5:$L$1052,3,FALSE())</f>
        <v>46029</v>
      </c>
      <c r="F437" s="23">
        <f>VLOOKUP(C437,'[1]1.CUADRO RESUMEN DE SITIOS '!$C$5:$L$1052,4,FALSE())</f>
        <v>4.44435</v>
      </c>
      <c r="G437" s="23">
        <f>VLOOKUP(C437,'[1]1.CUADRO RESUMEN DE SITIOS '!$C$5:$L$1052,5,FALSE())</f>
        <v>-69.795100000000005</v>
      </c>
      <c r="H437" s="23" t="str">
        <f>VLOOKUP(C437,'[1]1.CUADRO RESUMEN DE SITIOS '!$C$5:$L$1052,6,FALSE())</f>
        <v>Vichada</v>
      </c>
      <c r="I437" s="23" t="str">
        <f>VLOOKUP(C437,'[1]1.CUADRO RESUMEN DE SITIOS '!$C$5:$L$1052,7,FALSE())</f>
        <v>WOM-HUAWEI</v>
      </c>
      <c r="J437" s="25">
        <f>VLOOKUP(C437,'[1]1.CUADRO RESUMEN DE SITIOS '!$C$5:$L$1052,8,FALSE())</f>
        <v>0</v>
      </c>
      <c r="K437" s="23" t="str">
        <f>VLOOKUP(C437,'[1]1.CUADRO RESUMEN DE SITIOS '!$C$5:$L$1052,9,FALSE())</f>
        <v>Maria Camila Torres</v>
      </c>
      <c r="L437" s="26" t="str">
        <f>VLOOKUP(C437,'[1]1.CUADRO RESUMEN DE SITIOS '!$C$5:$L$1052,10,FALSE())</f>
        <v>Terminado</v>
      </c>
      <c r="M437" s="26" t="s">
        <v>226</v>
      </c>
      <c r="N437" s="26" t="s">
        <v>139</v>
      </c>
      <c r="O437" s="26" t="s">
        <v>26</v>
      </c>
      <c r="P437" s="26" t="s">
        <v>228</v>
      </c>
      <c r="Q437" s="26" t="s">
        <v>234</v>
      </c>
      <c r="R437" s="27">
        <v>150000</v>
      </c>
      <c r="S437" s="27" t="s">
        <v>230</v>
      </c>
      <c r="T437" s="28">
        <v>1.35</v>
      </c>
      <c r="U437" s="29">
        <f t="shared" si="7"/>
        <v>202500</v>
      </c>
      <c r="V437" s="29" t="s">
        <v>26</v>
      </c>
      <c r="W437" s="30">
        <v>282414</v>
      </c>
      <c r="X437" s="29" t="s">
        <v>136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21" customHeight="1" x14ac:dyDescent="0.3">
      <c r="A438" s="22">
        <v>434</v>
      </c>
      <c r="B438" s="23">
        <v>1</v>
      </c>
      <c r="C438" s="23" t="s">
        <v>253</v>
      </c>
      <c r="D438" s="23" t="str">
        <f>VLOOKUP(C438,'[1]1.CUADRO RESUMEN DE SITIOS '!$C$5:$L$1052,2,FALSE())</f>
        <v>BTA_01198</v>
      </c>
      <c r="E438" s="24">
        <f>VLOOKUP(C438,'[1]1.CUADRO RESUMEN DE SITIOS '!$C$5:$L$1052,3,FALSE())</f>
        <v>45927</v>
      </c>
      <c r="F438" s="23">
        <f>VLOOKUP(C438,'[1]1.CUADRO RESUMEN DE SITIOS '!$C$5:$L$1052,4,FALSE())</f>
        <v>4.7631699999999997</v>
      </c>
      <c r="G438" s="23">
        <f>VLOOKUP(C438,'[1]1.CUADRO RESUMEN DE SITIOS '!$C$5:$L$1052,5,FALSE())</f>
        <v>-74.029889999999995</v>
      </c>
      <c r="H438" s="23" t="str">
        <f>VLOOKUP(C438,'[1]1.CUADRO RESUMEN DE SITIOS '!$C$5:$L$1052,6,FALSE())</f>
        <v>Cundinamarca</v>
      </c>
      <c r="I438" s="23" t="str">
        <f>VLOOKUP(C438,'[1]1.CUADRO RESUMEN DE SITIOS '!$C$5:$L$1052,7,FALSE())</f>
        <v>WOM</v>
      </c>
      <c r="J438" s="25" t="str">
        <f>VLOOKUP(C438,'[1]1.CUADRO RESUMEN DE SITIOS '!$C$5:$L$1052,8,FALSE())</f>
        <v>CENTRO SUR/ NORTE</v>
      </c>
      <c r="K438" s="23" t="str">
        <f>VLOOKUP(C438,'[1]1.CUADRO RESUMEN DE SITIOS '!$C$5:$L$1052,9,FALSE())</f>
        <v>Jason Julian Melo</v>
      </c>
      <c r="L438" s="26" t="str">
        <f>VLOOKUP(C438,'[1]1.CUADRO RESUMEN DE SITIOS '!$C$5:$L$1052,10,FALSE())</f>
        <v>Terminado</v>
      </c>
      <c r="M438" s="26">
        <v>8828119492</v>
      </c>
      <c r="N438" s="26">
        <f>VLOOKUP(M438,[1]LPU!$A$2:$G$1512,2,FALSE())</f>
        <v>53</v>
      </c>
      <c r="O438" s="26" t="str">
        <f>VLOOKUP(M438,[1]LPU!$A$2:$G$1512,3,FALSE)</f>
        <v>Instalación Banco de Baterias para Rectificadores - Aplica para ampliaciones.</v>
      </c>
      <c r="P438" s="26" t="str">
        <f>VLOOKUP(M438,[1]LPU!$A$2:$G$1512,4,FALSE())</f>
        <v>ENERGÍA</v>
      </c>
      <c r="Q438" s="26" t="str">
        <f>VLOOKUP(M438,[1]LPU!$A$2:$G$1512,5,FALSE())</f>
        <v>U</v>
      </c>
      <c r="R438" s="27">
        <f>VLOOKUP(M438,[1]LPU!$A$2:$G$1512,6,FALSE())</f>
        <v>102340</v>
      </c>
      <c r="S438" s="27" t="str">
        <f>VLOOKUP(M438,[1]LPU!$A$2:$G$1512,7,FALSE())</f>
        <v>LPU FLM</v>
      </c>
      <c r="T438" s="28">
        <v>1</v>
      </c>
      <c r="U438" s="29">
        <f t="shared" si="7"/>
        <v>102340</v>
      </c>
      <c r="V438" s="29" t="s">
        <v>77</v>
      </c>
      <c r="W438" s="30"/>
      <c r="X438" s="29" t="s">
        <v>254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21" customHeight="1" x14ac:dyDescent="0.3">
      <c r="A439" s="22">
        <v>435</v>
      </c>
      <c r="B439" s="23">
        <v>1</v>
      </c>
      <c r="C439" s="23" t="s">
        <v>253</v>
      </c>
      <c r="D439" s="23" t="str">
        <f>VLOOKUP(C439,'[1]1.CUADRO RESUMEN DE SITIOS '!$C$5:$L$1052,2,FALSE())</f>
        <v>BTA_01198</v>
      </c>
      <c r="E439" s="24">
        <f>VLOOKUP(C439,'[1]1.CUADRO RESUMEN DE SITIOS '!$C$5:$L$1052,3,FALSE())</f>
        <v>45927</v>
      </c>
      <c r="F439" s="23">
        <f>VLOOKUP(C439,'[1]1.CUADRO RESUMEN DE SITIOS '!$C$5:$L$1052,4,FALSE())</f>
        <v>4.7631699999999997</v>
      </c>
      <c r="G439" s="23">
        <f>VLOOKUP(C439,'[1]1.CUADRO RESUMEN DE SITIOS '!$C$5:$L$1052,5,FALSE())</f>
        <v>-74.029889999999995</v>
      </c>
      <c r="H439" s="23" t="str">
        <f>VLOOKUP(C439,'[1]1.CUADRO RESUMEN DE SITIOS '!$C$5:$L$1052,6,FALSE())</f>
        <v>Cundinamarca</v>
      </c>
      <c r="I439" s="23" t="str">
        <f>VLOOKUP(C439,'[1]1.CUADRO RESUMEN DE SITIOS '!$C$5:$L$1052,7,FALSE())</f>
        <v>WOM</v>
      </c>
      <c r="J439" s="25" t="str">
        <f>VLOOKUP(C439,'[1]1.CUADRO RESUMEN DE SITIOS '!$C$5:$L$1052,8,FALSE())</f>
        <v>CENTRO SUR/ NORTE</v>
      </c>
      <c r="K439" s="23" t="str">
        <f>VLOOKUP(C439,'[1]1.CUADRO RESUMEN DE SITIOS '!$C$5:$L$1052,9,FALSE())</f>
        <v>Jason Julian Melo</v>
      </c>
      <c r="L439" s="26" t="str">
        <f>VLOOKUP(C439,'[1]1.CUADRO RESUMEN DE SITIOS '!$C$5:$L$1052,10,FALSE())</f>
        <v>Terminado</v>
      </c>
      <c r="M439" s="26">
        <v>8828119512</v>
      </c>
      <c r="N439" s="26">
        <f>VLOOKUP(M439,[1]LPU!$A$2:$G$1512,2,FALSE())</f>
        <v>55</v>
      </c>
      <c r="O439" s="26" t="str">
        <f>VLOOKUP(M439,[1]LPU!$A$2:$G$1512,3,FALSE)</f>
        <v>Transporte Banco de Baterias</v>
      </c>
      <c r="P439" s="26" t="str">
        <f>VLOOKUP(M439,[1]LPU!$A$2:$G$1512,4,FALSE())</f>
        <v>ENERGÍA</v>
      </c>
      <c r="Q439" s="26" t="str">
        <f>VLOOKUP(M439,[1]LPU!$A$2:$G$1512,5,FALSE())</f>
        <v>U</v>
      </c>
      <c r="R439" s="27">
        <f>VLOOKUP(M439,[1]LPU!$A$2:$G$1512,6,FALSE())</f>
        <v>82212</v>
      </c>
      <c r="S439" s="27" t="str">
        <f>VLOOKUP(M439,[1]LPU!$A$2:$G$1512,7,FALSE())</f>
        <v>LPU FLM</v>
      </c>
      <c r="T439" s="28">
        <v>1</v>
      </c>
      <c r="U439" s="29">
        <f t="shared" si="7"/>
        <v>82212</v>
      </c>
      <c r="V439" s="29" t="s">
        <v>77</v>
      </c>
      <c r="W439" s="30"/>
      <c r="X439" s="29" t="s">
        <v>254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21" customHeight="1" x14ac:dyDescent="0.3">
      <c r="A440" s="22">
        <v>436</v>
      </c>
      <c r="B440" s="23">
        <v>1</v>
      </c>
      <c r="C440" s="23" t="s">
        <v>253</v>
      </c>
      <c r="D440" s="23" t="str">
        <f>VLOOKUP(C440,'[1]1.CUADRO RESUMEN DE SITIOS '!$C$5:$L$1052,2,FALSE())</f>
        <v>BTA_01198</v>
      </c>
      <c r="E440" s="24">
        <f>VLOOKUP(C440,'[1]1.CUADRO RESUMEN DE SITIOS '!$C$5:$L$1052,3,FALSE())</f>
        <v>45927</v>
      </c>
      <c r="F440" s="23">
        <f>VLOOKUP(C440,'[1]1.CUADRO RESUMEN DE SITIOS '!$C$5:$L$1052,4,FALSE())</f>
        <v>4.7631699999999997</v>
      </c>
      <c r="G440" s="23">
        <f>VLOOKUP(C440,'[1]1.CUADRO RESUMEN DE SITIOS '!$C$5:$L$1052,5,FALSE())</f>
        <v>-74.029889999999995</v>
      </c>
      <c r="H440" s="23" t="str">
        <f>VLOOKUP(C440,'[1]1.CUADRO RESUMEN DE SITIOS '!$C$5:$L$1052,6,FALSE())</f>
        <v>Cundinamarca</v>
      </c>
      <c r="I440" s="23" t="str">
        <f>VLOOKUP(C440,'[1]1.CUADRO RESUMEN DE SITIOS '!$C$5:$L$1052,7,FALSE())</f>
        <v>WOM</v>
      </c>
      <c r="J440" s="25" t="str">
        <f>VLOOKUP(C440,'[1]1.CUADRO RESUMEN DE SITIOS '!$C$5:$L$1052,8,FALSE())</f>
        <v>CENTRO SUR/ NORTE</v>
      </c>
      <c r="K440" s="23" t="str">
        <f>VLOOKUP(C440,'[1]1.CUADRO RESUMEN DE SITIOS '!$C$5:$L$1052,9,FALSE())</f>
        <v>Jason Julian Melo</v>
      </c>
      <c r="L440" s="26" t="str">
        <f>VLOOKUP(C440,'[1]1.CUADRO RESUMEN DE SITIOS '!$C$5:$L$1052,10,FALSE())</f>
        <v>Terminado</v>
      </c>
      <c r="M440" s="26">
        <v>8828118999</v>
      </c>
      <c r="N440" s="26">
        <f>VLOOKUP(M440,[1]LPU!$A$2:$G$1512,2,FALSE())</f>
        <v>0</v>
      </c>
      <c r="O440" s="26" t="str">
        <f>VLOOKUP(M440,[1]LPU!$A$2:$G$1512,3,FALSE)</f>
        <v>Suministro e instalación de cable UTP Categoría 6, con conectores en sus extremos, certificado</v>
      </c>
      <c r="P440" s="26" t="str">
        <f>VLOOKUP(M440,[1]LPU!$A$2:$G$1512,4,FALSE())</f>
        <v>Item Critico</v>
      </c>
      <c r="Q440" s="26" t="str">
        <f>VLOOKUP(M440,[1]LPU!$A$2:$G$1512,5,FALSE())</f>
        <v>m</v>
      </c>
      <c r="R440" s="27">
        <f>VLOOKUP(M440,[1]LPU!$A$2:$G$1512,6,FALSE())</f>
        <v>5913</v>
      </c>
      <c r="S440" s="27" t="str">
        <f>VLOOKUP(M440,[1]LPU!$A$2:$G$1512,7,FALSE())</f>
        <v>LPU FO Propia</v>
      </c>
      <c r="T440" s="28">
        <v>3</v>
      </c>
      <c r="U440" s="29">
        <f t="shared" si="7"/>
        <v>17739</v>
      </c>
      <c r="V440" s="29" t="s">
        <v>77</v>
      </c>
      <c r="W440" s="30"/>
      <c r="X440" s="29" t="s">
        <v>254</v>
      </c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21" customHeight="1" x14ac:dyDescent="0.3">
      <c r="A441" s="22">
        <v>437</v>
      </c>
      <c r="B441" s="23">
        <v>1</v>
      </c>
      <c r="C441" s="23" t="s">
        <v>253</v>
      </c>
      <c r="D441" s="23" t="str">
        <f>VLOOKUP(C441,'[1]1.CUADRO RESUMEN DE SITIOS '!$C$5:$L$1052,2,FALSE())</f>
        <v>BTA_01198</v>
      </c>
      <c r="E441" s="24">
        <f>VLOOKUP(C441,'[1]1.CUADRO RESUMEN DE SITIOS '!$C$5:$L$1052,3,FALSE())</f>
        <v>45927</v>
      </c>
      <c r="F441" s="23">
        <f>VLOOKUP(C441,'[1]1.CUADRO RESUMEN DE SITIOS '!$C$5:$L$1052,4,FALSE())</f>
        <v>4.7631699999999997</v>
      </c>
      <c r="G441" s="23">
        <f>VLOOKUP(C441,'[1]1.CUADRO RESUMEN DE SITIOS '!$C$5:$L$1052,5,FALSE())</f>
        <v>-74.029889999999995</v>
      </c>
      <c r="H441" s="23" t="str">
        <f>VLOOKUP(C441,'[1]1.CUADRO RESUMEN DE SITIOS '!$C$5:$L$1052,6,FALSE())</f>
        <v>Cundinamarca</v>
      </c>
      <c r="I441" s="23" t="str">
        <f>VLOOKUP(C441,'[1]1.CUADRO RESUMEN DE SITIOS '!$C$5:$L$1052,7,FALSE())</f>
        <v>WOM</v>
      </c>
      <c r="J441" s="25" t="str">
        <f>VLOOKUP(C441,'[1]1.CUADRO RESUMEN DE SITIOS '!$C$5:$L$1052,8,FALSE())</f>
        <v>CENTRO SUR/ NORTE</v>
      </c>
      <c r="K441" s="23" t="str">
        <f>VLOOKUP(C441,'[1]1.CUADRO RESUMEN DE SITIOS '!$C$5:$L$1052,9,FALSE())</f>
        <v>Jason Julian Melo</v>
      </c>
      <c r="L441" s="26" t="str">
        <f>VLOOKUP(C441,'[1]1.CUADRO RESUMEN DE SITIOS '!$C$5:$L$1052,10,FALSE())</f>
        <v>Terminado</v>
      </c>
      <c r="M441" s="26">
        <v>8828118925</v>
      </c>
      <c r="N441" s="26">
        <f>VLOOKUP(M441,[1]LPU!$A$2:$G$1512,2,FALSE())</f>
        <v>87</v>
      </c>
      <c r="O441" s="26" t="str">
        <f>VLOOKUP(M441,[1]LPU!$A$2:$G$1512,3,FALSE)</f>
        <v>Suministro e Instalacion de cable multifilar #4 awg tipo soldador.</v>
      </c>
      <c r="P441" s="26" t="str">
        <f>VLOOKUP(M441,[1]LPU!$A$2:$G$1512,4,FALSE())</f>
        <v>ENERGÍA</v>
      </c>
      <c r="Q441" s="26" t="str">
        <f>VLOOKUP(M441,[1]LPU!$A$2:$G$1512,5,FALSE())</f>
        <v>ML</v>
      </c>
      <c r="R441" s="27">
        <f>VLOOKUP(M441,[1]LPU!$A$2:$G$1512,6,FALSE())</f>
        <v>60815.8</v>
      </c>
      <c r="S441" s="27" t="str">
        <f>VLOOKUP(M441,[1]LPU!$A$2:$G$1512,7,FALSE())</f>
        <v>LPU FLM</v>
      </c>
      <c r="T441" s="28">
        <v>4</v>
      </c>
      <c r="U441" s="29">
        <f t="shared" si="7"/>
        <v>243263.2</v>
      </c>
      <c r="V441" s="29" t="s">
        <v>77</v>
      </c>
      <c r="W441" s="30"/>
      <c r="X441" s="29" t="s">
        <v>254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21" customHeight="1" x14ac:dyDescent="0.3">
      <c r="A442" s="22">
        <v>438</v>
      </c>
      <c r="B442" s="23">
        <v>1</v>
      </c>
      <c r="C442" s="23" t="s">
        <v>253</v>
      </c>
      <c r="D442" s="23" t="str">
        <f>VLOOKUP(C442,'[1]1.CUADRO RESUMEN DE SITIOS '!$C$5:$L$1052,2,FALSE())</f>
        <v>BTA_01198</v>
      </c>
      <c r="E442" s="24">
        <f>VLOOKUP(C442,'[1]1.CUADRO RESUMEN DE SITIOS '!$C$5:$L$1052,3,FALSE())</f>
        <v>45927</v>
      </c>
      <c r="F442" s="23">
        <f>VLOOKUP(C442,'[1]1.CUADRO RESUMEN DE SITIOS '!$C$5:$L$1052,4,FALSE())</f>
        <v>4.7631699999999997</v>
      </c>
      <c r="G442" s="23">
        <f>VLOOKUP(C442,'[1]1.CUADRO RESUMEN DE SITIOS '!$C$5:$L$1052,5,FALSE())</f>
        <v>-74.029889999999995</v>
      </c>
      <c r="H442" s="23" t="str">
        <f>VLOOKUP(C442,'[1]1.CUADRO RESUMEN DE SITIOS '!$C$5:$L$1052,6,FALSE())</f>
        <v>Cundinamarca</v>
      </c>
      <c r="I442" s="23" t="str">
        <f>VLOOKUP(C442,'[1]1.CUADRO RESUMEN DE SITIOS '!$C$5:$L$1052,7,FALSE())</f>
        <v>WOM</v>
      </c>
      <c r="J442" s="25" t="str">
        <f>VLOOKUP(C442,'[1]1.CUADRO RESUMEN DE SITIOS '!$C$5:$L$1052,8,FALSE())</f>
        <v>CENTRO SUR/ NORTE</v>
      </c>
      <c r="K442" s="23" t="str">
        <f>VLOOKUP(C442,'[1]1.CUADRO RESUMEN DE SITIOS '!$C$5:$L$1052,9,FALSE())</f>
        <v>Jason Julian Melo</v>
      </c>
      <c r="L442" s="26" t="str">
        <f>VLOOKUP(C442,'[1]1.CUADRO RESUMEN DE SITIOS '!$C$5:$L$1052,10,FALSE())</f>
        <v>Terminado</v>
      </c>
      <c r="M442" s="26">
        <v>8828118868</v>
      </c>
      <c r="N442" s="26">
        <f>VLOOKUP(M442,[1]LPU!$A$2:$G$1512,2,FALSE())</f>
        <v>81</v>
      </c>
      <c r="O442" s="26" t="str">
        <f>VLOOKUP(M442,[1]LPU!$A$2:$G$1512,3,FALSE)</f>
        <v>Suministro e Instalacion de terminal para cable awg # 2 en cobre estañado un ojo</v>
      </c>
      <c r="P442" s="26" t="str">
        <f>VLOOKUP(M442,[1]LPU!$A$2:$G$1512,4,FALSE())</f>
        <v>ENERGÍA</v>
      </c>
      <c r="Q442" s="26" t="str">
        <f>VLOOKUP(M442,[1]LPU!$A$2:$G$1512,5,FALSE())</f>
        <v>U</v>
      </c>
      <c r="R442" s="27">
        <f>VLOOKUP(M442,[1]LPU!$A$2:$G$1512,6,FALSE())</f>
        <v>2347</v>
      </c>
      <c r="S442" s="27" t="str">
        <f>VLOOKUP(M442,[1]LPU!$A$2:$G$1512,7,FALSE())</f>
        <v>LPU FLM</v>
      </c>
      <c r="T442" s="28">
        <v>4</v>
      </c>
      <c r="U442" s="29">
        <f t="shared" si="7"/>
        <v>9388</v>
      </c>
      <c r="V442" s="29" t="s">
        <v>77</v>
      </c>
      <c r="W442" s="30"/>
      <c r="X442" s="29" t="s">
        <v>254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21" customHeight="1" x14ac:dyDescent="0.3">
      <c r="A443" s="22">
        <v>439</v>
      </c>
      <c r="B443" s="23">
        <v>1</v>
      </c>
      <c r="C443" s="23" t="s">
        <v>253</v>
      </c>
      <c r="D443" s="23" t="str">
        <f>VLOOKUP(C443,'[1]1.CUADRO RESUMEN DE SITIOS '!$C$5:$L$1052,2,FALSE())</f>
        <v>BTA_01198</v>
      </c>
      <c r="E443" s="24">
        <f>VLOOKUP(C443,'[1]1.CUADRO RESUMEN DE SITIOS '!$C$5:$L$1052,3,FALSE())</f>
        <v>45927</v>
      </c>
      <c r="F443" s="23">
        <f>VLOOKUP(C443,'[1]1.CUADRO RESUMEN DE SITIOS '!$C$5:$L$1052,4,FALSE())</f>
        <v>4.7631699999999997</v>
      </c>
      <c r="G443" s="23">
        <f>VLOOKUP(C443,'[1]1.CUADRO RESUMEN DE SITIOS '!$C$5:$L$1052,5,FALSE())</f>
        <v>-74.029889999999995</v>
      </c>
      <c r="H443" s="23" t="str">
        <f>VLOOKUP(C443,'[1]1.CUADRO RESUMEN DE SITIOS '!$C$5:$L$1052,6,FALSE())</f>
        <v>Cundinamarca</v>
      </c>
      <c r="I443" s="23" t="str">
        <f>VLOOKUP(C443,'[1]1.CUADRO RESUMEN DE SITIOS '!$C$5:$L$1052,7,FALSE())</f>
        <v>WOM</v>
      </c>
      <c r="J443" s="25" t="str">
        <f>VLOOKUP(C443,'[1]1.CUADRO RESUMEN DE SITIOS '!$C$5:$L$1052,8,FALSE())</f>
        <v>CENTRO SUR/ NORTE</v>
      </c>
      <c r="K443" s="23" t="str">
        <f>VLOOKUP(C443,'[1]1.CUADRO RESUMEN DE SITIOS '!$C$5:$L$1052,9,FALSE())</f>
        <v>Jason Julian Melo</v>
      </c>
      <c r="L443" s="26" t="str">
        <f>VLOOKUP(C443,'[1]1.CUADRO RESUMEN DE SITIOS '!$C$5:$L$1052,10,FALSE())</f>
        <v>Terminado</v>
      </c>
      <c r="M443" s="26">
        <v>8828119980</v>
      </c>
      <c r="N443" s="26">
        <f>VLOOKUP(M443,[1]LPU!$A$2:$G$1512,2,FALSE())</f>
        <v>169</v>
      </c>
      <c r="O443" s="26" t="str">
        <f>VLOOKUP(M443,[1]LPU!$A$2:$G$1512,3,FALSE)</f>
        <v>Reforzamiento Protección Concreto para Rack de Baterías Incluye Materiales</v>
      </c>
      <c r="P443" s="26" t="str">
        <f>VLOOKUP(M443,[1]LPU!$A$2:$G$1512,4,FALSE())</f>
        <v>LOCATIVO</v>
      </c>
      <c r="Q443" s="26" t="str">
        <f>VLOOKUP(M443,[1]LPU!$A$2:$G$1512,5,FALSE())</f>
        <v>U</v>
      </c>
      <c r="R443" s="27">
        <f>VLOOKUP(M443,[1]LPU!$A$2:$G$1512,6,FALSE())</f>
        <v>114750</v>
      </c>
      <c r="S443" s="27" t="str">
        <f>VLOOKUP(M443,[1]LPU!$A$2:$G$1512,7,FALSE())</f>
        <v>LPU FLM</v>
      </c>
      <c r="T443" s="28">
        <v>1</v>
      </c>
      <c r="U443" s="29">
        <f t="shared" si="7"/>
        <v>114750</v>
      </c>
      <c r="V443" s="29" t="s">
        <v>77</v>
      </c>
      <c r="W443" s="30"/>
      <c r="X443" s="29" t="s">
        <v>254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21" customHeight="1" x14ac:dyDescent="0.3">
      <c r="A444" s="22">
        <v>440</v>
      </c>
      <c r="B444" s="23">
        <v>1</v>
      </c>
      <c r="C444" s="23" t="s">
        <v>253</v>
      </c>
      <c r="D444" s="23" t="str">
        <f>VLOOKUP(C444,'[1]1.CUADRO RESUMEN DE SITIOS '!$C$5:$L$1052,2,FALSE())</f>
        <v>BTA_01198</v>
      </c>
      <c r="E444" s="24">
        <f>VLOOKUP(C444,'[1]1.CUADRO RESUMEN DE SITIOS '!$C$5:$L$1052,3,FALSE())</f>
        <v>45927</v>
      </c>
      <c r="F444" s="23">
        <f>VLOOKUP(C444,'[1]1.CUADRO RESUMEN DE SITIOS '!$C$5:$L$1052,4,FALSE())</f>
        <v>4.7631699999999997</v>
      </c>
      <c r="G444" s="23">
        <f>VLOOKUP(C444,'[1]1.CUADRO RESUMEN DE SITIOS '!$C$5:$L$1052,5,FALSE())</f>
        <v>-74.029889999999995</v>
      </c>
      <c r="H444" s="23" t="str">
        <f>VLOOKUP(C444,'[1]1.CUADRO RESUMEN DE SITIOS '!$C$5:$L$1052,6,FALSE())</f>
        <v>Cundinamarca</v>
      </c>
      <c r="I444" s="23" t="str">
        <f>VLOOKUP(C444,'[1]1.CUADRO RESUMEN DE SITIOS '!$C$5:$L$1052,7,FALSE())</f>
        <v>WOM</v>
      </c>
      <c r="J444" s="25" t="str">
        <f>VLOOKUP(C444,'[1]1.CUADRO RESUMEN DE SITIOS '!$C$5:$L$1052,8,FALSE())</f>
        <v>CENTRO SUR/ NORTE</v>
      </c>
      <c r="K444" s="23" t="str">
        <f>VLOOKUP(C444,'[1]1.CUADRO RESUMEN DE SITIOS '!$C$5:$L$1052,9,FALSE())</f>
        <v>Jason Julian Melo</v>
      </c>
      <c r="L444" s="26" t="str">
        <f>VLOOKUP(C444,'[1]1.CUADRO RESUMEN DE SITIOS '!$C$5:$L$1052,10,FALSE())</f>
        <v>Terminado</v>
      </c>
      <c r="M444" s="26">
        <v>8828119848</v>
      </c>
      <c r="N444" s="26">
        <f>VLOOKUP(M444,[1]LPU!$A$2:$G$1512,2,FALSE())</f>
        <v>157</v>
      </c>
      <c r="O444" s="26" t="str">
        <f>VLOOKUP(M444,[1]LPU!$A$2:$G$1512,3,FALSE)</f>
        <v>Reja para equipo cabinet x 2 baterías</v>
      </c>
      <c r="P444" s="26" t="str">
        <f>VLOOKUP(M444,[1]LPU!$A$2:$G$1512,4,FALSE())</f>
        <v>LOCATIVO</v>
      </c>
      <c r="Q444" s="26" t="str">
        <f>VLOOKUP(M444,[1]LPU!$A$2:$G$1512,5,FALSE())</f>
        <v>U</v>
      </c>
      <c r="R444" s="27">
        <f>VLOOKUP(M444,[1]LPU!$A$2:$G$1512,6,FALSE())</f>
        <v>415303</v>
      </c>
      <c r="S444" s="27" t="str">
        <f>VLOOKUP(M444,[1]LPU!$A$2:$G$1512,7,FALSE())</f>
        <v>LPU FLM</v>
      </c>
      <c r="T444" s="28">
        <v>1</v>
      </c>
      <c r="U444" s="29">
        <f t="shared" si="7"/>
        <v>415303</v>
      </c>
      <c r="V444" s="29" t="s">
        <v>77</v>
      </c>
      <c r="W444" s="30"/>
      <c r="X444" s="29" t="s">
        <v>254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21" customHeight="1" x14ac:dyDescent="0.3">
      <c r="A445" s="22">
        <v>441</v>
      </c>
      <c r="B445" s="23">
        <v>1</v>
      </c>
      <c r="C445" s="23" t="s">
        <v>253</v>
      </c>
      <c r="D445" s="23" t="str">
        <f>VLOOKUP(C445,'[1]1.CUADRO RESUMEN DE SITIOS '!$C$5:$L$1052,2,FALSE())</f>
        <v>BTA_01198</v>
      </c>
      <c r="E445" s="24">
        <f>VLOOKUP(C445,'[1]1.CUADRO RESUMEN DE SITIOS '!$C$5:$L$1052,3,FALSE())</f>
        <v>45927</v>
      </c>
      <c r="F445" s="23">
        <f>VLOOKUP(C445,'[1]1.CUADRO RESUMEN DE SITIOS '!$C$5:$L$1052,4,FALSE())</f>
        <v>4.7631699999999997</v>
      </c>
      <c r="G445" s="23">
        <f>VLOOKUP(C445,'[1]1.CUADRO RESUMEN DE SITIOS '!$C$5:$L$1052,5,FALSE())</f>
        <v>-74.029889999999995</v>
      </c>
      <c r="H445" s="23" t="str">
        <f>VLOOKUP(C445,'[1]1.CUADRO RESUMEN DE SITIOS '!$C$5:$L$1052,6,FALSE())</f>
        <v>Cundinamarca</v>
      </c>
      <c r="I445" s="23" t="str">
        <f>VLOOKUP(C445,'[1]1.CUADRO RESUMEN DE SITIOS '!$C$5:$L$1052,7,FALSE())</f>
        <v>WOM</v>
      </c>
      <c r="J445" s="25" t="str">
        <f>VLOOKUP(C445,'[1]1.CUADRO RESUMEN DE SITIOS '!$C$5:$L$1052,8,FALSE())</f>
        <v>CENTRO SUR/ NORTE</v>
      </c>
      <c r="K445" s="23" t="str">
        <f>VLOOKUP(C445,'[1]1.CUADRO RESUMEN DE SITIOS '!$C$5:$L$1052,9,FALSE())</f>
        <v>Jason Julian Melo</v>
      </c>
      <c r="L445" s="26" t="str">
        <f>VLOOKUP(C445,'[1]1.CUADRO RESUMEN DE SITIOS '!$C$5:$L$1052,10,FALSE())</f>
        <v>Terminado</v>
      </c>
      <c r="M445" s="26">
        <v>8828119045</v>
      </c>
      <c r="N445" s="26">
        <f>VLOOKUP(M445,[1]LPU!$A$2:$G$1512,2,FALSE())</f>
        <v>5.29</v>
      </c>
      <c r="O445" s="26" t="str">
        <f>VLOOKUP(M445,[1]LPU!$A$2:$G$1512,3,FALSE)</f>
        <v>Suministro e instalación de estructura metálica en acero galvanizado para refuerzo, soportes, bases y adecuaciones en general.</v>
      </c>
      <c r="P445" s="26" t="str">
        <f>VLOOKUP(M445,[1]LPU!$A$2:$G$1512,4,FALSE())</f>
        <v>Mantenimiento CW</v>
      </c>
      <c r="Q445" s="26" t="str">
        <f>VLOOKUP(M445,[1]LPU!$A$2:$G$1512,5,FALSE())</f>
        <v>Kg</v>
      </c>
      <c r="R445" s="27">
        <f>VLOOKUP(M445,[1]LPU!$A$2:$G$1512,6,FALSE())</f>
        <v>12911.5</v>
      </c>
      <c r="S445" s="27" t="str">
        <f>VLOOKUP(M445,[1]LPU!$A$2:$G$1512,7,FALSE())</f>
        <v>Mantenimiento CW</v>
      </c>
      <c r="T445" s="28">
        <v>20</v>
      </c>
      <c r="U445" s="29">
        <f t="shared" si="7"/>
        <v>258230</v>
      </c>
      <c r="V445" s="29" t="s">
        <v>77</v>
      </c>
      <c r="W445" s="30"/>
      <c r="X445" s="29" t="s">
        <v>254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21" customHeight="1" x14ac:dyDescent="0.3">
      <c r="A446" s="22">
        <v>442</v>
      </c>
      <c r="B446" s="23">
        <v>1</v>
      </c>
      <c r="C446" s="23" t="s">
        <v>253</v>
      </c>
      <c r="D446" s="23" t="str">
        <f>VLOOKUP(C446,'[1]1.CUADRO RESUMEN DE SITIOS '!$C$5:$L$1052,2,FALSE())</f>
        <v>BTA_01198</v>
      </c>
      <c r="E446" s="24">
        <f>VLOOKUP(C446,'[1]1.CUADRO RESUMEN DE SITIOS '!$C$5:$L$1052,3,FALSE())</f>
        <v>45927</v>
      </c>
      <c r="F446" s="23">
        <f>VLOOKUP(C446,'[1]1.CUADRO RESUMEN DE SITIOS '!$C$5:$L$1052,4,FALSE())</f>
        <v>4.7631699999999997</v>
      </c>
      <c r="G446" s="23">
        <f>VLOOKUP(C446,'[1]1.CUADRO RESUMEN DE SITIOS '!$C$5:$L$1052,5,FALSE())</f>
        <v>-74.029889999999995</v>
      </c>
      <c r="H446" s="23" t="str">
        <f>VLOOKUP(C446,'[1]1.CUADRO RESUMEN DE SITIOS '!$C$5:$L$1052,6,FALSE())</f>
        <v>Cundinamarca</v>
      </c>
      <c r="I446" s="23" t="str">
        <f>VLOOKUP(C446,'[1]1.CUADRO RESUMEN DE SITIOS '!$C$5:$L$1052,7,FALSE())</f>
        <v>WOM</v>
      </c>
      <c r="J446" s="25" t="str">
        <f>VLOOKUP(C446,'[1]1.CUADRO RESUMEN DE SITIOS '!$C$5:$L$1052,8,FALSE())</f>
        <v>CENTRO SUR/ NORTE</v>
      </c>
      <c r="K446" s="23" t="str">
        <f>VLOOKUP(C446,'[1]1.CUADRO RESUMEN DE SITIOS '!$C$5:$L$1052,9,FALSE())</f>
        <v>Jason Julian Melo</v>
      </c>
      <c r="L446" s="26" t="str">
        <f>VLOOKUP(C446,'[1]1.CUADRO RESUMEN DE SITIOS '!$C$5:$L$1052,10,FALSE())</f>
        <v>Terminado</v>
      </c>
      <c r="M446" s="26">
        <v>8828119921</v>
      </c>
      <c r="N446" s="26">
        <f>VLOOKUP(M446,[1]LPU!$A$2:$G$1512,2,FALSE())</f>
        <v>163</v>
      </c>
      <c r="O446" s="26" t="str">
        <f>VLOOKUP(M446,[1]LPU!$A$2:$G$1512,3,FALSE)</f>
        <v>Tansporte tipo A, ciudad principal y área metropolitana</v>
      </c>
      <c r="P446" s="26" t="str">
        <f>VLOOKUP(M446,[1]LPU!$A$2:$G$1512,4,FALSE())</f>
        <v>LOCATIVO</v>
      </c>
      <c r="Q446" s="26" t="str">
        <f>VLOOKUP(M446,[1]LPU!$A$2:$G$1512,5,FALSE())</f>
        <v>Global</v>
      </c>
      <c r="R446" s="27">
        <f>VLOOKUP(M446,[1]LPU!$A$2:$G$1512,6,FALSE())</f>
        <v>133571.54999999999</v>
      </c>
      <c r="S446" s="27" t="str">
        <f>VLOOKUP(M446,[1]LPU!$A$2:$G$1512,7,FALSE())</f>
        <v>LPU FLM</v>
      </c>
      <c r="T446" s="28">
        <v>1</v>
      </c>
      <c r="U446" s="29">
        <f t="shared" si="7"/>
        <v>133571.54999999999</v>
      </c>
      <c r="V446" s="29" t="s">
        <v>77</v>
      </c>
      <c r="W446" s="30"/>
      <c r="X446" s="29" t="s">
        <v>254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21" customHeight="1" x14ac:dyDescent="0.3">
      <c r="A447" s="22">
        <v>443</v>
      </c>
      <c r="B447" s="23">
        <v>1</v>
      </c>
      <c r="C447" s="23" t="s">
        <v>253</v>
      </c>
      <c r="D447" s="23" t="str">
        <f>VLOOKUP(C447,'[1]1.CUADRO RESUMEN DE SITIOS '!$C$5:$L$1052,2,FALSE())</f>
        <v>BTA_01198</v>
      </c>
      <c r="E447" s="24">
        <f>VLOOKUP(C447,'[1]1.CUADRO RESUMEN DE SITIOS '!$C$5:$L$1052,3,FALSE())</f>
        <v>45927</v>
      </c>
      <c r="F447" s="23">
        <f>VLOOKUP(C447,'[1]1.CUADRO RESUMEN DE SITIOS '!$C$5:$L$1052,4,FALSE())</f>
        <v>4.7631699999999997</v>
      </c>
      <c r="G447" s="23">
        <f>VLOOKUP(C447,'[1]1.CUADRO RESUMEN DE SITIOS '!$C$5:$L$1052,5,FALSE())</f>
        <v>-74.029889999999995</v>
      </c>
      <c r="H447" s="23" t="str">
        <f>VLOOKUP(C447,'[1]1.CUADRO RESUMEN DE SITIOS '!$C$5:$L$1052,6,FALSE())</f>
        <v>Cundinamarca</v>
      </c>
      <c r="I447" s="23" t="str">
        <f>VLOOKUP(C447,'[1]1.CUADRO RESUMEN DE SITIOS '!$C$5:$L$1052,7,FALSE())</f>
        <v>WOM</v>
      </c>
      <c r="J447" s="25" t="str">
        <f>VLOOKUP(C447,'[1]1.CUADRO RESUMEN DE SITIOS '!$C$5:$L$1052,8,FALSE())</f>
        <v>CENTRO SUR/ NORTE</v>
      </c>
      <c r="K447" s="23" t="str">
        <f>VLOOKUP(C447,'[1]1.CUADRO RESUMEN DE SITIOS '!$C$5:$L$1052,9,FALSE())</f>
        <v>Jason Julian Melo</v>
      </c>
      <c r="L447" s="26" t="str">
        <f>VLOOKUP(C447,'[1]1.CUADRO RESUMEN DE SITIOS '!$C$5:$L$1052,10,FALSE())</f>
        <v>Terminado</v>
      </c>
      <c r="M447" s="26">
        <v>8828119110</v>
      </c>
      <c r="N447" s="26">
        <f>VLOOKUP(M447,[1]LPU!$A$2:$G$1512,2,FALSE())</f>
        <v>107</v>
      </c>
      <c r="O447" s="26" t="str">
        <f>VLOOKUP(M447,[1]LPU!$A$2:$G$1512,3,FALSE)</f>
        <v>Mano de Obra Tecnico Electricista Certficado CONTE</v>
      </c>
      <c r="P447" s="26" t="str">
        <f>VLOOKUP(M447,[1]LPU!$A$2:$G$1512,4,FALSE())</f>
        <v>ENERGÍA</v>
      </c>
      <c r="Q447" s="26" t="str">
        <f>VLOOKUP(M447,[1]LPU!$A$2:$G$1512,5,FALSE())</f>
        <v>DIA</v>
      </c>
      <c r="R447" s="27">
        <f>VLOOKUP(M447,[1]LPU!$A$2:$G$1512,6,FALSE())</f>
        <v>136000</v>
      </c>
      <c r="S447" s="27" t="str">
        <f>VLOOKUP(M447,[1]LPU!$A$2:$G$1512,7,FALSE())</f>
        <v>LPU FLM</v>
      </c>
      <c r="T447" s="28">
        <v>2</v>
      </c>
      <c r="U447" s="29">
        <f t="shared" si="7"/>
        <v>272000</v>
      </c>
      <c r="V447" s="29" t="s">
        <v>77</v>
      </c>
      <c r="W447" s="30"/>
      <c r="X447" s="29" t="s">
        <v>254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21" customHeight="1" x14ac:dyDescent="0.3">
      <c r="A448" s="22">
        <v>444</v>
      </c>
      <c r="B448" s="23">
        <v>1</v>
      </c>
      <c r="C448" s="23" t="s">
        <v>255</v>
      </c>
      <c r="D448" s="23" t="str">
        <f>VLOOKUP(C448,'[1]1.CUADRO RESUMEN DE SITIOS '!$C$5:$L$1052,2,FALSE())</f>
        <v>BTA_01889</v>
      </c>
      <c r="E448" s="24">
        <f>VLOOKUP(C448,'[1]1.CUADRO RESUMEN DE SITIOS '!$C$5:$L$1052,3,FALSE())</f>
        <v>45927</v>
      </c>
      <c r="F448" s="23">
        <f>VLOOKUP(C448,'[1]1.CUADRO RESUMEN DE SITIOS '!$C$5:$L$1052,4,FALSE())</f>
        <v>4.7868899999999996</v>
      </c>
      <c r="G448" s="23">
        <f>VLOOKUP(C448,'[1]1.CUADRO RESUMEN DE SITIOS '!$C$5:$L$1052,5,FALSE())</f>
        <v>-74.027799999999999</v>
      </c>
      <c r="H448" s="23" t="str">
        <f>VLOOKUP(C448,'[1]1.CUADRO RESUMEN DE SITIOS '!$C$5:$L$1052,6,FALSE())</f>
        <v>Cundinamarca</v>
      </c>
      <c r="I448" s="23" t="str">
        <f>VLOOKUP(C448,'[1]1.CUADRO RESUMEN DE SITIOS '!$C$5:$L$1052,7,FALSE())</f>
        <v>WOM</v>
      </c>
      <c r="J448" s="25" t="str">
        <f>VLOOKUP(C448,'[1]1.CUADRO RESUMEN DE SITIOS '!$C$5:$L$1052,8,FALSE())</f>
        <v>CENTRO SUR/ NORTE</v>
      </c>
      <c r="K448" s="23" t="str">
        <f>VLOOKUP(C448,'[1]1.CUADRO RESUMEN DE SITIOS '!$C$5:$L$1052,9,FALSE())</f>
        <v>Jason Julian Melo</v>
      </c>
      <c r="L448" s="26" t="str">
        <f>VLOOKUP(C448,'[1]1.CUADRO RESUMEN DE SITIOS '!$C$5:$L$1052,10,FALSE())</f>
        <v>Terminado</v>
      </c>
      <c r="M448" s="26">
        <v>8828119492</v>
      </c>
      <c r="N448" s="26">
        <f>VLOOKUP(M448,[1]LPU!$A$2:$G$1512,2,FALSE())</f>
        <v>53</v>
      </c>
      <c r="O448" s="26" t="str">
        <f>VLOOKUP(M448,[1]LPU!$A$2:$G$1512,3,FALSE)</f>
        <v>Instalación Banco de Baterias para Rectificadores - Aplica para ampliaciones.</v>
      </c>
      <c r="P448" s="26" t="str">
        <f>VLOOKUP(M448,[1]LPU!$A$2:$G$1512,4,FALSE())</f>
        <v>ENERGÍA</v>
      </c>
      <c r="Q448" s="26" t="str">
        <f>VLOOKUP(M448,[1]LPU!$A$2:$G$1512,5,FALSE())</f>
        <v>U</v>
      </c>
      <c r="R448" s="27">
        <f>VLOOKUP(M448,[1]LPU!$A$2:$G$1512,6,FALSE())</f>
        <v>102340</v>
      </c>
      <c r="S448" s="27" t="str">
        <f>VLOOKUP(M448,[1]LPU!$A$2:$G$1512,7,FALSE())</f>
        <v>LPU FLM</v>
      </c>
      <c r="T448" s="28">
        <v>1</v>
      </c>
      <c r="U448" s="29">
        <f t="shared" si="7"/>
        <v>102340</v>
      </c>
      <c r="V448" s="29" t="s">
        <v>77</v>
      </c>
      <c r="W448" s="30"/>
      <c r="X448" s="29" t="s">
        <v>254</v>
      </c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21" customHeight="1" x14ac:dyDescent="0.3">
      <c r="A449" s="22">
        <v>445</v>
      </c>
      <c r="B449" s="23">
        <v>1</v>
      </c>
      <c r="C449" s="23" t="s">
        <v>255</v>
      </c>
      <c r="D449" s="23" t="str">
        <f>VLOOKUP(C449,'[1]1.CUADRO RESUMEN DE SITIOS '!$C$5:$L$1052,2,FALSE())</f>
        <v>BTA_01889</v>
      </c>
      <c r="E449" s="24">
        <f>VLOOKUP(C449,'[1]1.CUADRO RESUMEN DE SITIOS '!$C$5:$L$1052,3,FALSE())</f>
        <v>45927</v>
      </c>
      <c r="F449" s="23">
        <f>VLOOKUP(C449,'[1]1.CUADRO RESUMEN DE SITIOS '!$C$5:$L$1052,4,FALSE())</f>
        <v>4.7868899999999996</v>
      </c>
      <c r="G449" s="23">
        <f>VLOOKUP(C449,'[1]1.CUADRO RESUMEN DE SITIOS '!$C$5:$L$1052,5,FALSE())</f>
        <v>-74.027799999999999</v>
      </c>
      <c r="H449" s="23" t="str">
        <f>VLOOKUP(C449,'[1]1.CUADRO RESUMEN DE SITIOS '!$C$5:$L$1052,6,FALSE())</f>
        <v>Cundinamarca</v>
      </c>
      <c r="I449" s="23" t="str">
        <f>VLOOKUP(C449,'[1]1.CUADRO RESUMEN DE SITIOS '!$C$5:$L$1052,7,FALSE())</f>
        <v>WOM</v>
      </c>
      <c r="J449" s="25" t="str">
        <f>VLOOKUP(C449,'[1]1.CUADRO RESUMEN DE SITIOS '!$C$5:$L$1052,8,FALSE())</f>
        <v>CENTRO SUR/ NORTE</v>
      </c>
      <c r="K449" s="23" t="str">
        <f>VLOOKUP(C449,'[1]1.CUADRO RESUMEN DE SITIOS '!$C$5:$L$1052,9,FALSE())</f>
        <v>Jason Julian Melo</v>
      </c>
      <c r="L449" s="26" t="str">
        <f>VLOOKUP(C449,'[1]1.CUADRO RESUMEN DE SITIOS '!$C$5:$L$1052,10,FALSE())</f>
        <v>Terminado</v>
      </c>
      <c r="M449" s="26">
        <v>8828119512</v>
      </c>
      <c r="N449" s="26">
        <f>VLOOKUP(M449,[1]LPU!$A$2:$G$1512,2,FALSE())</f>
        <v>55</v>
      </c>
      <c r="O449" s="26" t="str">
        <f>VLOOKUP(M449,[1]LPU!$A$2:$G$1512,3,FALSE)</f>
        <v>Transporte Banco de Baterias</v>
      </c>
      <c r="P449" s="26" t="str">
        <f>VLOOKUP(M449,[1]LPU!$A$2:$G$1512,4,FALSE())</f>
        <v>ENERGÍA</v>
      </c>
      <c r="Q449" s="26" t="str">
        <f>VLOOKUP(M449,[1]LPU!$A$2:$G$1512,5,FALSE())</f>
        <v>U</v>
      </c>
      <c r="R449" s="27">
        <f>VLOOKUP(M449,[1]LPU!$A$2:$G$1512,6,FALSE())</f>
        <v>82212</v>
      </c>
      <c r="S449" s="27" t="str">
        <f>VLOOKUP(M449,[1]LPU!$A$2:$G$1512,7,FALSE())</f>
        <v>LPU FLM</v>
      </c>
      <c r="T449" s="28">
        <v>1</v>
      </c>
      <c r="U449" s="29">
        <f t="shared" si="7"/>
        <v>82212</v>
      </c>
      <c r="V449" s="29" t="s">
        <v>77</v>
      </c>
      <c r="W449" s="30"/>
      <c r="X449" s="29" t="s">
        <v>254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21" customHeight="1" x14ac:dyDescent="0.3">
      <c r="A450" s="22">
        <v>446</v>
      </c>
      <c r="B450" s="23">
        <v>1</v>
      </c>
      <c r="C450" s="23" t="s">
        <v>255</v>
      </c>
      <c r="D450" s="23" t="str">
        <f>VLOOKUP(C450,'[1]1.CUADRO RESUMEN DE SITIOS '!$C$5:$L$1052,2,FALSE())</f>
        <v>BTA_01889</v>
      </c>
      <c r="E450" s="24">
        <f>VLOOKUP(C450,'[1]1.CUADRO RESUMEN DE SITIOS '!$C$5:$L$1052,3,FALSE())</f>
        <v>45927</v>
      </c>
      <c r="F450" s="23">
        <f>VLOOKUP(C450,'[1]1.CUADRO RESUMEN DE SITIOS '!$C$5:$L$1052,4,FALSE())</f>
        <v>4.7868899999999996</v>
      </c>
      <c r="G450" s="23">
        <f>VLOOKUP(C450,'[1]1.CUADRO RESUMEN DE SITIOS '!$C$5:$L$1052,5,FALSE())</f>
        <v>-74.027799999999999</v>
      </c>
      <c r="H450" s="23" t="str">
        <f>VLOOKUP(C450,'[1]1.CUADRO RESUMEN DE SITIOS '!$C$5:$L$1052,6,FALSE())</f>
        <v>Cundinamarca</v>
      </c>
      <c r="I450" s="23" t="str">
        <f>VLOOKUP(C450,'[1]1.CUADRO RESUMEN DE SITIOS '!$C$5:$L$1052,7,FALSE())</f>
        <v>WOM</v>
      </c>
      <c r="J450" s="25" t="str">
        <f>VLOOKUP(C450,'[1]1.CUADRO RESUMEN DE SITIOS '!$C$5:$L$1052,8,FALSE())</f>
        <v>CENTRO SUR/ NORTE</v>
      </c>
      <c r="K450" s="23" t="str">
        <f>VLOOKUP(C450,'[1]1.CUADRO RESUMEN DE SITIOS '!$C$5:$L$1052,9,FALSE())</f>
        <v>Jason Julian Melo</v>
      </c>
      <c r="L450" s="26" t="str">
        <f>VLOOKUP(C450,'[1]1.CUADRO RESUMEN DE SITIOS '!$C$5:$L$1052,10,FALSE())</f>
        <v>Terminado</v>
      </c>
      <c r="M450" s="26">
        <v>8828118999</v>
      </c>
      <c r="N450" s="26">
        <f>VLOOKUP(M450,[1]LPU!$A$2:$G$1512,2,FALSE())</f>
        <v>0</v>
      </c>
      <c r="O450" s="26" t="str">
        <f>VLOOKUP(M450,[1]LPU!$A$2:$G$1512,3,FALSE)</f>
        <v>Suministro e instalación de cable UTP Categoría 6, con conectores en sus extremos, certificado</v>
      </c>
      <c r="P450" s="26" t="str">
        <f>VLOOKUP(M450,[1]LPU!$A$2:$G$1512,4,FALSE())</f>
        <v>Item Critico</v>
      </c>
      <c r="Q450" s="26" t="str">
        <f>VLOOKUP(M450,[1]LPU!$A$2:$G$1512,5,FALSE())</f>
        <v>m</v>
      </c>
      <c r="R450" s="27">
        <f>VLOOKUP(M450,[1]LPU!$A$2:$G$1512,6,FALSE())</f>
        <v>5913</v>
      </c>
      <c r="S450" s="27" t="str">
        <f>VLOOKUP(M450,[1]LPU!$A$2:$G$1512,7,FALSE())</f>
        <v>LPU FO Propia</v>
      </c>
      <c r="T450" s="28">
        <v>3</v>
      </c>
      <c r="U450" s="29">
        <f t="shared" si="7"/>
        <v>17739</v>
      </c>
      <c r="V450" s="29" t="s">
        <v>77</v>
      </c>
      <c r="W450" s="30"/>
      <c r="X450" s="29" t="s">
        <v>254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21" customHeight="1" x14ac:dyDescent="0.3">
      <c r="A451" s="22">
        <v>447</v>
      </c>
      <c r="B451" s="23">
        <v>1</v>
      </c>
      <c r="C451" s="23" t="s">
        <v>255</v>
      </c>
      <c r="D451" s="23" t="str">
        <f>VLOOKUP(C451,'[1]1.CUADRO RESUMEN DE SITIOS '!$C$5:$L$1052,2,FALSE())</f>
        <v>BTA_01889</v>
      </c>
      <c r="E451" s="24">
        <f>VLOOKUP(C451,'[1]1.CUADRO RESUMEN DE SITIOS '!$C$5:$L$1052,3,FALSE())</f>
        <v>45927</v>
      </c>
      <c r="F451" s="23">
        <f>VLOOKUP(C451,'[1]1.CUADRO RESUMEN DE SITIOS '!$C$5:$L$1052,4,FALSE())</f>
        <v>4.7868899999999996</v>
      </c>
      <c r="G451" s="23">
        <f>VLOOKUP(C451,'[1]1.CUADRO RESUMEN DE SITIOS '!$C$5:$L$1052,5,FALSE())</f>
        <v>-74.027799999999999</v>
      </c>
      <c r="H451" s="23" t="str">
        <f>VLOOKUP(C451,'[1]1.CUADRO RESUMEN DE SITIOS '!$C$5:$L$1052,6,FALSE())</f>
        <v>Cundinamarca</v>
      </c>
      <c r="I451" s="23" t="str">
        <f>VLOOKUP(C451,'[1]1.CUADRO RESUMEN DE SITIOS '!$C$5:$L$1052,7,FALSE())</f>
        <v>WOM</v>
      </c>
      <c r="J451" s="25" t="str">
        <f>VLOOKUP(C451,'[1]1.CUADRO RESUMEN DE SITIOS '!$C$5:$L$1052,8,FALSE())</f>
        <v>CENTRO SUR/ NORTE</v>
      </c>
      <c r="K451" s="23" t="str">
        <f>VLOOKUP(C451,'[1]1.CUADRO RESUMEN DE SITIOS '!$C$5:$L$1052,9,FALSE())</f>
        <v>Jason Julian Melo</v>
      </c>
      <c r="L451" s="26" t="str">
        <f>VLOOKUP(C451,'[1]1.CUADRO RESUMEN DE SITIOS '!$C$5:$L$1052,10,FALSE())</f>
        <v>Terminado</v>
      </c>
      <c r="M451" s="26">
        <v>8828118925</v>
      </c>
      <c r="N451" s="26">
        <f>VLOOKUP(M451,[1]LPU!$A$2:$G$1512,2,FALSE())</f>
        <v>87</v>
      </c>
      <c r="O451" s="26" t="str">
        <f>VLOOKUP(M451,[1]LPU!$A$2:$G$1512,3,FALSE)</f>
        <v>Suministro e Instalacion de cable multifilar #4 awg tipo soldador.</v>
      </c>
      <c r="P451" s="26" t="str">
        <f>VLOOKUP(M451,[1]LPU!$A$2:$G$1512,4,FALSE())</f>
        <v>ENERGÍA</v>
      </c>
      <c r="Q451" s="26" t="str">
        <f>VLOOKUP(M451,[1]LPU!$A$2:$G$1512,5,FALSE())</f>
        <v>ML</v>
      </c>
      <c r="R451" s="27">
        <f>VLOOKUP(M451,[1]LPU!$A$2:$G$1512,6,FALSE())</f>
        <v>60815.8</v>
      </c>
      <c r="S451" s="27" t="str">
        <f>VLOOKUP(M451,[1]LPU!$A$2:$G$1512,7,FALSE())</f>
        <v>LPU FLM</v>
      </c>
      <c r="T451" s="28">
        <v>4</v>
      </c>
      <c r="U451" s="29">
        <f t="shared" si="7"/>
        <v>243263.2</v>
      </c>
      <c r="V451" s="29" t="s">
        <v>77</v>
      </c>
      <c r="W451" s="30"/>
      <c r="X451" s="29" t="s">
        <v>254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21" customHeight="1" x14ac:dyDescent="0.3">
      <c r="A452" s="22">
        <v>448</v>
      </c>
      <c r="B452" s="23">
        <v>1</v>
      </c>
      <c r="C452" s="23" t="s">
        <v>255</v>
      </c>
      <c r="D452" s="23" t="str">
        <f>VLOOKUP(C452,'[1]1.CUADRO RESUMEN DE SITIOS '!$C$5:$L$1052,2,FALSE())</f>
        <v>BTA_01889</v>
      </c>
      <c r="E452" s="24">
        <f>VLOOKUP(C452,'[1]1.CUADRO RESUMEN DE SITIOS '!$C$5:$L$1052,3,FALSE())</f>
        <v>45927</v>
      </c>
      <c r="F452" s="23">
        <f>VLOOKUP(C452,'[1]1.CUADRO RESUMEN DE SITIOS '!$C$5:$L$1052,4,FALSE())</f>
        <v>4.7868899999999996</v>
      </c>
      <c r="G452" s="23">
        <f>VLOOKUP(C452,'[1]1.CUADRO RESUMEN DE SITIOS '!$C$5:$L$1052,5,FALSE())</f>
        <v>-74.027799999999999</v>
      </c>
      <c r="H452" s="23" t="str">
        <f>VLOOKUP(C452,'[1]1.CUADRO RESUMEN DE SITIOS '!$C$5:$L$1052,6,FALSE())</f>
        <v>Cundinamarca</v>
      </c>
      <c r="I452" s="23" t="str">
        <f>VLOOKUP(C452,'[1]1.CUADRO RESUMEN DE SITIOS '!$C$5:$L$1052,7,FALSE())</f>
        <v>WOM</v>
      </c>
      <c r="J452" s="25" t="str">
        <f>VLOOKUP(C452,'[1]1.CUADRO RESUMEN DE SITIOS '!$C$5:$L$1052,8,FALSE())</f>
        <v>CENTRO SUR/ NORTE</v>
      </c>
      <c r="K452" s="23" t="str">
        <f>VLOOKUP(C452,'[1]1.CUADRO RESUMEN DE SITIOS '!$C$5:$L$1052,9,FALSE())</f>
        <v>Jason Julian Melo</v>
      </c>
      <c r="L452" s="26" t="str">
        <f>VLOOKUP(C452,'[1]1.CUADRO RESUMEN DE SITIOS '!$C$5:$L$1052,10,FALSE())</f>
        <v>Terminado</v>
      </c>
      <c r="M452" s="26">
        <v>8828118868</v>
      </c>
      <c r="N452" s="26">
        <f>VLOOKUP(M452,[1]LPU!$A$2:$G$1512,2,FALSE())</f>
        <v>81</v>
      </c>
      <c r="O452" s="26" t="str">
        <f>VLOOKUP(M452,[1]LPU!$A$2:$G$1512,3,FALSE)</f>
        <v>Suministro e Instalacion de terminal para cable awg # 2 en cobre estañado un ojo</v>
      </c>
      <c r="P452" s="26" t="str">
        <f>VLOOKUP(M452,[1]LPU!$A$2:$G$1512,4,FALSE())</f>
        <v>ENERGÍA</v>
      </c>
      <c r="Q452" s="26" t="str">
        <f>VLOOKUP(M452,[1]LPU!$A$2:$G$1512,5,FALSE())</f>
        <v>U</v>
      </c>
      <c r="R452" s="27">
        <f>VLOOKUP(M452,[1]LPU!$A$2:$G$1512,6,FALSE())</f>
        <v>2347</v>
      </c>
      <c r="S452" s="27" t="str">
        <f>VLOOKUP(M452,[1]LPU!$A$2:$G$1512,7,FALSE())</f>
        <v>LPU FLM</v>
      </c>
      <c r="T452" s="28">
        <v>4</v>
      </c>
      <c r="U452" s="29">
        <f t="shared" si="7"/>
        <v>9388</v>
      </c>
      <c r="V452" s="29" t="s">
        <v>77</v>
      </c>
      <c r="W452" s="30"/>
      <c r="X452" s="29" t="s">
        <v>254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21" customHeight="1" x14ac:dyDescent="0.3">
      <c r="A453" s="22">
        <v>449</v>
      </c>
      <c r="B453" s="23">
        <v>1</v>
      </c>
      <c r="C453" s="23" t="s">
        <v>255</v>
      </c>
      <c r="D453" s="23" t="str">
        <f>VLOOKUP(C453,'[1]1.CUADRO RESUMEN DE SITIOS '!$C$5:$L$1052,2,FALSE())</f>
        <v>BTA_01889</v>
      </c>
      <c r="E453" s="24">
        <f>VLOOKUP(C453,'[1]1.CUADRO RESUMEN DE SITIOS '!$C$5:$L$1052,3,FALSE())</f>
        <v>45927</v>
      </c>
      <c r="F453" s="23">
        <f>VLOOKUP(C453,'[1]1.CUADRO RESUMEN DE SITIOS '!$C$5:$L$1052,4,FALSE())</f>
        <v>4.7868899999999996</v>
      </c>
      <c r="G453" s="23">
        <f>VLOOKUP(C453,'[1]1.CUADRO RESUMEN DE SITIOS '!$C$5:$L$1052,5,FALSE())</f>
        <v>-74.027799999999999</v>
      </c>
      <c r="H453" s="23" t="str">
        <f>VLOOKUP(C453,'[1]1.CUADRO RESUMEN DE SITIOS '!$C$5:$L$1052,6,FALSE())</f>
        <v>Cundinamarca</v>
      </c>
      <c r="I453" s="23" t="str">
        <f>VLOOKUP(C453,'[1]1.CUADRO RESUMEN DE SITIOS '!$C$5:$L$1052,7,FALSE())</f>
        <v>WOM</v>
      </c>
      <c r="J453" s="25" t="str">
        <f>VLOOKUP(C453,'[1]1.CUADRO RESUMEN DE SITIOS '!$C$5:$L$1052,8,FALSE())</f>
        <v>CENTRO SUR/ NORTE</v>
      </c>
      <c r="K453" s="23" t="str">
        <f>VLOOKUP(C453,'[1]1.CUADRO RESUMEN DE SITIOS '!$C$5:$L$1052,9,FALSE())</f>
        <v>Jason Julian Melo</v>
      </c>
      <c r="L453" s="26" t="str">
        <f>VLOOKUP(C453,'[1]1.CUADRO RESUMEN DE SITIOS '!$C$5:$L$1052,10,FALSE())</f>
        <v>Terminado</v>
      </c>
      <c r="M453" s="26">
        <v>8828119980</v>
      </c>
      <c r="N453" s="26">
        <f>VLOOKUP(M453,[1]LPU!$A$2:$G$1512,2,FALSE())</f>
        <v>169</v>
      </c>
      <c r="O453" s="26" t="str">
        <f>VLOOKUP(M453,[1]LPU!$A$2:$G$1512,3,FALSE)</f>
        <v>Reforzamiento Protección Concreto para Rack de Baterías Incluye Materiales</v>
      </c>
      <c r="P453" s="26" t="str">
        <f>VLOOKUP(M453,[1]LPU!$A$2:$G$1512,4,FALSE())</f>
        <v>LOCATIVO</v>
      </c>
      <c r="Q453" s="26" t="str">
        <f>VLOOKUP(M453,[1]LPU!$A$2:$G$1512,5,FALSE())</f>
        <v>U</v>
      </c>
      <c r="R453" s="27">
        <f>VLOOKUP(M453,[1]LPU!$A$2:$G$1512,6,FALSE())</f>
        <v>114750</v>
      </c>
      <c r="S453" s="27" t="str">
        <f>VLOOKUP(M453,[1]LPU!$A$2:$G$1512,7,FALSE())</f>
        <v>LPU FLM</v>
      </c>
      <c r="T453" s="28">
        <v>1</v>
      </c>
      <c r="U453" s="29">
        <f t="shared" si="7"/>
        <v>114750</v>
      </c>
      <c r="V453" s="29" t="s">
        <v>77</v>
      </c>
      <c r="W453" s="30"/>
      <c r="X453" s="29" t="s">
        <v>254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21" customHeight="1" x14ac:dyDescent="0.3">
      <c r="A454" s="22">
        <v>450</v>
      </c>
      <c r="B454" s="23">
        <v>1</v>
      </c>
      <c r="C454" s="23" t="s">
        <v>255</v>
      </c>
      <c r="D454" s="23" t="str">
        <f>VLOOKUP(C454,'[1]1.CUADRO RESUMEN DE SITIOS '!$C$5:$L$1052,2,FALSE())</f>
        <v>BTA_01889</v>
      </c>
      <c r="E454" s="24">
        <f>VLOOKUP(C454,'[1]1.CUADRO RESUMEN DE SITIOS '!$C$5:$L$1052,3,FALSE())</f>
        <v>45927</v>
      </c>
      <c r="F454" s="23">
        <f>VLOOKUP(C454,'[1]1.CUADRO RESUMEN DE SITIOS '!$C$5:$L$1052,4,FALSE())</f>
        <v>4.7868899999999996</v>
      </c>
      <c r="G454" s="23">
        <f>VLOOKUP(C454,'[1]1.CUADRO RESUMEN DE SITIOS '!$C$5:$L$1052,5,FALSE())</f>
        <v>-74.027799999999999</v>
      </c>
      <c r="H454" s="23" t="str">
        <f>VLOOKUP(C454,'[1]1.CUADRO RESUMEN DE SITIOS '!$C$5:$L$1052,6,FALSE())</f>
        <v>Cundinamarca</v>
      </c>
      <c r="I454" s="23" t="str">
        <f>VLOOKUP(C454,'[1]1.CUADRO RESUMEN DE SITIOS '!$C$5:$L$1052,7,FALSE())</f>
        <v>WOM</v>
      </c>
      <c r="J454" s="25" t="str">
        <f>VLOOKUP(C454,'[1]1.CUADRO RESUMEN DE SITIOS '!$C$5:$L$1052,8,FALSE())</f>
        <v>CENTRO SUR/ NORTE</v>
      </c>
      <c r="K454" s="23" t="str">
        <f>VLOOKUP(C454,'[1]1.CUADRO RESUMEN DE SITIOS '!$C$5:$L$1052,9,FALSE())</f>
        <v>Jason Julian Melo</v>
      </c>
      <c r="L454" s="26" t="str">
        <f>VLOOKUP(C454,'[1]1.CUADRO RESUMEN DE SITIOS '!$C$5:$L$1052,10,FALSE())</f>
        <v>Terminado</v>
      </c>
      <c r="M454" s="26">
        <v>8828119848</v>
      </c>
      <c r="N454" s="26">
        <f>VLOOKUP(M454,[1]LPU!$A$2:$G$1512,2,FALSE())</f>
        <v>157</v>
      </c>
      <c r="O454" s="26" t="str">
        <f>VLOOKUP(M454,[1]LPU!$A$2:$G$1512,3,FALSE)</f>
        <v>Reja para equipo cabinet x 2 baterías</v>
      </c>
      <c r="P454" s="26" t="str">
        <f>VLOOKUP(M454,[1]LPU!$A$2:$G$1512,4,FALSE())</f>
        <v>LOCATIVO</v>
      </c>
      <c r="Q454" s="26" t="str">
        <f>VLOOKUP(M454,[1]LPU!$A$2:$G$1512,5,FALSE())</f>
        <v>U</v>
      </c>
      <c r="R454" s="27">
        <f>VLOOKUP(M454,[1]LPU!$A$2:$G$1512,6,FALSE())</f>
        <v>415303</v>
      </c>
      <c r="S454" s="27" t="str">
        <f>VLOOKUP(M454,[1]LPU!$A$2:$G$1512,7,FALSE())</f>
        <v>LPU FLM</v>
      </c>
      <c r="T454" s="28">
        <v>1</v>
      </c>
      <c r="U454" s="29">
        <f t="shared" si="7"/>
        <v>415303</v>
      </c>
      <c r="V454" s="29" t="s">
        <v>77</v>
      </c>
      <c r="W454" s="30"/>
      <c r="X454" s="29" t="s">
        <v>254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21" customHeight="1" x14ac:dyDescent="0.3">
      <c r="A455" s="22">
        <v>451</v>
      </c>
      <c r="B455" s="23">
        <v>1</v>
      </c>
      <c r="C455" s="23" t="s">
        <v>255</v>
      </c>
      <c r="D455" s="23" t="str">
        <f>VLOOKUP(C455,'[1]1.CUADRO RESUMEN DE SITIOS '!$C$5:$L$1052,2,FALSE())</f>
        <v>BTA_01889</v>
      </c>
      <c r="E455" s="24">
        <f>VLOOKUP(C455,'[1]1.CUADRO RESUMEN DE SITIOS '!$C$5:$L$1052,3,FALSE())</f>
        <v>45927</v>
      </c>
      <c r="F455" s="23">
        <f>VLOOKUP(C455,'[1]1.CUADRO RESUMEN DE SITIOS '!$C$5:$L$1052,4,FALSE())</f>
        <v>4.7868899999999996</v>
      </c>
      <c r="G455" s="23">
        <f>VLOOKUP(C455,'[1]1.CUADRO RESUMEN DE SITIOS '!$C$5:$L$1052,5,FALSE())</f>
        <v>-74.027799999999999</v>
      </c>
      <c r="H455" s="23" t="str">
        <f>VLOOKUP(C455,'[1]1.CUADRO RESUMEN DE SITIOS '!$C$5:$L$1052,6,FALSE())</f>
        <v>Cundinamarca</v>
      </c>
      <c r="I455" s="23" t="str">
        <f>VLOOKUP(C455,'[1]1.CUADRO RESUMEN DE SITIOS '!$C$5:$L$1052,7,FALSE())</f>
        <v>WOM</v>
      </c>
      <c r="J455" s="25" t="str">
        <f>VLOOKUP(C455,'[1]1.CUADRO RESUMEN DE SITIOS '!$C$5:$L$1052,8,FALSE())</f>
        <v>CENTRO SUR/ NORTE</v>
      </c>
      <c r="K455" s="23" t="str">
        <f>VLOOKUP(C455,'[1]1.CUADRO RESUMEN DE SITIOS '!$C$5:$L$1052,9,FALSE())</f>
        <v>Jason Julian Melo</v>
      </c>
      <c r="L455" s="26" t="str">
        <f>VLOOKUP(C455,'[1]1.CUADRO RESUMEN DE SITIOS '!$C$5:$L$1052,10,FALSE())</f>
        <v>Terminado</v>
      </c>
      <c r="M455" s="26">
        <v>8828119045</v>
      </c>
      <c r="N455" s="26">
        <f>VLOOKUP(M455,[1]LPU!$A$2:$G$1512,2,FALSE())</f>
        <v>5.29</v>
      </c>
      <c r="O455" s="26" t="str">
        <f>VLOOKUP(M455,[1]LPU!$A$2:$G$1512,3,FALSE)</f>
        <v>Suministro e instalación de estructura metálica en acero galvanizado para refuerzo, soportes, bases y adecuaciones en general.</v>
      </c>
      <c r="P455" s="26" t="str">
        <f>VLOOKUP(M455,[1]LPU!$A$2:$G$1512,4,FALSE())</f>
        <v>Mantenimiento CW</v>
      </c>
      <c r="Q455" s="26" t="str">
        <f>VLOOKUP(M455,[1]LPU!$A$2:$G$1512,5,FALSE())</f>
        <v>Kg</v>
      </c>
      <c r="R455" s="27">
        <f>VLOOKUP(M455,[1]LPU!$A$2:$G$1512,6,FALSE())</f>
        <v>12911.5</v>
      </c>
      <c r="S455" s="27" t="str">
        <f>VLOOKUP(M455,[1]LPU!$A$2:$G$1512,7,FALSE())</f>
        <v>Mantenimiento CW</v>
      </c>
      <c r="T455" s="28">
        <v>20</v>
      </c>
      <c r="U455" s="29">
        <f t="shared" si="7"/>
        <v>258230</v>
      </c>
      <c r="V455" s="29" t="s">
        <v>77</v>
      </c>
      <c r="W455" s="30"/>
      <c r="X455" s="29" t="s">
        <v>254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21" customHeight="1" x14ac:dyDescent="0.3">
      <c r="A456" s="22">
        <v>452</v>
      </c>
      <c r="B456" s="23">
        <v>1</v>
      </c>
      <c r="C456" s="23" t="s">
        <v>255</v>
      </c>
      <c r="D456" s="23" t="str">
        <f>VLOOKUP(C456,'[1]1.CUADRO RESUMEN DE SITIOS '!$C$5:$L$1052,2,FALSE())</f>
        <v>BTA_01889</v>
      </c>
      <c r="E456" s="24">
        <f>VLOOKUP(C456,'[1]1.CUADRO RESUMEN DE SITIOS '!$C$5:$L$1052,3,FALSE())</f>
        <v>45927</v>
      </c>
      <c r="F456" s="23">
        <f>VLOOKUP(C456,'[1]1.CUADRO RESUMEN DE SITIOS '!$C$5:$L$1052,4,FALSE())</f>
        <v>4.7868899999999996</v>
      </c>
      <c r="G456" s="23">
        <f>VLOOKUP(C456,'[1]1.CUADRO RESUMEN DE SITIOS '!$C$5:$L$1052,5,FALSE())</f>
        <v>-74.027799999999999</v>
      </c>
      <c r="H456" s="23" t="str">
        <f>VLOOKUP(C456,'[1]1.CUADRO RESUMEN DE SITIOS '!$C$5:$L$1052,6,FALSE())</f>
        <v>Cundinamarca</v>
      </c>
      <c r="I456" s="23" t="str">
        <f>VLOOKUP(C456,'[1]1.CUADRO RESUMEN DE SITIOS '!$C$5:$L$1052,7,FALSE())</f>
        <v>WOM</v>
      </c>
      <c r="J456" s="25" t="str">
        <f>VLOOKUP(C456,'[1]1.CUADRO RESUMEN DE SITIOS '!$C$5:$L$1052,8,FALSE())</f>
        <v>CENTRO SUR/ NORTE</v>
      </c>
      <c r="K456" s="23" t="str">
        <f>VLOOKUP(C456,'[1]1.CUADRO RESUMEN DE SITIOS '!$C$5:$L$1052,9,FALSE())</f>
        <v>Jason Julian Melo</v>
      </c>
      <c r="L456" s="26" t="str">
        <f>VLOOKUP(C456,'[1]1.CUADRO RESUMEN DE SITIOS '!$C$5:$L$1052,10,FALSE())</f>
        <v>Terminado</v>
      </c>
      <c r="M456" s="26">
        <v>8828119921</v>
      </c>
      <c r="N456" s="26">
        <f>VLOOKUP(M456,[1]LPU!$A$2:$G$1512,2,FALSE())</f>
        <v>163</v>
      </c>
      <c r="O456" s="26" t="str">
        <f>VLOOKUP(M456,[1]LPU!$A$2:$G$1512,3,FALSE)</f>
        <v>Tansporte tipo A, ciudad principal y área metropolitana</v>
      </c>
      <c r="P456" s="26" t="str">
        <f>VLOOKUP(M456,[1]LPU!$A$2:$G$1512,4,FALSE())</f>
        <v>LOCATIVO</v>
      </c>
      <c r="Q456" s="26" t="str">
        <f>VLOOKUP(M456,[1]LPU!$A$2:$G$1512,5,FALSE())</f>
        <v>Global</v>
      </c>
      <c r="R456" s="27">
        <f>VLOOKUP(M456,[1]LPU!$A$2:$G$1512,6,FALSE())</f>
        <v>133571.54999999999</v>
      </c>
      <c r="S456" s="27" t="str">
        <f>VLOOKUP(M456,[1]LPU!$A$2:$G$1512,7,FALSE())</f>
        <v>LPU FLM</v>
      </c>
      <c r="T456" s="28">
        <v>1</v>
      </c>
      <c r="U456" s="29">
        <f t="shared" si="7"/>
        <v>133571.54999999999</v>
      </c>
      <c r="V456" s="29" t="s">
        <v>77</v>
      </c>
      <c r="W456" s="30"/>
      <c r="X456" s="29" t="s">
        <v>254</v>
      </c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21" customHeight="1" x14ac:dyDescent="0.3">
      <c r="A457" s="22">
        <v>453</v>
      </c>
      <c r="B457" s="23">
        <v>1</v>
      </c>
      <c r="C457" s="23" t="s">
        <v>255</v>
      </c>
      <c r="D457" s="23" t="str">
        <f>VLOOKUP(C457,'[1]1.CUADRO RESUMEN DE SITIOS '!$C$5:$L$1052,2,FALSE())</f>
        <v>BTA_01889</v>
      </c>
      <c r="E457" s="24">
        <f>VLOOKUP(C457,'[1]1.CUADRO RESUMEN DE SITIOS '!$C$5:$L$1052,3,FALSE())</f>
        <v>45927</v>
      </c>
      <c r="F457" s="23">
        <f>VLOOKUP(C457,'[1]1.CUADRO RESUMEN DE SITIOS '!$C$5:$L$1052,4,FALSE())</f>
        <v>4.7868899999999996</v>
      </c>
      <c r="G457" s="23">
        <f>VLOOKUP(C457,'[1]1.CUADRO RESUMEN DE SITIOS '!$C$5:$L$1052,5,FALSE())</f>
        <v>-74.027799999999999</v>
      </c>
      <c r="H457" s="23" t="str">
        <f>VLOOKUP(C457,'[1]1.CUADRO RESUMEN DE SITIOS '!$C$5:$L$1052,6,FALSE())</f>
        <v>Cundinamarca</v>
      </c>
      <c r="I457" s="23" t="str">
        <f>VLOOKUP(C457,'[1]1.CUADRO RESUMEN DE SITIOS '!$C$5:$L$1052,7,FALSE())</f>
        <v>WOM</v>
      </c>
      <c r="J457" s="25" t="str">
        <f>VLOOKUP(C457,'[1]1.CUADRO RESUMEN DE SITIOS '!$C$5:$L$1052,8,FALSE())</f>
        <v>CENTRO SUR/ NORTE</v>
      </c>
      <c r="K457" s="23" t="str">
        <f>VLOOKUP(C457,'[1]1.CUADRO RESUMEN DE SITIOS '!$C$5:$L$1052,9,FALSE())</f>
        <v>Jason Julian Melo</v>
      </c>
      <c r="L457" s="26" t="str">
        <f>VLOOKUP(C457,'[1]1.CUADRO RESUMEN DE SITIOS '!$C$5:$L$1052,10,FALSE())</f>
        <v>Terminado</v>
      </c>
      <c r="M457" s="26">
        <v>8828119110</v>
      </c>
      <c r="N457" s="26">
        <f>VLOOKUP(M457,[1]LPU!$A$2:$G$1512,2,FALSE())</f>
        <v>107</v>
      </c>
      <c r="O457" s="26" t="str">
        <f>VLOOKUP(M457,[1]LPU!$A$2:$G$1512,3,FALSE)</f>
        <v>Mano de Obra Tecnico Electricista Certficado CONTE</v>
      </c>
      <c r="P457" s="26" t="str">
        <f>VLOOKUP(M457,[1]LPU!$A$2:$G$1512,4,FALSE())</f>
        <v>ENERGÍA</v>
      </c>
      <c r="Q457" s="26" t="str">
        <f>VLOOKUP(M457,[1]LPU!$A$2:$G$1512,5,FALSE())</f>
        <v>DIA</v>
      </c>
      <c r="R457" s="27">
        <f>VLOOKUP(M457,[1]LPU!$A$2:$G$1512,6,FALSE())</f>
        <v>136000</v>
      </c>
      <c r="S457" s="27" t="str">
        <f>VLOOKUP(M457,[1]LPU!$A$2:$G$1512,7,FALSE())</f>
        <v>LPU FLM</v>
      </c>
      <c r="T457" s="28">
        <v>2</v>
      </c>
      <c r="U457" s="29">
        <f t="shared" si="7"/>
        <v>272000</v>
      </c>
      <c r="V457" s="29" t="s">
        <v>77</v>
      </c>
      <c r="W457" s="30"/>
      <c r="X457" s="29" t="s">
        <v>254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21" customHeight="1" x14ac:dyDescent="0.3">
      <c r="A458" s="22">
        <v>454</v>
      </c>
      <c r="B458" s="23">
        <v>1</v>
      </c>
      <c r="C458" s="23" t="s">
        <v>256</v>
      </c>
      <c r="D458" s="23" t="str">
        <f>VLOOKUP(C458,'[1]1.CUADRO RESUMEN DE SITIOS '!$C$5:$L$1052,2,FALSE())</f>
        <v>VAL_05690</v>
      </c>
      <c r="E458" s="24">
        <f>VLOOKUP(C458,'[1]1.CUADRO RESUMEN DE SITIOS '!$C$5:$L$1052,3,FALSE())</f>
        <v>45925</v>
      </c>
      <c r="F458" s="23">
        <f>VLOOKUP(C458,'[1]1.CUADRO RESUMEN DE SITIOS '!$C$5:$L$1052,4,FALSE())</f>
        <v>3.8784999999999998</v>
      </c>
      <c r="G458" s="23">
        <f>VLOOKUP(C458,'[1]1.CUADRO RESUMEN DE SITIOS '!$C$5:$L$1052,5,FALSE())</f>
        <v>-77.009299999999996</v>
      </c>
      <c r="H458" s="23" t="str">
        <f>VLOOKUP(C458,'[1]1.CUADRO RESUMEN DE SITIOS '!$C$5:$L$1052,6,FALSE())</f>
        <v>Valle Del Cauca</v>
      </c>
      <c r="I458" s="23" t="str">
        <f>VLOOKUP(C458,'[1]1.CUADRO RESUMEN DE SITIOS '!$C$5:$L$1052,7,FALSE())</f>
        <v>WOM</v>
      </c>
      <c r="J458" s="25" t="str">
        <f>VLOOKUP(C458,'[1]1.CUADRO RESUMEN DE SITIOS '!$C$5:$L$1052,8,FALSE())</f>
        <v>SUROCCIDENTE</v>
      </c>
      <c r="K458" s="23">
        <f>VLOOKUP(C458,'[1]1.CUADRO RESUMEN DE SITIOS '!$C$5:$L$1052,9,FALSE())</f>
        <v>0</v>
      </c>
      <c r="L458" s="26" t="str">
        <f>VLOOKUP(C458,'[1]1.CUADRO RESUMEN DE SITIOS '!$C$5:$L$1052,10,FALSE())</f>
        <v>Terminado</v>
      </c>
      <c r="M458" s="26">
        <v>8828119492</v>
      </c>
      <c r="N458" s="26">
        <f>VLOOKUP(M458,[1]LPU!$A$2:$G$1512,2,FALSE())</f>
        <v>53</v>
      </c>
      <c r="O458" s="26" t="str">
        <f>VLOOKUP(M458,[1]LPU!$A$2:$G$1512,3,FALSE)</f>
        <v>Instalación Banco de Baterias para Rectificadores - Aplica para ampliaciones.</v>
      </c>
      <c r="P458" s="26" t="str">
        <f>VLOOKUP(M458,[1]LPU!$A$2:$G$1512,4,FALSE())</f>
        <v>ENERGÍA</v>
      </c>
      <c r="Q458" s="26" t="str">
        <f>VLOOKUP(M458,[1]LPU!$A$2:$G$1512,5,FALSE())</f>
        <v>U</v>
      </c>
      <c r="R458" s="27">
        <f>VLOOKUP(M458,[1]LPU!$A$2:$G$1512,6,FALSE())</f>
        <v>102340</v>
      </c>
      <c r="S458" s="27" t="str">
        <f>VLOOKUP(M458,[1]LPU!$A$2:$G$1512,7,FALSE())</f>
        <v>LPU FLM</v>
      </c>
      <c r="T458" s="28">
        <v>1</v>
      </c>
      <c r="U458" s="29">
        <f t="shared" si="7"/>
        <v>102340</v>
      </c>
      <c r="V458" s="29" t="s">
        <v>77</v>
      </c>
      <c r="W458" s="30"/>
      <c r="X458" s="29" t="s">
        <v>254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21" customHeight="1" x14ac:dyDescent="0.3">
      <c r="A459" s="22">
        <v>455</v>
      </c>
      <c r="B459" s="23">
        <v>1</v>
      </c>
      <c r="C459" s="23" t="s">
        <v>256</v>
      </c>
      <c r="D459" s="23" t="str">
        <f>VLOOKUP(C459,'[1]1.CUADRO RESUMEN DE SITIOS '!$C$5:$L$1052,2,FALSE())</f>
        <v>VAL_05690</v>
      </c>
      <c r="E459" s="24">
        <f>VLOOKUP(C459,'[1]1.CUADRO RESUMEN DE SITIOS '!$C$5:$L$1052,3,FALSE())</f>
        <v>45925</v>
      </c>
      <c r="F459" s="23">
        <f>VLOOKUP(C459,'[1]1.CUADRO RESUMEN DE SITIOS '!$C$5:$L$1052,4,FALSE())</f>
        <v>3.8784999999999998</v>
      </c>
      <c r="G459" s="23">
        <f>VLOOKUP(C459,'[1]1.CUADRO RESUMEN DE SITIOS '!$C$5:$L$1052,5,FALSE())</f>
        <v>-77.009299999999996</v>
      </c>
      <c r="H459" s="23" t="str">
        <f>VLOOKUP(C459,'[1]1.CUADRO RESUMEN DE SITIOS '!$C$5:$L$1052,6,FALSE())</f>
        <v>Valle Del Cauca</v>
      </c>
      <c r="I459" s="23" t="str">
        <f>VLOOKUP(C459,'[1]1.CUADRO RESUMEN DE SITIOS '!$C$5:$L$1052,7,FALSE())</f>
        <v>WOM</v>
      </c>
      <c r="J459" s="25" t="str">
        <f>VLOOKUP(C459,'[1]1.CUADRO RESUMEN DE SITIOS '!$C$5:$L$1052,8,FALSE())</f>
        <v>SUROCCIDENTE</v>
      </c>
      <c r="K459" s="23">
        <f>VLOOKUP(C459,'[1]1.CUADRO RESUMEN DE SITIOS '!$C$5:$L$1052,9,FALSE())</f>
        <v>0</v>
      </c>
      <c r="L459" s="26" t="str">
        <f>VLOOKUP(C459,'[1]1.CUADRO RESUMEN DE SITIOS '!$C$5:$L$1052,10,FALSE())</f>
        <v>Terminado</v>
      </c>
      <c r="M459" s="26">
        <v>8828119512</v>
      </c>
      <c r="N459" s="26">
        <f>VLOOKUP(M459,[1]LPU!$A$2:$G$1512,2,FALSE())</f>
        <v>55</v>
      </c>
      <c r="O459" s="26" t="str">
        <f>VLOOKUP(M459,[1]LPU!$A$2:$G$1512,3,FALSE)</f>
        <v>Transporte Banco de Baterias</v>
      </c>
      <c r="P459" s="26" t="str">
        <f>VLOOKUP(M459,[1]LPU!$A$2:$G$1512,4,FALSE())</f>
        <v>ENERGÍA</v>
      </c>
      <c r="Q459" s="26" t="str">
        <f>VLOOKUP(M459,[1]LPU!$A$2:$G$1512,5,FALSE())</f>
        <v>U</v>
      </c>
      <c r="R459" s="27">
        <f>VLOOKUP(M459,[1]LPU!$A$2:$G$1512,6,FALSE())</f>
        <v>82212</v>
      </c>
      <c r="S459" s="27" t="str">
        <f>VLOOKUP(M459,[1]LPU!$A$2:$G$1512,7,FALSE())</f>
        <v>LPU FLM</v>
      </c>
      <c r="T459" s="28">
        <v>1</v>
      </c>
      <c r="U459" s="29">
        <f t="shared" si="7"/>
        <v>82212</v>
      </c>
      <c r="V459" s="29" t="s">
        <v>77</v>
      </c>
      <c r="W459" s="30"/>
      <c r="X459" s="29" t="s">
        <v>254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21" customHeight="1" x14ac:dyDescent="0.3">
      <c r="A460" s="22">
        <v>456</v>
      </c>
      <c r="B460" s="23">
        <v>1</v>
      </c>
      <c r="C460" s="23" t="s">
        <v>256</v>
      </c>
      <c r="D460" s="23" t="str">
        <f>VLOOKUP(C460,'[1]1.CUADRO RESUMEN DE SITIOS '!$C$5:$L$1052,2,FALSE())</f>
        <v>VAL_05690</v>
      </c>
      <c r="E460" s="24">
        <f>VLOOKUP(C460,'[1]1.CUADRO RESUMEN DE SITIOS '!$C$5:$L$1052,3,FALSE())</f>
        <v>45925</v>
      </c>
      <c r="F460" s="23">
        <f>VLOOKUP(C460,'[1]1.CUADRO RESUMEN DE SITIOS '!$C$5:$L$1052,4,FALSE())</f>
        <v>3.8784999999999998</v>
      </c>
      <c r="G460" s="23">
        <f>VLOOKUP(C460,'[1]1.CUADRO RESUMEN DE SITIOS '!$C$5:$L$1052,5,FALSE())</f>
        <v>-77.009299999999996</v>
      </c>
      <c r="H460" s="23" t="str">
        <f>VLOOKUP(C460,'[1]1.CUADRO RESUMEN DE SITIOS '!$C$5:$L$1052,6,FALSE())</f>
        <v>Valle Del Cauca</v>
      </c>
      <c r="I460" s="23" t="str">
        <f>VLOOKUP(C460,'[1]1.CUADRO RESUMEN DE SITIOS '!$C$5:$L$1052,7,FALSE())</f>
        <v>WOM</v>
      </c>
      <c r="J460" s="25" t="str">
        <f>VLOOKUP(C460,'[1]1.CUADRO RESUMEN DE SITIOS '!$C$5:$L$1052,8,FALSE())</f>
        <v>SUROCCIDENTE</v>
      </c>
      <c r="K460" s="23">
        <f>VLOOKUP(C460,'[1]1.CUADRO RESUMEN DE SITIOS '!$C$5:$L$1052,9,FALSE())</f>
        <v>0</v>
      </c>
      <c r="L460" s="26" t="str">
        <f>VLOOKUP(C460,'[1]1.CUADRO RESUMEN DE SITIOS '!$C$5:$L$1052,10,FALSE())</f>
        <v>Terminado</v>
      </c>
      <c r="M460" s="26">
        <v>8828118999</v>
      </c>
      <c r="N460" s="26">
        <f>VLOOKUP(M460,[1]LPU!$A$2:$G$1512,2,FALSE())</f>
        <v>0</v>
      </c>
      <c r="O460" s="26" t="str">
        <f>VLOOKUP(M460,[1]LPU!$A$2:$G$1512,3,FALSE)</f>
        <v>Suministro e instalación de cable UTP Categoría 6, con conectores en sus extremos, certificado</v>
      </c>
      <c r="P460" s="26" t="str">
        <f>VLOOKUP(M460,[1]LPU!$A$2:$G$1512,4,FALSE())</f>
        <v>Item Critico</v>
      </c>
      <c r="Q460" s="26" t="str">
        <f>VLOOKUP(M460,[1]LPU!$A$2:$G$1512,5,FALSE())</f>
        <v>m</v>
      </c>
      <c r="R460" s="27">
        <f>VLOOKUP(M460,[1]LPU!$A$2:$G$1512,6,FALSE())</f>
        <v>5913</v>
      </c>
      <c r="S460" s="27" t="str">
        <f>VLOOKUP(M460,[1]LPU!$A$2:$G$1512,7,FALSE())</f>
        <v>LPU FO Propia</v>
      </c>
      <c r="T460" s="28">
        <v>3</v>
      </c>
      <c r="U460" s="29">
        <f t="shared" si="7"/>
        <v>17739</v>
      </c>
      <c r="V460" s="29" t="s">
        <v>77</v>
      </c>
      <c r="W460" s="30"/>
      <c r="X460" s="29" t="s">
        <v>254</v>
      </c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21" customHeight="1" x14ac:dyDescent="0.3">
      <c r="A461" s="22">
        <v>457</v>
      </c>
      <c r="B461" s="23">
        <v>1</v>
      </c>
      <c r="C461" s="23" t="s">
        <v>256</v>
      </c>
      <c r="D461" s="23" t="str">
        <f>VLOOKUP(C461,'[1]1.CUADRO RESUMEN DE SITIOS '!$C$5:$L$1052,2,FALSE())</f>
        <v>VAL_05690</v>
      </c>
      <c r="E461" s="24">
        <f>VLOOKUP(C461,'[1]1.CUADRO RESUMEN DE SITIOS '!$C$5:$L$1052,3,FALSE())</f>
        <v>45925</v>
      </c>
      <c r="F461" s="23">
        <f>VLOOKUP(C461,'[1]1.CUADRO RESUMEN DE SITIOS '!$C$5:$L$1052,4,FALSE())</f>
        <v>3.8784999999999998</v>
      </c>
      <c r="G461" s="23">
        <f>VLOOKUP(C461,'[1]1.CUADRO RESUMEN DE SITIOS '!$C$5:$L$1052,5,FALSE())</f>
        <v>-77.009299999999996</v>
      </c>
      <c r="H461" s="48" t="str">
        <f>VLOOKUP(C461,'[1]1.CUADRO RESUMEN DE SITIOS '!$C$5:$L$1052,6,FALSE())</f>
        <v>Valle Del Cauca</v>
      </c>
      <c r="I461" s="23" t="str">
        <f>VLOOKUP(C461,'[1]1.CUADRO RESUMEN DE SITIOS '!$C$5:$L$1052,7,FALSE())</f>
        <v>WOM</v>
      </c>
      <c r="J461" s="25" t="str">
        <f>VLOOKUP(C461,'[1]1.CUADRO RESUMEN DE SITIOS '!$C$5:$L$1052,8,FALSE())</f>
        <v>SUROCCIDENTE</v>
      </c>
      <c r="K461" s="23">
        <f>VLOOKUP(C461,'[1]1.CUADRO RESUMEN DE SITIOS '!$C$5:$L$1052,9,FALSE())</f>
        <v>0</v>
      </c>
      <c r="L461" s="26" t="str">
        <f>VLOOKUP(C461,'[1]1.CUADRO RESUMEN DE SITIOS '!$C$5:$L$1052,10,FALSE())</f>
        <v>Terminado</v>
      </c>
      <c r="M461" s="26">
        <v>8828118925</v>
      </c>
      <c r="N461" s="26">
        <f>VLOOKUP(M461,[1]LPU!$A$2:$G$1512,2,FALSE())</f>
        <v>87</v>
      </c>
      <c r="O461" s="26" t="str">
        <f>VLOOKUP(M461,[1]LPU!$A$2:$G$1512,3,FALSE)</f>
        <v>Suministro e Instalacion de cable multifilar #4 awg tipo soldador.</v>
      </c>
      <c r="P461" s="26" t="str">
        <f>VLOOKUP(M461,[1]LPU!$A$2:$G$1512,4,FALSE())</f>
        <v>ENERGÍA</v>
      </c>
      <c r="Q461" s="26" t="str">
        <f>VLOOKUP(M461,[1]LPU!$A$2:$G$1512,5,FALSE())</f>
        <v>ML</v>
      </c>
      <c r="R461" s="27">
        <f>VLOOKUP(M461,[1]LPU!$A$2:$G$1512,6,FALSE())</f>
        <v>60815.8</v>
      </c>
      <c r="S461" s="27" t="str">
        <f>VLOOKUP(M461,[1]LPU!$A$2:$G$1512,7,FALSE())</f>
        <v>LPU FLM</v>
      </c>
      <c r="T461" s="28">
        <v>6</v>
      </c>
      <c r="U461" s="29">
        <f t="shared" si="7"/>
        <v>364894.80000000005</v>
      </c>
      <c r="V461" s="29" t="s">
        <v>77</v>
      </c>
      <c r="W461" s="30"/>
      <c r="X461" s="29" t="s">
        <v>254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21" customHeight="1" x14ac:dyDescent="0.3">
      <c r="A462" s="22">
        <v>458</v>
      </c>
      <c r="B462" s="23">
        <v>1</v>
      </c>
      <c r="C462" s="23" t="s">
        <v>256</v>
      </c>
      <c r="D462" s="23" t="str">
        <f>VLOOKUP(C462,'[1]1.CUADRO RESUMEN DE SITIOS '!$C$5:$L$1052,2,FALSE())</f>
        <v>VAL_05690</v>
      </c>
      <c r="E462" s="24">
        <f>VLOOKUP(C462,'[1]1.CUADRO RESUMEN DE SITIOS '!$C$5:$L$1052,3,FALSE())</f>
        <v>45925</v>
      </c>
      <c r="F462" s="23">
        <f>VLOOKUP(C462,'[1]1.CUADRO RESUMEN DE SITIOS '!$C$5:$L$1052,4,FALSE())</f>
        <v>3.8784999999999998</v>
      </c>
      <c r="G462" s="23">
        <f>VLOOKUP(C462,'[1]1.CUADRO RESUMEN DE SITIOS '!$C$5:$L$1052,5,FALSE())</f>
        <v>-77.009299999999996</v>
      </c>
      <c r="H462" s="23" t="str">
        <f>VLOOKUP(C462,'[1]1.CUADRO RESUMEN DE SITIOS '!$C$5:$L$1052,6,FALSE())</f>
        <v>Valle Del Cauca</v>
      </c>
      <c r="I462" s="23" t="str">
        <f>VLOOKUP(C462,'[1]1.CUADRO RESUMEN DE SITIOS '!$C$5:$L$1052,7,FALSE())</f>
        <v>WOM</v>
      </c>
      <c r="J462" s="25" t="str">
        <f>VLOOKUP(C462,'[1]1.CUADRO RESUMEN DE SITIOS '!$C$5:$L$1052,8,FALSE())</f>
        <v>SUROCCIDENTE</v>
      </c>
      <c r="K462" s="23">
        <f>VLOOKUP(C462,'[1]1.CUADRO RESUMEN DE SITIOS '!$C$5:$L$1052,9,FALSE())</f>
        <v>0</v>
      </c>
      <c r="L462" s="26" t="str">
        <f>VLOOKUP(C462,'[1]1.CUADRO RESUMEN DE SITIOS '!$C$5:$L$1052,10,FALSE())</f>
        <v>Terminado</v>
      </c>
      <c r="M462" s="26">
        <v>8828118868</v>
      </c>
      <c r="N462" s="26">
        <f>VLOOKUP(M462,[1]LPU!$A$2:$G$1512,2,FALSE())</f>
        <v>81</v>
      </c>
      <c r="O462" s="26" t="str">
        <f>VLOOKUP(M462,[1]LPU!$A$2:$G$1512,3,FALSE)</f>
        <v>Suministro e Instalacion de terminal para cable awg # 2 en cobre estañado un ojo</v>
      </c>
      <c r="P462" s="26" t="str">
        <f>VLOOKUP(M462,[1]LPU!$A$2:$G$1512,4,FALSE())</f>
        <v>ENERGÍA</v>
      </c>
      <c r="Q462" s="26" t="str">
        <f>VLOOKUP(M462,[1]LPU!$A$2:$G$1512,5,FALSE())</f>
        <v>U</v>
      </c>
      <c r="R462" s="27">
        <f>VLOOKUP(M462,[1]LPU!$A$2:$G$1512,6,FALSE())</f>
        <v>2347</v>
      </c>
      <c r="S462" s="27" t="str">
        <f>VLOOKUP(M462,[1]LPU!$A$2:$G$1512,7,FALSE())</f>
        <v>LPU FLM</v>
      </c>
      <c r="T462" s="28">
        <v>4</v>
      </c>
      <c r="U462" s="29">
        <f t="shared" si="7"/>
        <v>9388</v>
      </c>
      <c r="V462" s="29" t="s">
        <v>77</v>
      </c>
      <c r="W462" s="30"/>
      <c r="X462" s="29" t="s">
        <v>254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21" customHeight="1" x14ac:dyDescent="0.3">
      <c r="A463" s="22">
        <v>459</v>
      </c>
      <c r="B463" s="23">
        <v>1</v>
      </c>
      <c r="C463" s="23" t="s">
        <v>256</v>
      </c>
      <c r="D463" s="23" t="str">
        <f>VLOOKUP(C463,'[1]1.CUADRO RESUMEN DE SITIOS '!$C$5:$L$1052,2,FALSE())</f>
        <v>VAL_05690</v>
      </c>
      <c r="E463" s="24">
        <f>VLOOKUP(C463,'[1]1.CUADRO RESUMEN DE SITIOS '!$C$5:$L$1052,3,FALSE())</f>
        <v>45925</v>
      </c>
      <c r="F463" s="23">
        <f>VLOOKUP(C463,'[1]1.CUADRO RESUMEN DE SITIOS '!$C$5:$L$1052,4,FALSE())</f>
        <v>3.8784999999999998</v>
      </c>
      <c r="G463" s="23">
        <f>VLOOKUP(C463,'[1]1.CUADRO RESUMEN DE SITIOS '!$C$5:$L$1052,5,FALSE())</f>
        <v>-77.009299999999996</v>
      </c>
      <c r="H463" s="23" t="str">
        <f>VLOOKUP(C463,'[1]1.CUADRO RESUMEN DE SITIOS '!$C$5:$L$1052,6,FALSE())</f>
        <v>Valle Del Cauca</v>
      </c>
      <c r="I463" s="23" t="str">
        <f>VLOOKUP(C463,'[1]1.CUADRO RESUMEN DE SITIOS '!$C$5:$L$1052,7,FALSE())</f>
        <v>WOM</v>
      </c>
      <c r="J463" s="25" t="str">
        <f>VLOOKUP(C463,'[1]1.CUADRO RESUMEN DE SITIOS '!$C$5:$L$1052,8,FALSE())</f>
        <v>SUROCCIDENTE</v>
      </c>
      <c r="K463" s="23">
        <f>VLOOKUP(C463,'[1]1.CUADRO RESUMEN DE SITIOS '!$C$5:$L$1052,9,FALSE())</f>
        <v>0</v>
      </c>
      <c r="L463" s="26" t="str">
        <f>VLOOKUP(C463,'[1]1.CUADRO RESUMEN DE SITIOS '!$C$5:$L$1052,10,FALSE())</f>
        <v>Terminado</v>
      </c>
      <c r="M463" s="26">
        <v>8828119980</v>
      </c>
      <c r="N463" s="26">
        <f>VLOOKUP(M463,[1]LPU!$A$2:$G$1512,2,FALSE())</f>
        <v>169</v>
      </c>
      <c r="O463" s="26" t="str">
        <f>VLOOKUP(M463,[1]LPU!$A$2:$G$1512,3,FALSE)</f>
        <v>Reforzamiento Protección Concreto para Rack de Baterías Incluye Materiales</v>
      </c>
      <c r="P463" s="26" t="str">
        <f>VLOOKUP(M463,[1]LPU!$A$2:$G$1512,4,FALSE())</f>
        <v>LOCATIVO</v>
      </c>
      <c r="Q463" s="26" t="str">
        <f>VLOOKUP(M463,[1]LPU!$A$2:$G$1512,5,FALSE())</f>
        <v>U</v>
      </c>
      <c r="R463" s="27">
        <f>VLOOKUP(M463,[1]LPU!$A$2:$G$1512,6,FALSE())</f>
        <v>114750</v>
      </c>
      <c r="S463" s="27" t="str">
        <f>VLOOKUP(M463,[1]LPU!$A$2:$G$1512,7,FALSE())</f>
        <v>LPU FLM</v>
      </c>
      <c r="T463" s="28">
        <v>1</v>
      </c>
      <c r="U463" s="29">
        <f t="shared" si="7"/>
        <v>114750</v>
      </c>
      <c r="V463" s="29" t="s">
        <v>77</v>
      </c>
      <c r="W463" s="30"/>
      <c r="X463" s="29" t="s">
        <v>254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21" customHeight="1" x14ac:dyDescent="0.3">
      <c r="A464" s="22">
        <v>460</v>
      </c>
      <c r="B464" s="23">
        <v>1</v>
      </c>
      <c r="C464" s="23" t="s">
        <v>256</v>
      </c>
      <c r="D464" s="23" t="str">
        <f>VLOOKUP(C464,'[1]1.CUADRO RESUMEN DE SITIOS '!$C$5:$L$1052,2,FALSE())</f>
        <v>VAL_05690</v>
      </c>
      <c r="E464" s="24">
        <f>VLOOKUP(C464,'[1]1.CUADRO RESUMEN DE SITIOS '!$C$5:$L$1052,3,FALSE())</f>
        <v>45925</v>
      </c>
      <c r="F464" s="23">
        <f>VLOOKUP(C464,'[1]1.CUADRO RESUMEN DE SITIOS '!$C$5:$L$1052,4,FALSE())</f>
        <v>3.8784999999999998</v>
      </c>
      <c r="G464" s="23">
        <f>VLOOKUP(C464,'[1]1.CUADRO RESUMEN DE SITIOS '!$C$5:$L$1052,5,FALSE())</f>
        <v>-77.009299999999996</v>
      </c>
      <c r="H464" s="23" t="str">
        <f>VLOOKUP(C464,'[1]1.CUADRO RESUMEN DE SITIOS '!$C$5:$L$1052,6,FALSE())</f>
        <v>Valle Del Cauca</v>
      </c>
      <c r="I464" s="23" t="str">
        <f>VLOOKUP(C464,'[1]1.CUADRO RESUMEN DE SITIOS '!$C$5:$L$1052,7,FALSE())</f>
        <v>WOM</v>
      </c>
      <c r="J464" s="25" t="str">
        <f>VLOOKUP(C464,'[1]1.CUADRO RESUMEN DE SITIOS '!$C$5:$L$1052,8,FALSE())</f>
        <v>SUROCCIDENTE</v>
      </c>
      <c r="K464" s="23">
        <f>VLOOKUP(C464,'[1]1.CUADRO RESUMEN DE SITIOS '!$C$5:$L$1052,9,FALSE())</f>
        <v>0</v>
      </c>
      <c r="L464" s="26" t="str">
        <f>VLOOKUP(C464,'[1]1.CUADRO RESUMEN DE SITIOS '!$C$5:$L$1052,10,FALSE())</f>
        <v>Terminado</v>
      </c>
      <c r="M464" s="26">
        <v>8828119867</v>
      </c>
      <c r="N464" s="26">
        <f>VLOOKUP(M464,[1]LPU!$A$2:$G$1512,2,FALSE())</f>
        <v>158</v>
      </c>
      <c r="O464" s="26" t="str">
        <f>VLOOKUP(M464,[1]LPU!$A$2:$G$1512,3,FALSE)</f>
        <v>Reja para equipo cabinet x 4 baterías</v>
      </c>
      <c r="P464" s="26" t="str">
        <f>VLOOKUP(M464,[1]LPU!$A$2:$G$1512,4,FALSE())</f>
        <v>LOCATIVO</v>
      </c>
      <c r="Q464" s="26" t="str">
        <f>VLOOKUP(M464,[1]LPU!$A$2:$G$1512,5,FALSE())</f>
        <v>U</v>
      </c>
      <c r="R464" s="27">
        <f>VLOOKUP(M464,[1]LPU!$A$2:$G$1512,6,FALSE())</f>
        <v>489135</v>
      </c>
      <c r="S464" s="27" t="str">
        <f>VLOOKUP(M464,[1]LPU!$A$2:$G$1512,7,FALSE())</f>
        <v>LPU FLM</v>
      </c>
      <c r="T464" s="28">
        <v>1</v>
      </c>
      <c r="U464" s="29">
        <f t="shared" si="7"/>
        <v>489135</v>
      </c>
      <c r="V464" s="29" t="s">
        <v>77</v>
      </c>
      <c r="W464" s="30"/>
      <c r="X464" s="29" t="s">
        <v>254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21" customHeight="1" x14ac:dyDescent="0.3">
      <c r="A465" s="22">
        <v>461</v>
      </c>
      <c r="B465" s="23">
        <v>1</v>
      </c>
      <c r="C465" s="23" t="s">
        <v>256</v>
      </c>
      <c r="D465" s="23" t="str">
        <f>VLOOKUP(C465,'[1]1.CUADRO RESUMEN DE SITIOS '!$C$5:$L$1052,2,FALSE())</f>
        <v>VAL_05690</v>
      </c>
      <c r="E465" s="24">
        <f>VLOOKUP(C465,'[1]1.CUADRO RESUMEN DE SITIOS '!$C$5:$L$1052,3,FALSE())</f>
        <v>45925</v>
      </c>
      <c r="F465" s="23">
        <f>VLOOKUP(C465,'[1]1.CUADRO RESUMEN DE SITIOS '!$C$5:$L$1052,4,FALSE())</f>
        <v>3.8784999999999998</v>
      </c>
      <c r="G465" s="23">
        <f>VLOOKUP(C465,'[1]1.CUADRO RESUMEN DE SITIOS '!$C$5:$L$1052,5,FALSE())</f>
        <v>-77.009299999999996</v>
      </c>
      <c r="H465" s="23" t="str">
        <f>VLOOKUP(C465,'[1]1.CUADRO RESUMEN DE SITIOS '!$C$5:$L$1052,6,FALSE())</f>
        <v>Valle Del Cauca</v>
      </c>
      <c r="I465" s="23" t="str">
        <f>VLOOKUP(C465,'[1]1.CUADRO RESUMEN DE SITIOS '!$C$5:$L$1052,7,FALSE())</f>
        <v>WOM</v>
      </c>
      <c r="J465" s="25" t="str">
        <f>VLOOKUP(C465,'[1]1.CUADRO RESUMEN DE SITIOS '!$C$5:$L$1052,8,FALSE())</f>
        <v>SUROCCIDENTE</v>
      </c>
      <c r="K465" s="23">
        <f>VLOOKUP(C465,'[1]1.CUADRO RESUMEN DE SITIOS '!$C$5:$L$1052,9,FALSE())</f>
        <v>0</v>
      </c>
      <c r="L465" s="26" t="str">
        <f>VLOOKUP(C465,'[1]1.CUADRO RESUMEN DE SITIOS '!$C$5:$L$1052,10,FALSE())</f>
        <v>Terminado</v>
      </c>
      <c r="M465" s="26">
        <v>8828119045</v>
      </c>
      <c r="N465" s="26">
        <f>VLOOKUP(M465,[1]LPU!$A$2:$G$1512,2,FALSE())</f>
        <v>5.29</v>
      </c>
      <c r="O465" s="26" t="str">
        <f>VLOOKUP(M465,[1]LPU!$A$2:$G$1512,3,FALSE)</f>
        <v>Suministro e instalación de estructura metálica en acero galvanizado para refuerzo, soportes, bases y adecuaciones en general.</v>
      </c>
      <c r="P465" s="26" t="str">
        <f>VLOOKUP(M465,[1]LPU!$A$2:$G$1512,4,FALSE())</f>
        <v>Mantenimiento CW</v>
      </c>
      <c r="Q465" s="26" t="str">
        <f>VLOOKUP(M465,[1]LPU!$A$2:$G$1512,5,FALSE())</f>
        <v>Kg</v>
      </c>
      <c r="R465" s="27">
        <f>VLOOKUP(M465,[1]LPU!$A$2:$G$1512,6,FALSE())</f>
        <v>12911.5</v>
      </c>
      <c r="S465" s="27" t="str">
        <f>VLOOKUP(M465,[1]LPU!$A$2:$G$1512,7,FALSE())</f>
        <v>Mantenimiento CW</v>
      </c>
      <c r="T465" s="28">
        <v>30</v>
      </c>
      <c r="U465" s="29">
        <f t="shared" si="7"/>
        <v>387345</v>
      </c>
      <c r="V465" s="29" t="s">
        <v>77</v>
      </c>
      <c r="W465" s="30"/>
      <c r="X465" s="29" t="s">
        <v>254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21" customHeight="1" x14ac:dyDescent="0.3">
      <c r="A466" s="22">
        <v>462</v>
      </c>
      <c r="B466" s="23">
        <v>1</v>
      </c>
      <c r="C466" s="23" t="s">
        <v>256</v>
      </c>
      <c r="D466" s="23" t="str">
        <f>VLOOKUP(C466,'[1]1.CUADRO RESUMEN DE SITIOS '!$C$5:$L$1052,2,FALSE())</f>
        <v>VAL_05690</v>
      </c>
      <c r="E466" s="24">
        <f>VLOOKUP(C466,'[1]1.CUADRO RESUMEN DE SITIOS '!$C$5:$L$1052,3,FALSE())</f>
        <v>45925</v>
      </c>
      <c r="F466" s="23">
        <f>VLOOKUP(C466,'[1]1.CUADRO RESUMEN DE SITIOS '!$C$5:$L$1052,4,FALSE())</f>
        <v>3.8784999999999998</v>
      </c>
      <c r="G466" s="23">
        <f>VLOOKUP(C466,'[1]1.CUADRO RESUMEN DE SITIOS '!$C$5:$L$1052,5,FALSE())</f>
        <v>-77.009299999999996</v>
      </c>
      <c r="H466" s="23" t="str">
        <f>VLOOKUP(C466,'[1]1.CUADRO RESUMEN DE SITIOS '!$C$5:$L$1052,6,FALSE())</f>
        <v>Valle Del Cauca</v>
      </c>
      <c r="I466" s="23" t="str">
        <f>VLOOKUP(C466,'[1]1.CUADRO RESUMEN DE SITIOS '!$C$5:$L$1052,7,FALSE())</f>
        <v>WOM</v>
      </c>
      <c r="J466" s="25" t="str">
        <f>VLOOKUP(C466,'[1]1.CUADRO RESUMEN DE SITIOS '!$C$5:$L$1052,8,FALSE())</f>
        <v>SUROCCIDENTE</v>
      </c>
      <c r="K466" s="23">
        <f>VLOOKUP(C466,'[1]1.CUADRO RESUMEN DE SITIOS '!$C$5:$L$1052,9,FALSE())</f>
        <v>0</v>
      </c>
      <c r="L466" s="26" t="str">
        <f>VLOOKUP(C466,'[1]1.CUADRO RESUMEN DE SITIOS '!$C$5:$L$1052,10,FALSE())</f>
        <v>Terminado</v>
      </c>
      <c r="M466" s="26">
        <v>8828119941</v>
      </c>
      <c r="N466" s="26">
        <f>VLOOKUP(M466,[1]LPU!$A$2:$G$1512,2,FALSE())</f>
        <v>165</v>
      </c>
      <c r="O466" s="26" t="str">
        <f>VLOOKUP(M466,[1]LPU!$A$2:$G$1512,3,FALSE)</f>
        <v>Transporte tipo C, zona de dificil acceso</v>
      </c>
      <c r="P466" s="26" t="str">
        <f>VLOOKUP(M466,[1]LPU!$A$2:$G$1512,4,FALSE())</f>
        <v>LOCATIVO</v>
      </c>
      <c r="Q466" s="26" t="str">
        <f>VLOOKUP(M466,[1]LPU!$A$2:$G$1512,5,FALSE())</f>
        <v>Global</v>
      </c>
      <c r="R466" s="27">
        <f>VLOOKUP(M466,[1]LPU!$A$2:$G$1512,6,FALSE())</f>
        <v>388801.05</v>
      </c>
      <c r="S466" s="27" t="str">
        <f>VLOOKUP(M466,[1]LPU!$A$2:$G$1512,7,FALSE())</f>
        <v>LPU FLM</v>
      </c>
      <c r="T466" s="28">
        <v>1</v>
      </c>
      <c r="U466" s="29">
        <f t="shared" si="7"/>
        <v>388801.05</v>
      </c>
      <c r="V466" s="29" t="s">
        <v>77</v>
      </c>
      <c r="W466" s="30"/>
      <c r="X466" s="29" t="s">
        <v>254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21" customHeight="1" x14ac:dyDescent="0.3">
      <c r="A467" s="22">
        <v>463</v>
      </c>
      <c r="B467" s="23">
        <v>1</v>
      </c>
      <c r="C467" s="23" t="s">
        <v>256</v>
      </c>
      <c r="D467" s="23" t="str">
        <f>VLOOKUP(C467,'[1]1.CUADRO RESUMEN DE SITIOS '!$C$5:$L$1052,2,FALSE())</f>
        <v>VAL_05690</v>
      </c>
      <c r="E467" s="24">
        <f>VLOOKUP(C467,'[1]1.CUADRO RESUMEN DE SITIOS '!$C$5:$L$1052,3,FALSE())</f>
        <v>45925</v>
      </c>
      <c r="F467" s="23">
        <f>VLOOKUP(C467,'[1]1.CUADRO RESUMEN DE SITIOS '!$C$5:$L$1052,4,FALSE())</f>
        <v>3.8784999999999998</v>
      </c>
      <c r="G467" s="23">
        <f>VLOOKUP(C467,'[1]1.CUADRO RESUMEN DE SITIOS '!$C$5:$L$1052,5,FALSE())</f>
        <v>-77.009299999999996</v>
      </c>
      <c r="H467" s="23" t="str">
        <f>VLOOKUP(C467,'[1]1.CUADRO RESUMEN DE SITIOS '!$C$5:$L$1052,6,FALSE())</f>
        <v>Valle Del Cauca</v>
      </c>
      <c r="I467" s="23" t="str">
        <f>VLOOKUP(C467,'[1]1.CUADRO RESUMEN DE SITIOS '!$C$5:$L$1052,7,FALSE())</f>
        <v>WOM</v>
      </c>
      <c r="J467" s="25" t="str">
        <f>VLOOKUP(C467,'[1]1.CUADRO RESUMEN DE SITIOS '!$C$5:$L$1052,8,FALSE())</f>
        <v>SUROCCIDENTE</v>
      </c>
      <c r="K467" s="23">
        <f>VLOOKUP(C467,'[1]1.CUADRO RESUMEN DE SITIOS '!$C$5:$L$1052,9,FALSE())</f>
        <v>0</v>
      </c>
      <c r="L467" s="26" t="str">
        <f>VLOOKUP(C467,'[1]1.CUADRO RESUMEN DE SITIOS '!$C$5:$L$1052,10,FALSE())</f>
        <v>Terminado</v>
      </c>
      <c r="M467" s="26">
        <v>8828119110</v>
      </c>
      <c r="N467" s="26">
        <f>VLOOKUP(M467,[1]LPU!$A$2:$G$1512,2,FALSE())</f>
        <v>107</v>
      </c>
      <c r="O467" s="26" t="str">
        <f>VLOOKUP(M467,[1]LPU!$A$2:$G$1512,3,FALSE)</f>
        <v>Mano de Obra Tecnico Electricista Certficado CONTE</v>
      </c>
      <c r="P467" s="26" t="str">
        <f>VLOOKUP(M467,[1]LPU!$A$2:$G$1512,4,FALSE())</f>
        <v>ENERGÍA</v>
      </c>
      <c r="Q467" s="26" t="str">
        <f>VLOOKUP(M467,[1]LPU!$A$2:$G$1512,5,FALSE())</f>
        <v>DIA</v>
      </c>
      <c r="R467" s="27">
        <f>VLOOKUP(M467,[1]LPU!$A$2:$G$1512,6,FALSE())</f>
        <v>136000</v>
      </c>
      <c r="S467" s="27" t="str">
        <f>VLOOKUP(M467,[1]LPU!$A$2:$G$1512,7,FALSE())</f>
        <v>LPU FLM</v>
      </c>
      <c r="T467" s="28">
        <v>2</v>
      </c>
      <c r="U467" s="29">
        <f t="shared" si="7"/>
        <v>272000</v>
      </c>
      <c r="V467" s="29" t="s">
        <v>77</v>
      </c>
      <c r="W467" s="30"/>
      <c r="X467" s="29" t="s">
        <v>254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21" customHeight="1" x14ac:dyDescent="0.3">
      <c r="A468" s="22">
        <v>464</v>
      </c>
      <c r="B468" s="23">
        <v>1</v>
      </c>
      <c r="C468" s="23" t="s">
        <v>257</v>
      </c>
      <c r="D468" s="23" t="str">
        <f>VLOOKUP(C468,'[1]1.CUADRO RESUMEN DE SITIOS '!$C$5:$L$1052,2,FALSE())</f>
        <v>CCLI_02368</v>
      </c>
      <c r="E468" s="24">
        <f>VLOOKUP(C468,'[1]1.CUADRO RESUMEN DE SITIOS '!$C$5:$L$1052,3,FALSE())</f>
        <v>45920</v>
      </c>
      <c r="F468" s="23">
        <f>VLOOKUP(C468,'[1]1.CUADRO RESUMEN DE SITIOS '!$C$5:$L$1052,4,FALSE())</f>
        <v>3.58311</v>
      </c>
      <c r="G468" s="23">
        <f>VLOOKUP(C468,'[1]1.CUADRO RESUMEN DE SITIOS '!$C$5:$L$1052,5,FALSE())</f>
        <v>-76.492859999999993</v>
      </c>
      <c r="H468" s="23" t="str">
        <f>VLOOKUP(C468,'[1]1.CUADRO RESUMEN DE SITIOS '!$C$5:$L$1052,6,FALSE())</f>
        <v>Valle Del Cauca</v>
      </c>
      <c r="I468" s="23" t="str">
        <f>VLOOKUP(C468,'[1]1.CUADRO RESUMEN DE SITIOS '!$C$5:$L$1052,7,FALSE())</f>
        <v>WOM</v>
      </c>
      <c r="J468" s="25" t="str">
        <f>VLOOKUP(C468,'[1]1.CUADRO RESUMEN DE SITIOS '!$C$5:$L$1052,8,FALSE())</f>
        <v>SUROCCIDENTE</v>
      </c>
      <c r="K468" s="23" t="str">
        <f>VLOOKUP(C468,'[1]1.CUADRO RESUMEN DE SITIOS '!$C$5:$L$1052,9,FALSE())</f>
        <v>Wilson Alejandro Solarte</v>
      </c>
      <c r="L468" s="26" t="str">
        <f>VLOOKUP(C468,'[1]1.CUADRO RESUMEN DE SITIOS '!$C$5:$L$1052,10,FALSE())</f>
        <v>Terminado</v>
      </c>
      <c r="M468" s="26">
        <v>8828119492</v>
      </c>
      <c r="N468" s="26">
        <f>VLOOKUP(M468,[1]LPU!$A$2:$G$1512,2,FALSE())</f>
        <v>53</v>
      </c>
      <c r="O468" s="26" t="str">
        <f>VLOOKUP(M468,[1]LPU!$A$2:$G$1512,3,FALSE)</f>
        <v>Instalación Banco de Baterias para Rectificadores - Aplica para ampliaciones.</v>
      </c>
      <c r="P468" s="26" t="str">
        <f>VLOOKUP(M468,[1]LPU!$A$2:$G$1512,4,FALSE())</f>
        <v>ENERGÍA</v>
      </c>
      <c r="Q468" s="26" t="str">
        <f>VLOOKUP(M468,[1]LPU!$A$2:$G$1512,5,FALSE())</f>
        <v>U</v>
      </c>
      <c r="R468" s="27">
        <f>VLOOKUP(M468,[1]LPU!$A$2:$G$1512,6,FALSE())</f>
        <v>102340</v>
      </c>
      <c r="S468" s="27" t="str">
        <f>VLOOKUP(M468,[1]LPU!$A$2:$G$1512,7,FALSE())</f>
        <v>LPU FLM</v>
      </c>
      <c r="T468" s="28">
        <v>1</v>
      </c>
      <c r="U468" s="29">
        <f t="shared" si="7"/>
        <v>102340</v>
      </c>
      <c r="V468" s="29" t="s">
        <v>77</v>
      </c>
      <c r="W468" s="30"/>
      <c r="X468" s="29" t="s">
        <v>254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21" customHeight="1" x14ac:dyDescent="0.3">
      <c r="A469" s="22">
        <v>465</v>
      </c>
      <c r="B469" s="23">
        <v>1</v>
      </c>
      <c r="C469" s="23" t="s">
        <v>257</v>
      </c>
      <c r="D469" s="23" t="str">
        <f>VLOOKUP(C469,'[1]1.CUADRO RESUMEN DE SITIOS '!$C$5:$L$1052,2,FALSE())</f>
        <v>CCLI_02368</v>
      </c>
      <c r="E469" s="24">
        <f>VLOOKUP(C469,'[1]1.CUADRO RESUMEN DE SITIOS '!$C$5:$L$1052,3,FALSE())</f>
        <v>45920</v>
      </c>
      <c r="F469" s="23">
        <f>VLOOKUP(C469,'[1]1.CUADRO RESUMEN DE SITIOS '!$C$5:$L$1052,4,FALSE())</f>
        <v>3.58311</v>
      </c>
      <c r="G469" s="23">
        <f>VLOOKUP(C469,'[1]1.CUADRO RESUMEN DE SITIOS '!$C$5:$L$1052,5,FALSE())</f>
        <v>-76.492859999999993</v>
      </c>
      <c r="H469" s="23" t="str">
        <f>VLOOKUP(C469,'[1]1.CUADRO RESUMEN DE SITIOS '!$C$5:$L$1052,6,FALSE())</f>
        <v>Valle Del Cauca</v>
      </c>
      <c r="I469" s="23" t="str">
        <f>VLOOKUP(C469,'[1]1.CUADRO RESUMEN DE SITIOS '!$C$5:$L$1052,7,FALSE())</f>
        <v>WOM</v>
      </c>
      <c r="J469" s="25" t="str">
        <f>VLOOKUP(C469,'[1]1.CUADRO RESUMEN DE SITIOS '!$C$5:$L$1052,8,FALSE())</f>
        <v>SUROCCIDENTE</v>
      </c>
      <c r="K469" s="23" t="str">
        <f>VLOOKUP(C469,'[1]1.CUADRO RESUMEN DE SITIOS '!$C$5:$L$1052,9,FALSE())</f>
        <v>Wilson Alejandro Solarte</v>
      </c>
      <c r="L469" s="26" t="str">
        <f>VLOOKUP(C469,'[1]1.CUADRO RESUMEN DE SITIOS '!$C$5:$L$1052,10,FALSE())</f>
        <v>Terminado</v>
      </c>
      <c r="M469" s="26">
        <v>8828119512</v>
      </c>
      <c r="N469" s="26">
        <f>VLOOKUP(M469,[1]LPU!$A$2:$G$1512,2,FALSE())</f>
        <v>55</v>
      </c>
      <c r="O469" s="26" t="str">
        <f>VLOOKUP(M469,[1]LPU!$A$2:$G$1512,3,FALSE)</f>
        <v>Transporte Banco de Baterias</v>
      </c>
      <c r="P469" s="26" t="str">
        <f>VLOOKUP(M469,[1]LPU!$A$2:$G$1512,4,FALSE())</f>
        <v>ENERGÍA</v>
      </c>
      <c r="Q469" s="26" t="str">
        <f>VLOOKUP(M469,[1]LPU!$A$2:$G$1512,5,FALSE())</f>
        <v>U</v>
      </c>
      <c r="R469" s="27">
        <f>VLOOKUP(M469,[1]LPU!$A$2:$G$1512,6,FALSE())</f>
        <v>82212</v>
      </c>
      <c r="S469" s="27" t="str">
        <f>VLOOKUP(M469,[1]LPU!$A$2:$G$1512,7,FALSE())</f>
        <v>LPU FLM</v>
      </c>
      <c r="T469" s="28">
        <v>1</v>
      </c>
      <c r="U469" s="29">
        <f t="shared" si="7"/>
        <v>82212</v>
      </c>
      <c r="V469" s="29" t="s">
        <v>77</v>
      </c>
      <c r="W469" s="30"/>
      <c r="X469" s="29" t="s">
        <v>254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21" customHeight="1" x14ac:dyDescent="0.3">
      <c r="A470" s="22">
        <v>466</v>
      </c>
      <c r="B470" s="23">
        <v>1</v>
      </c>
      <c r="C470" s="23" t="s">
        <v>257</v>
      </c>
      <c r="D470" s="23" t="str">
        <f>VLOOKUP(C470,'[1]1.CUADRO RESUMEN DE SITIOS '!$C$5:$L$1052,2,FALSE())</f>
        <v>CCLI_02368</v>
      </c>
      <c r="E470" s="24">
        <f>VLOOKUP(C470,'[1]1.CUADRO RESUMEN DE SITIOS '!$C$5:$L$1052,3,FALSE())</f>
        <v>45920</v>
      </c>
      <c r="F470" s="23">
        <f>VLOOKUP(C470,'[1]1.CUADRO RESUMEN DE SITIOS '!$C$5:$L$1052,4,FALSE())</f>
        <v>3.58311</v>
      </c>
      <c r="G470" s="23">
        <f>VLOOKUP(C470,'[1]1.CUADRO RESUMEN DE SITIOS '!$C$5:$L$1052,5,FALSE())</f>
        <v>-76.492859999999993</v>
      </c>
      <c r="H470" s="23" t="str">
        <f>VLOOKUP(C470,'[1]1.CUADRO RESUMEN DE SITIOS '!$C$5:$L$1052,6,FALSE())</f>
        <v>Valle Del Cauca</v>
      </c>
      <c r="I470" s="23" t="str">
        <f>VLOOKUP(C470,'[1]1.CUADRO RESUMEN DE SITIOS '!$C$5:$L$1052,7,FALSE())</f>
        <v>WOM</v>
      </c>
      <c r="J470" s="25" t="str">
        <f>VLOOKUP(C470,'[1]1.CUADRO RESUMEN DE SITIOS '!$C$5:$L$1052,8,FALSE())</f>
        <v>SUROCCIDENTE</v>
      </c>
      <c r="K470" s="23" t="str">
        <f>VLOOKUP(C470,'[1]1.CUADRO RESUMEN DE SITIOS '!$C$5:$L$1052,9,FALSE())</f>
        <v>Wilson Alejandro Solarte</v>
      </c>
      <c r="L470" s="26" t="str">
        <f>VLOOKUP(C470,'[1]1.CUADRO RESUMEN DE SITIOS '!$C$5:$L$1052,10,FALSE())</f>
        <v>Terminado</v>
      </c>
      <c r="M470" s="26">
        <v>8828118999</v>
      </c>
      <c r="N470" s="26">
        <f>VLOOKUP(M470,[1]LPU!$A$2:$G$1512,2,FALSE())</f>
        <v>0</v>
      </c>
      <c r="O470" s="26" t="str">
        <f>VLOOKUP(M470,[1]LPU!$A$2:$G$1512,3,FALSE)</f>
        <v>Suministro e instalación de cable UTP Categoría 6, con conectores en sus extremos, certificado</v>
      </c>
      <c r="P470" s="26" t="str">
        <f>VLOOKUP(M470,[1]LPU!$A$2:$G$1512,4,FALSE())</f>
        <v>Item Critico</v>
      </c>
      <c r="Q470" s="26" t="str">
        <f>VLOOKUP(M470,[1]LPU!$A$2:$G$1512,5,FALSE())</f>
        <v>m</v>
      </c>
      <c r="R470" s="27">
        <f>VLOOKUP(M470,[1]LPU!$A$2:$G$1512,6,FALSE())</f>
        <v>5913</v>
      </c>
      <c r="S470" s="27" t="str">
        <f>VLOOKUP(M470,[1]LPU!$A$2:$G$1512,7,FALSE())</f>
        <v>LPU FO Propia</v>
      </c>
      <c r="T470" s="28">
        <v>3</v>
      </c>
      <c r="U470" s="29">
        <f t="shared" si="7"/>
        <v>17739</v>
      </c>
      <c r="V470" s="29" t="s">
        <v>77</v>
      </c>
      <c r="W470" s="30"/>
      <c r="X470" s="29" t="s">
        <v>254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21" customHeight="1" x14ac:dyDescent="0.3">
      <c r="A471" s="22">
        <v>467</v>
      </c>
      <c r="B471" s="23">
        <v>1</v>
      </c>
      <c r="C471" s="23" t="s">
        <v>257</v>
      </c>
      <c r="D471" s="23" t="str">
        <f>VLOOKUP(C471,'[1]1.CUADRO RESUMEN DE SITIOS '!$C$5:$L$1052,2,FALSE())</f>
        <v>CCLI_02368</v>
      </c>
      <c r="E471" s="24">
        <f>VLOOKUP(C471,'[1]1.CUADRO RESUMEN DE SITIOS '!$C$5:$L$1052,3,FALSE())</f>
        <v>45920</v>
      </c>
      <c r="F471" s="23">
        <f>VLOOKUP(C471,'[1]1.CUADRO RESUMEN DE SITIOS '!$C$5:$L$1052,4,FALSE())</f>
        <v>3.58311</v>
      </c>
      <c r="G471" s="23">
        <f>VLOOKUP(C471,'[1]1.CUADRO RESUMEN DE SITIOS '!$C$5:$L$1052,5,FALSE())</f>
        <v>-76.492859999999993</v>
      </c>
      <c r="H471" s="23" t="str">
        <f>VLOOKUP(C471,'[1]1.CUADRO RESUMEN DE SITIOS '!$C$5:$L$1052,6,FALSE())</f>
        <v>Valle Del Cauca</v>
      </c>
      <c r="I471" s="23" t="str">
        <f>VLOOKUP(C471,'[1]1.CUADRO RESUMEN DE SITIOS '!$C$5:$L$1052,7,FALSE())</f>
        <v>WOM</v>
      </c>
      <c r="J471" s="25" t="str">
        <f>VLOOKUP(C471,'[1]1.CUADRO RESUMEN DE SITIOS '!$C$5:$L$1052,8,FALSE())</f>
        <v>SUROCCIDENTE</v>
      </c>
      <c r="K471" s="23" t="str">
        <f>VLOOKUP(C471,'[1]1.CUADRO RESUMEN DE SITIOS '!$C$5:$L$1052,9,FALSE())</f>
        <v>Wilson Alejandro Solarte</v>
      </c>
      <c r="L471" s="26" t="str">
        <f>VLOOKUP(C471,'[1]1.CUADRO RESUMEN DE SITIOS '!$C$5:$L$1052,10,FALSE())</f>
        <v>Terminado</v>
      </c>
      <c r="M471" s="26">
        <v>8828118925</v>
      </c>
      <c r="N471" s="26">
        <f>VLOOKUP(M471,[1]LPU!$A$2:$G$1512,2,FALSE())</f>
        <v>87</v>
      </c>
      <c r="O471" s="26" t="str">
        <f>VLOOKUP(M471,[1]LPU!$A$2:$G$1512,3,FALSE)</f>
        <v>Suministro e Instalacion de cable multifilar #4 awg tipo soldador.</v>
      </c>
      <c r="P471" s="26" t="str">
        <f>VLOOKUP(M471,[1]LPU!$A$2:$G$1512,4,FALSE())</f>
        <v>ENERGÍA</v>
      </c>
      <c r="Q471" s="26" t="str">
        <f>VLOOKUP(M471,[1]LPU!$A$2:$G$1512,5,FALSE())</f>
        <v>ML</v>
      </c>
      <c r="R471" s="27">
        <f>VLOOKUP(M471,[1]LPU!$A$2:$G$1512,6,FALSE())</f>
        <v>60815.8</v>
      </c>
      <c r="S471" s="27" t="str">
        <f>VLOOKUP(M471,[1]LPU!$A$2:$G$1512,7,FALSE())</f>
        <v>LPU FLM</v>
      </c>
      <c r="T471" s="28">
        <v>6</v>
      </c>
      <c r="U471" s="29">
        <f t="shared" si="7"/>
        <v>364894.80000000005</v>
      </c>
      <c r="V471" s="29" t="s">
        <v>77</v>
      </c>
      <c r="W471" s="30"/>
      <c r="X471" s="29" t="s">
        <v>254</v>
      </c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21" customHeight="1" x14ac:dyDescent="0.3">
      <c r="A472" s="22">
        <v>468</v>
      </c>
      <c r="B472" s="23">
        <v>1</v>
      </c>
      <c r="C472" s="23" t="s">
        <v>257</v>
      </c>
      <c r="D472" s="23" t="str">
        <f>VLOOKUP(C472,'[1]1.CUADRO RESUMEN DE SITIOS '!$C$5:$L$1052,2,FALSE())</f>
        <v>CCLI_02368</v>
      </c>
      <c r="E472" s="24">
        <f>VLOOKUP(C472,'[1]1.CUADRO RESUMEN DE SITIOS '!$C$5:$L$1052,3,FALSE())</f>
        <v>45920</v>
      </c>
      <c r="F472" s="23">
        <f>VLOOKUP(C472,'[1]1.CUADRO RESUMEN DE SITIOS '!$C$5:$L$1052,4,FALSE())</f>
        <v>3.58311</v>
      </c>
      <c r="G472" s="23">
        <f>VLOOKUP(C472,'[1]1.CUADRO RESUMEN DE SITIOS '!$C$5:$L$1052,5,FALSE())</f>
        <v>-76.492859999999993</v>
      </c>
      <c r="H472" s="23" t="str">
        <f>VLOOKUP(C472,'[1]1.CUADRO RESUMEN DE SITIOS '!$C$5:$L$1052,6,FALSE())</f>
        <v>Valle Del Cauca</v>
      </c>
      <c r="I472" s="23" t="str">
        <f>VLOOKUP(C472,'[1]1.CUADRO RESUMEN DE SITIOS '!$C$5:$L$1052,7,FALSE())</f>
        <v>WOM</v>
      </c>
      <c r="J472" s="25" t="str">
        <f>VLOOKUP(C472,'[1]1.CUADRO RESUMEN DE SITIOS '!$C$5:$L$1052,8,FALSE())</f>
        <v>SUROCCIDENTE</v>
      </c>
      <c r="K472" s="23" t="str">
        <f>VLOOKUP(C472,'[1]1.CUADRO RESUMEN DE SITIOS '!$C$5:$L$1052,9,FALSE())</f>
        <v>Wilson Alejandro Solarte</v>
      </c>
      <c r="L472" s="26" t="str">
        <f>VLOOKUP(C472,'[1]1.CUADRO RESUMEN DE SITIOS '!$C$5:$L$1052,10,FALSE())</f>
        <v>Terminado</v>
      </c>
      <c r="M472" s="26">
        <v>8828118868</v>
      </c>
      <c r="N472" s="26">
        <f>VLOOKUP(M472,[1]LPU!$A$2:$G$1512,2,FALSE())</f>
        <v>81</v>
      </c>
      <c r="O472" s="26" t="str">
        <f>VLOOKUP(M472,[1]LPU!$A$2:$G$1512,3,FALSE)</f>
        <v>Suministro e Instalacion de terminal para cable awg # 2 en cobre estañado un ojo</v>
      </c>
      <c r="P472" s="26" t="str">
        <f>VLOOKUP(M472,[1]LPU!$A$2:$G$1512,4,FALSE())</f>
        <v>ENERGÍA</v>
      </c>
      <c r="Q472" s="26" t="str">
        <f>VLOOKUP(M472,[1]LPU!$A$2:$G$1512,5,FALSE())</f>
        <v>U</v>
      </c>
      <c r="R472" s="27">
        <f>VLOOKUP(M472,[1]LPU!$A$2:$G$1512,6,FALSE())</f>
        <v>2347</v>
      </c>
      <c r="S472" s="27" t="str">
        <f>VLOOKUP(M472,[1]LPU!$A$2:$G$1512,7,FALSE())</f>
        <v>LPU FLM</v>
      </c>
      <c r="T472" s="28">
        <v>4</v>
      </c>
      <c r="U472" s="29">
        <f t="shared" si="7"/>
        <v>9388</v>
      </c>
      <c r="V472" s="29" t="s">
        <v>77</v>
      </c>
      <c r="W472" s="30"/>
      <c r="X472" s="29" t="s">
        <v>254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21" customHeight="1" x14ac:dyDescent="0.3">
      <c r="A473" s="22">
        <v>469</v>
      </c>
      <c r="B473" s="23">
        <v>1</v>
      </c>
      <c r="C473" s="23" t="s">
        <v>257</v>
      </c>
      <c r="D473" s="23" t="str">
        <f>VLOOKUP(C473,'[1]1.CUADRO RESUMEN DE SITIOS '!$C$5:$L$1052,2,FALSE())</f>
        <v>CCLI_02368</v>
      </c>
      <c r="E473" s="24">
        <f>VLOOKUP(C473,'[1]1.CUADRO RESUMEN DE SITIOS '!$C$5:$L$1052,3,FALSE())</f>
        <v>45920</v>
      </c>
      <c r="F473" s="23">
        <f>VLOOKUP(C473,'[1]1.CUADRO RESUMEN DE SITIOS '!$C$5:$L$1052,4,FALSE())</f>
        <v>3.58311</v>
      </c>
      <c r="G473" s="23">
        <f>VLOOKUP(C473,'[1]1.CUADRO RESUMEN DE SITIOS '!$C$5:$L$1052,5,FALSE())</f>
        <v>-76.492859999999993</v>
      </c>
      <c r="H473" s="23" t="str">
        <f>VLOOKUP(C473,'[1]1.CUADRO RESUMEN DE SITIOS '!$C$5:$L$1052,6,FALSE())</f>
        <v>Valle Del Cauca</v>
      </c>
      <c r="I473" s="23" t="str">
        <f>VLOOKUP(C473,'[1]1.CUADRO RESUMEN DE SITIOS '!$C$5:$L$1052,7,FALSE())</f>
        <v>WOM</v>
      </c>
      <c r="J473" s="25" t="str">
        <f>VLOOKUP(C473,'[1]1.CUADRO RESUMEN DE SITIOS '!$C$5:$L$1052,8,FALSE())</f>
        <v>SUROCCIDENTE</v>
      </c>
      <c r="K473" s="23" t="str">
        <f>VLOOKUP(C473,'[1]1.CUADRO RESUMEN DE SITIOS '!$C$5:$L$1052,9,FALSE())</f>
        <v>Wilson Alejandro Solarte</v>
      </c>
      <c r="L473" s="26" t="str">
        <f>VLOOKUP(C473,'[1]1.CUADRO RESUMEN DE SITIOS '!$C$5:$L$1052,10,FALSE())</f>
        <v>Terminado</v>
      </c>
      <c r="M473" s="26">
        <v>8828119980</v>
      </c>
      <c r="N473" s="26">
        <f>VLOOKUP(M473,[1]LPU!$A$2:$G$1512,2,FALSE())</f>
        <v>169</v>
      </c>
      <c r="O473" s="26" t="str">
        <f>VLOOKUP(M473,[1]LPU!$A$2:$G$1512,3,FALSE)</f>
        <v>Reforzamiento Protección Concreto para Rack de Baterías Incluye Materiales</v>
      </c>
      <c r="P473" s="26" t="str">
        <f>VLOOKUP(M473,[1]LPU!$A$2:$G$1512,4,FALSE())</f>
        <v>LOCATIVO</v>
      </c>
      <c r="Q473" s="26" t="str">
        <f>VLOOKUP(M473,[1]LPU!$A$2:$G$1512,5,FALSE())</f>
        <v>U</v>
      </c>
      <c r="R473" s="27">
        <f>VLOOKUP(M473,[1]LPU!$A$2:$G$1512,6,FALSE())</f>
        <v>114750</v>
      </c>
      <c r="S473" s="27" t="str">
        <f>VLOOKUP(M473,[1]LPU!$A$2:$G$1512,7,FALSE())</f>
        <v>LPU FLM</v>
      </c>
      <c r="T473" s="28">
        <v>1</v>
      </c>
      <c r="U473" s="29">
        <f t="shared" si="7"/>
        <v>114750</v>
      </c>
      <c r="V473" s="29" t="s">
        <v>77</v>
      </c>
      <c r="W473" s="30"/>
      <c r="X473" s="29" t="s">
        <v>254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21" customHeight="1" x14ac:dyDescent="0.3">
      <c r="A474" s="22">
        <v>470</v>
      </c>
      <c r="B474" s="23">
        <v>1</v>
      </c>
      <c r="C474" s="23" t="s">
        <v>257</v>
      </c>
      <c r="D474" s="23" t="str">
        <f>VLOOKUP(C474,'[1]1.CUADRO RESUMEN DE SITIOS '!$C$5:$L$1052,2,FALSE())</f>
        <v>CCLI_02368</v>
      </c>
      <c r="E474" s="24">
        <f>VLOOKUP(C474,'[1]1.CUADRO RESUMEN DE SITIOS '!$C$5:$L$1052,3,FALSE())</f>
        <v>45920</v>
      </c>
      <c r="F474" s="23">
        <f>VLOOKUP(C474,'[1]1.CUADRO RESUMEN DE SITIOS '!$C$5:$L$1052,4,FALSE())</f>
        <v>3.58311</v>
      </c>
      <c r="G474" s="23">
        <f>VLOOKUP(C474,'[1]1.CUADRO RESUMEN DE SITIOS '!$C$5:$L$1052,5,FALSE())</f>
        <v>-76.492859999999993</v>
      </c>
      <c r="H474" s="23" t="str">
        <f>VLOOKUP(C474,'[1]1.CUADRO RESUMEN DE SITIOS '!$C$5:$L$1052,6,FALSE())</f>
        <v>Valle Del Cauca</v>
      </c>
      <c r="I474" s="23" t="str">
        <f>VLOOKUP(C474,'[1]1.CUADRO RESUMEN DE SITIOS '!$C$5:$L$1052,7,FALSE())</f>
        <v>WOM</v>
      </c>
      <c r="J474" s="25" t="str">
        <f>VLOOKUP(C474,'[1]1.CUADRO RESUMEN DE SITIOS '!$C$5:$L$1052,8,FALSE())</f>
        <v>SUROCCIDENTE</v>
      </c>
      <c r="K474" s="23" t="str">
        <f>VLOOKUP(C474,'[1]1.CUADRO RESUMEN DE SITIOS '!$C$5:$L$1052,9,FALSE())</f>
        <v>Wilson Alejandro Solarte</v>
      </c>
      <c r="L474" s="26" t="str">
        <f>VLOOKUP(C474,'[1]1.CUADRO RESUMEN DE SITIOS '!$C$5:$L$1052,10,FALSE())</f>
        <v>Terminado</v>
      </c>
      <c r="M474" s="26">
        <v>8828119867</v>
      </c>
      <c r="N474" s="26">
        <f>VLOOKUP(M474,[1]LPU!$A$2:$G$1512,2,FALSE())</f>
        <v>158</v>
      </c>
      <c r="O474" s="26" t="str">
        <f>VLOOKUP(M474,[1]LPU!$A$2:$G$1512,3,FALSE)</f>
        <v>Reja para equipo cabinet x 4 baterías</v>
      </c>
      <c r="P474" s="26" t="str">
        <f>VLOOKUP(M474,[1]LPU!$A$2:$G$1512,4,FALSE())</f>
        <v>LOCATIVO</v>
      </c>
      <c r="Q474" s="26" t="str">
        <f>VLOOKUP(M474,[1]LPU!$A$2:$G$1512,5,FALSE())</f>
        <v>U</v>
      </c>
      <c r="R474" s="27">
        <f>VLOOKUP(M474,[1]LPU!$A$2:$G$1512,6,FALSE())</f>
        <v>489135</v>
      </c>
      <c r="S474" s="27" t="str">
        <f>VLOOKUP(M474,[1]LPU!$A$2:$G$1512,7,FALSE())</f>
        <v>LPU FLM</v>
      </c>
      <c r="T474" s="28">
        <v>1</v>
      </c>
      <c r="U474" s="29">
        <f t="shared" si="7"/>
        <v>489135</v>
      </c>
      <c r="V474" s="29" t="s">
        <v>77</v>
      </c>
      <c r="W474" s="30"/>
      <c r="X474" s="29" t="s">
        <v>254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21" customHeight="1" x14ac:dyDescent="0.3">
      <c r="A475" s="22">
        <v>471</v>
      </c>
      <c r="B475" s="23">
        <v>1</v>
      </c>
      <c r="C475" s="23" t="s">
        <v>257</v>
      </c>
      <c r="D475" s="23" t="str">
        <f>VLOOKUP(C475,'[1]1.CUADRO RESUMEN DE SITIOS '!$C$5:$L$1052,2,FALSE())</f>
        <v>CCLI_02368</v>
      </c>
      <c r="E475" s="24">
        <f>VLOOKUP(C475,'[1]1.CUADRO RESUMEN DE SITIOS '!$C$5:$L$1052,3,FALSE())</f>
        <v>45920</v>
      </c>
      <c r="F475" s="23">
        <f>VLOOKUP(C475,'[1]1.CUADRO RESUMEN DE SITIOS '!$C$5:$L$1052,4,FALSE())</f>
        <v>3.58311</v>
      </c>
      <c r="G475" s="23">
        <f>VLOOKUP(C475,'[1]1.CUADRO RESUMEN DE SITIOS '!$C$5:$L$1052,5,FALSE())</f>
        <v>-76.492859999999993</v>
      </c>
      <c r="H475" s="23" t="str">
        <f>VLOOKUP(C475,'[1]1.CUADRO RESUMEN DE SITIOS '!$C$5:$L$1052,6,FALSE())</f>
        <v>Valle Del Cauca</v>
      </c>
      <c r="I475" s="23" t="str">
        <f>VLOOKUP(C475,'[1]1.CUADRO RESUMEN DE SITIOS '!$C$5:$L$1052,7,FALSE())</f>
        <v>WOM</v>
      </c>
      <c r="J475" s="25" t="str">
        <f>VLOOKUP(C475,'[1]1.CUADRO RESUMEN DE SITIOS '!$C$5:$L$1052,8,FALSE())</f>
        <v>SUROCCIDENTE</v>
      </c>
      <c r="K475" s="23" t="str">
        <f>VLOOKUP(C475,'[1]1.CUADRO RESUMEN DE SITIOS '!$C$5:$L$1052,9,FALSE())</f>
        <v>Wilson Alejandro Solarte</v>
      </c>
      <c r="L475" s="26" t="str">
        <f>VLOOKUP(C475,'[1]1.CUADRO RESUMEN DE SITIOS '!$C$5:$L$1052,10,FALSE())</f>
        <v>Terminado</v>
      </c>
      <c r="M475" s="26">
        <v>8828119045</v>
      </c>
      <c r="N475" s="26">
        <f>VLOOKUP(M475,[1]LPU!$A$2:$G$1512,2,FALSE())</f>
        <v>5.29</v>
      </c>
      <c r="O475" s="26" t="str">
        <f>VLOOKUP(M475,[1]LPU!$A$2:$G$1512,3,FALSE)</f>
        <v>Suministro e instalación de estructura metálica en acero galvanizado para refuerzo, soportes, bases y adecuaciones en general.</v>
      </c>
      <c r="P475" s="26" t="str">
        <f>VLOOKUP(M475,[1]LPU!$A$2:$G$1512,4,FALSE())</f>
        <v>Mantenimiento CW</v>
      </c>
      <c r="Q475" s="26" t="str">
        <f>VLOOKUP(M475,[1]LPU!$A$2:$G$1512,5,FALSE())</f>
        <v>Kg</v>
      </c>
      <c r="R475" s="27">
        <f>VLOOKUP(M475,[1]LPU!$A$2:$G$1512,6,FALSE())</f>
        <v>12911.5</v>
      </c>
      <c r="S475" s="27" t="str">
        <f>VLOOKUP(M475,[1]LPU!$A$2:$G$1512,7,FALSE())</f>
        <v>Mantenimiento CW</v>
      </c>
      <c r="T475" s="28">
        <v>30</v>
      </c>
      <c r="U475" s="29">
        <f t="shared" si="7"/>
        <v>387345</v>
      </c>
      <c r="V475" s="29" t="s">
        <v>77</v>
      </c>
      <c r="W475" s="30"/>
      <c r="X475" s="29" t="s">
        <v>254</v>
      </c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21" customHeight="1" x14ac:dyDescent="0.3">
      <c r="A476" s="22">
        <v>472</v>
      </c>
      <c r="B476" s="23">
        <v>1</v>
      </c>
      <c r="C476" s="23" t="s">
        <v>257</v>
      </c>
      <c r="D476" s="23" t="str">
        <f>VLOOKUP(C476,'[1]1.CUADRO RESUMEN DE SITIOS '!$C$5:$L$1052,2,FALSE())</f>
        <v>CCLI_02368</v>
      </c>
      <c r="E476" s="24">
        <f>VLOOKUP(C476,'[1]1.CUADRO RESUMEN DE SITIOS '!$C$5:$L$1052,3,FALSE())</f>
        <v>45920</v>
      </c>
      <c r="F476" s="23">
        <f>VLOOKUP(C476,'[1]1.CUADRO RESUMEN DE SITIOS '!$C$5:$L$1052,4,FALSE())</f>
        <v>3.58311</v>
      </c>
      <c r="G476" s="23">
        <f>VLOOKUP(C476,'[1]1.CUADRO RESUMEN DE SITIOS '!$C$5:$L$1052,5,FALSE())</f>
        <v>-76.492859999999993</v>
      </c>
      <c r="H476" s="23" t="str">
        <f>VLOOKUP(C476,'[1]1.CUADRO RESUMEN DE SITIOS '!$C$5:$L$1052,6,FALSE())</f>
        <v>Valle Del Cauca</v>
      </c>
      <c r="I476" s="23" t="str">
        <f>VLOOKUP(C476,'[1]1.CUADRO RESUMEN DE SITIOS '!$C$5:$L$1052,7,FALSE())</f>
        <v>WOM</v>
      </c>
      <c r="J476" s="25" t="str">
        <f>VLOOKUP(C476,'[1]1.CUADRO RESUMEN DE SITIOS '!$C$5:$L$1052,8,FALSE())</f>
        <v>SUROCCIDENTE</v>
      </c>
      <c r="K476" s="23" t="str">
        <f>VLOOKUP(C476,'[1]1.CUADRO RESUMEN DE SITIOS '!$C$5:$L$1052,9,FALSE())</f>
        <v>Wilson Alejandro Solarte</v>
      </c>
      <c r="L476" s="26" t="str">
        <f>VLOOKUP(C476,'[1]1.CUADRO RESUMEN DE SITIOS '!$C$5:$L$1052,10,FALSE())</f>
        <v>Terminado</v>
      </c>
      <c r="M476" s="26">
        <v>8828119921</v>
      </c>
      <c r="N476" s="26">
        <f>VLOOKUP(M476,[1]LPU!$A$2:$G$1512,2,FALSE())</f>
        <v>163</v>
      </c>
      <c r="O476" s="26" t="str">
        <f>VLOOKUP(M476,[1]LPU!$A$2:$G$1512,3,FALSE)</f>
        <v>Tansporte tipo A, ciudad principal y área metropolitana</v>
      </c>
      <c r="P476" s="26" t="str">
        <f>VLOOKUP(M476,[1]LPU!$A$2:$G$1512,4,FALSE())</f>
        <v>LOCATIVO</v>
      </c>
      <c r="Q476" s="26" t="str">
        <f>VLOOKUP(M476,[1]LPU!$A$2:$G$1512,5,FALSE())</f>
        <v>Global</v>
      </c>
      <c r="R476" s="27">
        <f>VLOOKUP(M476,[1]LPU!$A$2:$G$1512,6,FALSE())</f>
        <v>133571.54999999999</v>
      </c>
      <c r="S476" s="27" t="str">
        <f>VLOOKUP(M476,[1]LPU!$A$2:$G$1512,7,FALSE())</f>
        <v>LPU FLM</v>
      </c>
      <c r="T476" s="28">
        <v>1</v>
      </c>
      <c r="U476" s="29">
        <f t="shared" si="7"/>
        <v>133571.54999999999</v>
      </c>
      <c r="V476" s="29" t="s">
        <v>77</v>
      </c>
      <c r="W476" s="30"/>
      <c r="X476" s="29" t="s">
        <v>254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21" customHeight="1" x14ac:dyDescent="0.3">
      <c r="A477" s="22">
        <v>473</v>
      </c>
      <c r="B477" s="23">
        <v>1</v>
      </c>
      <c r="C477" s="23" t="s">
        <v>257</v>
      </c>
      <c r="D477" s="23" t="str">
        <f>VLOOKUP(C477,'[1]1.CUADRO RESUMEN DE SITIOS '!$C$5:$L$1052,2,FALSE())</f>
        <v>CCLI_02368</v>
      </c>
      <c r="E477" s="24">
        <f>VLOOKUP(C477,'[1]1.CUADRO RESUMEN DE SITIOS '!$C$5:$L$1052,3,FALSE())</f>
        <v>45920</v>
      </c>
      <c r="F477" s="23">
        <f>VLOOKUP(C477,'[1]1.CUADRO RESUMEN DE SITIOS '!$C$5:$L$1052,4,FALSE())</f>
        <v>3.58311</v>
      </c>
      <c r="G477" s="23">
        <f>VLOOKUP(C477,'[1]1.CUADRO RESUMEN DE SITIOS '!$C$5:$L$1052,5,FALSE())</f>
        <v>-76.492859999999993</v>
      </c>
      <c r="H477" s="23" t="str">
        <f>VLOOKUP(C477,'[1]1.CUADRO RESUMEN DE SITIOS '!$C$5:$L$1052,6,FALSE())</f>
        <v>Valle Del Cauca</v>
      </c>
      <c r="I477" s="23" t="str">
        <f>VLOOKUP(C477,'[1]1.CUADRO RESUMEN DE SITIOS '!$C$5:$L$1052,7,FALSE())</f>
        <v>WOM</v>
      </c>
      <c r="J477" s="25" t="str">
        <f>VLOOKUP(C477,'[1]1.CUADRO RESUMEN DE SITIOS '!$C$5:$L$1052,8,FALSE())</f>
        <v>SUROCCIDENTE</v>
      </c>
      <c r="K477" s="23" t="str">
        <f>VLOOKUP(C477,'[1]1.CUADRO RESUMEN DE SITIOS '!$C$5:$L$1052,9,FALSE())</f>
        <v>Wilson Alejandro Solarte</v>
      </c>
      <c r="L477" s="26" t="str">
        <f>VLOOKUP(C477,'[1]1.CUADRO RESUMEN DE SITIOS '!$C$5:$L$1052,10,FALSE())</f>
        <v>Terminado</v>
      </c>
      <c r="M477" s="26">
        <v>8828119110</v>
      </c>
      <c r="N477" s="26">
        <f>VLOOKUP(M477,[1]LPU!$A$2:$G$1512,2,FALSE())</f>
        <v>107</v>
      </c>
      <c r="O477" s="26" t="str">
        <f>VLOOKUP(M477,[1]LPU!$A$2:$G$1512,3,FALSE)</f>
        <v>Mano de Obra Tecnico Electricista Certficado CONTE</v>
      </c>
      <c r="P477" s="26" t="str">
        <f>VLOOKUP(M477,[1]LPU!$A$2:$G$1512,4,FALSE())</f>
        <v>ENERGÍA</v>
      </c>
      <c r="Q477" s="26" t="str">
        <f>VLOOKUP(M477,[1]LPU!$A$2:$G$1512,5,FALSE())</f>
        <v>DIA</v>
      </c>
      <c r="R477" s="27">
        <f>VLOOKUP(M477,[1]LPU!$A$2:$G$1512,6,FALSE())</f>
        <v>136000</v>
      </c>
      <c r="S477" s="27" t="str">
        <f>VLOOKUP(M477,[1]LPU!$A$2:$G$1512,7,FALSE())</f>
        <v>LPU FLM</v>
      </c>
      <c r="T477" s="28">
        <v>2</v>
      </c>
      <c r="U477" s="29">
        <f t="shared" si="7"/>
        <v>272000</v>
      </c>
      <c r="V477" s="29" t="s">
        <v>77</v>
      </c>
      <c r="W477" s="30"/>
      <c r="X477" s="29" t="s">
        <v>254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21" customHeight="1" x14ac:dyDescent="0.3">
      <c r="A478" s="22">
        <v>474</v>
      </c>
      <c r="B478" s="23">
        <v>1</v>
      </c>
      <c r="C478" s="23" t="s">
        <v>258</v>
      </c>
      <c r="D478" s="23" t="str">
        <f>VLOOKUP(C478,'[1]1.CUADRO RESUMEN DE SITIOS '!$C$5:$L$1052,2,FALSE())</f>
        <v>CCLI_01734</v>
      </c>
      <c r="E478" s="24">
        <f>VLOOKUP(C478,'[1]1.CUADRO RESUMEN DE SITIOS '!$C$5:$L$1052,3,FALSE())</f>
        <v>45922</v>
      </c>
      <c r="F478" s="23">
        <f>VLOOKUP(C478,'[1]1.CUADRO RESUMEN DE SITIOS '!$C$5:$L$1052,4,FALSE())</f>
        <v>3.5481400000000001</v>
      </c>
      <c r="G478" s="23">
        <f>VLOOKUP(C478,'[1]1.CUADRO RESUMEN DE SITIOS '!$C$5:$L$1052,5,FALSE())</f>
        <v>-76.491640000000004</v>
      </c>
      <c r="H478" s="23" t="str">
        <f>VLOOKUP(C478,'[1]1.CUADRO RESUMEN DE SITIOS '!$C$5:$L$1052,6,FALSE())</f>
        <v>Valle Del Cauca</v>
      </c>
      <c r="I478" s="23" t="str">
        <f>VLOOKUP(C478,'[1]1.CUADRO RESUMEN DE SITIOS '!$C$5:$L$1052,7,FALSE())</f>
        <v>WOM</v>
      </c>
      <c r="J478" s="25" t="str">
        <f>VLOOKUP(C478,'[1]1.CUADRO RESUMEN DE SITIOS '!$C$5:$L$1052,8,FALSE())</f>
        <v>SUROCCIDENTE</v>
      </c>
      <c r="K478" s="23" t="str">
        <f>VLOOKUP(C478,'[1]1.CUADRO RESUMEN DE SITIOS '!$C$5:$L$1052,9,FALSE())</f>
        <v>Wilson Alejandro Solarte</v>
      </c>
      <c r="L478" s="26" t="str">
        <f>VLOOKUP(C478,'[1]1.CUADRO RESUMEN DE SITIOS '!$C$5:$L$1052,10,FALSE())</f>
        <v>Terminado</v>
      </c>
      <c r="M478" s="26">
        <v>8828119492</v>
      </c>
      <c r="N478" s="26">
        <f>VLOOKUP(M478,[1]LPU!$A$2:$G$1512,2,FALSE())</f>
        <v>53</v>
      </c>
      <c r="O478" s="26" t="str">
        <f>VLOOKUP(M478,[1]LPU!$A$2:$G$1512,3,FALSE)</f>
        <v>Instalación Banco de Baterias para Rectificadores - Aplica para ampliaciones.</v>
      </c>
      <c r="P478" s="26" t="str">
        <f>VLOOKUP(M478,[1]LPU!$A$2:$G$1512,4,FALSE())</f>
        <v>ENERGÍA</v>
      </c>
      <c r="Q478" s="26" t="str">
        <f>VLOOKUP(M478,[1]LPU!$A$2:$G$1512,5,FALSE())</f>
        <v>U</v>
      </c>
      <c r="R478" s="27">
        <f>VLOOKUP(M478,[1]LPU!$A$2:$G$1512,6,FALSE())</f>
        <v>102340</v>
      </c>
      <c r="S478" s="27" t="str">
        <f>VLOOKUP(M478,[1]LPU!$A$2:$G$1512,7,FALSE())</f>
        <v>LPU FLM</v>
      </c>
      <c r="T478" s="28">
        <v>1</v>
      </c>
      <c r="U478" s="29">
        <f t="shared" si="7"/>
        <v>102340</v>
      </c>
      <c r="V478" s="29" t="s">
        <v>77</v>
      </c>
      <c r="W478" s="30"/>
      <c r="X478" s="29" t="s">
        <v>254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21" customHeight="1" x14ac:dyDescent="0.3">
      <c r="A479" s="22">
        <v>475</v>
      </c>
      <c r="B479" s="23">
        <v>1</v>
      </c>
      <c r="C479" s="23" t="s">
        <v>258</v>
      </c>
      <c r="D479" s="23" t="str">
        <f>VLOOKUP(C479,'[1]1.CUADRO RESUMEN DE SITIOS '!$C$5:$L$1052,2,FALSE())</f>
        <v>CCLI_01734</v>
      </c>
      <c r="E479" s="24">
        <f>VLOOKUP(C479,'[1]1.CUADRO RESUMEN DE SITIOS '!$C$5:$L$1052,3,FALSE())</f>
        <v>45922</v>
      </c>
      <c r="F479" s="23">
        <f>VLOOKUP(C479,'[1]1.CUADRO RESUMEN DE SITIOS '!$C$5:$L$1052,4,FALSE())</f>
        <v>3.5481400000000001</v>
      </c>
      <c r="G479" s="23">
        <f>VLOOKUP(C479,'[1]1.CUADRO RESUMEN DE SITIOS '!$C$5:$L$1052,5,FALSE())</f>
        <v>-76.491640000000004</v>
      </c>
      <c r="H479" s="23" t="str">
        <f>VLOOKUP(C479,'[1]1.CUADRO RESUMEN DE SITIOS '!$C$5:$L$1052,6,FALSE())</f>
        <v>Valle Del Cauca</v>
      </c>
      <c r="I479" s="23" t="str">
        <f>VLOOKUP(C479,'[1]1.CUADRO RESUMEN DE SITIOS '!$C$5:$L$1052,7,FALSE())</f>
        <v>WOM</v>
      </c>
      <c r="J479" s="25" t="str">
        <f>VLOOKUP(C479,'[1]1.CUADRO RESUMEN DE SITIOS '!$C$5:$L$1052,8,FALSE())</f>
        <v>SUROCCIDENTE</v>
      </c>
      <c r="K479" s="23" t="str">
        <f>VLOOKUP(C479,'[1]1.CUADRO RESUMEN DE SITIOS '!$C$5:$L$1052,9,FALSE())</f>
        <v>Wilson Alejandro Solarte</v>
      </c>
      <c r="L479" s="26" t="str">
        <f>VLOOKUP(C479,'[1]1.CUADRO RESUMEN DE SITIOS '!$C$5:$L$1052,10,FALSE())</f>
        <v>Terminado</v>
      </c>
      <c r="M479" s="26">
        <v>8828119512</v>
      </c>
      <c r="N479" s="26">
        <f>VLOOKUP(M479,[1]LPU!$A$2:$G$1512,2,FALSE())</f>
        <v>55</v>
      </c>
      <c r="O479" s="26" t="str">
        <f>VLOOKUP(M479,[1]LPU!$A$2:$G$1512,3,FALSE)</f>
        <v>Transporte Banco de Baterias</v>
      </c>
      <c r="P479" s="26" t="str">
        <f>VLOOKUP(M479,[1]LPU!$A$2:$G$1512,4,FALSE())</f>
        <v>ENERGÍA</v>
      </c>
      <c r="Q479" s="26" t="str">
        <f>VLOOKUP(M479,[1]LPU!$A$2:$G$1512,5,FALSE())</f>
        <v>U</v>
      </c>
      <c r="R479" s="27">
        <f>VLOOKUP(M479,[1]LPU!$A$2:$G$1512,6,FALSE())</f>
        <v>82212</v>
      </c>
      <c r="S479" s="27" t="str">
        <f>VLOOKUP(M479,[1]LPU!$A$2:$G$1512,7,FALSE())</f>
        <v>LPU FLM</v>
      </c>
      <c r="T479" s="28">
        <v>1</v>
      </c>
      <c r="U479" s="29">
        <f t="shared" si="7"/>
        <v>82212</v>
      </c>
      <c r="V479" s="29" t="s">
        <v>77</v>
      </c>
      <c r="W479" s="30"/>
      <c r="X479" s="29" t="s">
        <v>254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21" customHeight="1" x14ac:dyDescent="0.3">
      <c r="A480" s="22">
        <v>476</v>
      </c>
      <c r="B480" s="23">
        <v>1</v>
      </c>
      <c r="C480" s="23" t="s">
        <v>258</v>
      </c>
      <c r="D480" s="23" t="str">
        <f>VLOOKUP(C480,'[1]1.CUADRO RESUMEN DE SITIOS '!$C$5:$L$1052,2,FALSE())</f>
        <v>CCLI_01734</v>
      </c>
      <c r="E480" s="24">
        <f>VLOOKUP(C480,'[1]1.CUADRO RESUMEN DE SITIOS '!$C$5:$L$1052,3,FALSE())</f>
        <v>45922</v>
      </c>
      <c r="F480" s="23">
        <f>VLOOKUP(C480,'[1]1.CUADRO RESUMEN DE SITIOS '!$C$5:$L$1052,4,FALSE())</f>
        <v>3.5481400000000001</v>
      </c>
      <c r="G480" s="23">
        <f>VLOOKUP(C480,'[1]1.CUADRO RESUMEN DE SITIOS '!$C$5:$L$1052,5,FALSE())</f>
        <v>-76.491640000000004</v>
      </c>
      <c r="H480" s="23" t="str">
        <f>VLOOKUP(C480,'[1]1.CUADRO RESUMEN DE SITIOS '!$C$5:$L$1052,6,FALSE())</f>
        <v>Valle Del Cauca</v>
      </c>
      <c r="I480" s="23" t="str">
        <f>VLOOKUP(C480,'[1]1.CUADRO RESUMEN DE SITIOS '!$C$5:$L$1052,7,FALSE())</f>
        <v>WOM</v>
      </c>
      <c r="J480" s="25" t="str">
        <f>VLOOKUP(C480,'[1]1.CUADRO RESUMEN DE SITIOS '!$C$5:$L$1052,8,FALSE())</f>
        <v>SUROCCIDENTE</v>
      </c>
      <c r="K480" s="23" t="str">
        <f>VLOOKUP(C480,'[1]1.CUADRO RESUMEN DE SITIOS '!$C$5:$L$1052,9,FALSE())</f>
        <v>Wilson Alejandro Solarte</v>
      </c>
      <c r="L480" s="26" t="str">
        <f>VLOOKUP(C480,'[1]1.CUADRO RESUMEN DE SITIOS '!$C$5:$L$1052,10,FALSE())</f>
        <v>Terminado</v>
      </c>
      <c r="M480" s="26">
        <v>8828118999</v>
      </c>
      <c r="N480" s="26">
        <f>VLOOKUP(M480,[1]LPU!$A$2:$G$1512,2,FALSE())</f>
        <v>0</v>
      </c>
      <c r="O480" s="26" t="str">
        <f>VLOOKUP(M480,[1]LPU!$A$2:$G$1512,3,FALSE)</f>
        <v>Suministro e instalación de cable UTP Categoría 6, con conectores en sus extremos, certificado</v>
      </c>
      <c r="P480" s="26" t="str">
        <f>VLOOKUP(M480,[1]LPU!$A$2:$G$1512,4,FALSE())</f>
        <v>Item Critico</v>
      </c>
      <c r="Q480" s="26" t="str">
        <f>VLOOKUP(M480,[1]LPU!$A$2:$G$1512,5,FALSE())</f>
        <v>m</v>
      </c>
      <c r="R480" s="27">
        <f>VLOOKUP(M480,[1]LPU!$A$2:$G$1512,6,FALSE())</f>
        <v>5913</v>
      </c>
      <c r="S480" s="27" t="str">
        <f>VLOOKUP(M480,[1]LPU!$A$2:$G$1512,7,FALSE())</f>
        <v>LPU FO Propia</v>
      </c>
      <c r="T480" s="28">
        <v>3</v>
      </c>
      <c r="U480" s="29">
        <f t="shared" si="7"/>
        <v>17739</v>
      </c>
      <c r="V480" s="29" t="s">
        <v>77</v>
      </c>
      <c r="W480" s="30"/>
      <c r="X480" s="29" t="s">
        <v>254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21" customHeight="1" x14ac:dyDescent="0.3">
      <c r="A481" s="22">
        <v>477</v>
      </c>
      <c r="B481" s="23">
        <v>1</v>
      </c>
      <c r="C481" s="23" t="s">
        <v>258</v>
      </c>
      <c r="D481" s="23" t="str">
        <f>VLOOKUP(C481,'[1]1.CUADRO RESUMEN DE SITIOS '!$C$5:$L$1052,2,FALSE())</f>
        <v>CCLI_01734</v>
      </c>
      <c r="E481" s="24">
        <f>VLOOKUP(C481,'[1]1.CUADRO RESUMEN DE SITIOS '!$C$5:$L$1052,3,FALSE())</f>
        <v>45922</v>
      </c>
      <c r="F481" s="23">
        <f>VLOOKUP(C481,'[1]1.CUADRO RESUMEN DE SITIOS '!$C$5:$L$1052,4,FALSE())</f>
        <v>3.5481400000000001</v>
      </c>
      <c r="G481" s="23">
        <f>VLOOKUP(C481,'[1]1.CUADRO RESUMEN DE SITIOS '!$C$5:$L$1052,5,FALSE())</f>
        <v>-76.491640000000004</v>
      </c>
      <c r="H481" s="23" t="str">
        <f>VLOOKUP(C481,'[1]1.CUADRO RESUMEN DE SITIOS '!$C$5:$L$1052,6,FALSE())</f>
        <v>Valle Del Cauca</v>
      </c>
      <c r="I481" s="23" t="str">
        <f>VLOOKUP(C481,'[1]1.CUADRO RESUMEN DE SITIOS '!$C$5:$L$1052,7,FALSE())</f>
        <v>WOM</v>
      </c>
      <c r="J481" s="25" t="str">
        <f>VLOOKUP(C481,'[1]1.CUADRO RESUMEN DE SITIOS '!$C$5:$L$1052,8,FALSE())</f>
        <v>SUROCCIDENTE</v>
      </c>
      <c r="K481" s="23" t="str">
        <f>VLOOKUP(C481,'[1]1.CUADRO RESUMEN DE SITIOS '!$C$5:$L$1052,9,FALSE())</f>
        <v>Wilson Alejandro Solarte</v>
      </c>
      <c r="L481" s="26" t="str">
        <f>VLOOKUP(C481,'[1]1.CUADRO RESUMEN DE SITIOS '!$C$5:$L$1052,10,FALSE())</f>
        <v>Terminado</v>
      </c>
      <c r="M481" s="26">
        <v>8828118925</v>
      </c>
      <c r="N481" s="26">
        <f>VLOOKUP(M481,[1]LPU!$A$2:$G$1512,2,FALSE())</f>
        <v>87</v>
      </c>
      <c r="O481" s="26" t="str">
        <f>VLOOKUP(M481,[1]LPU!$A$2:$G$1512,3,FALSE)</f>
        <v>Suministro e Instalacion de cable multifilar #4 awg tipo soldador.</v>
      </c>
      <c r="P481" s="26" t="str">
        <f>VLOOKUP(M481,[1]LPU!$A$2:$G$1512,4,FALSE())</f>
        <v>ENERGÍA</v>
      </c>
      <c r="Q481" s="26" t="str">
        <f>VLOOKUP(M481,[1]LPU!$A$2:$G$1512,5,FALSE())</f>
        <v>ML</v>
      </c>
      <c r="R481" s="27">
        <f>VLOOKUP(M481,[1]LPU!$A$2:$G$1512,6,FALSE())</f>
        <v>60815.8</v>
      </c>
      <c r="S481" s="27" t="str">
        <f>VLOOKUP(M481,[1]LPU!$A$2:$G$1512,7,FALSE())</f>
        <v>LPU FLM</v>
      </c>
      <c r="T481" s="28">
        <v>6</v>
      </c>
      <c r="U481" s="29">
        <f t="shared" si="7"/>
        <v>364894.80000000005</v>
      </c>
      <c r="V481" s="29" t="s">
        <v>77</v>
      </c>
      <c r="W481" s="30"/>
      <c r="X481" s="29" t="s">
        <v>254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21" customHeight="1" x14ac:dyDescent="0.3">
      <c r="A482" s="22">
        <v>478</v>
      </c>
      <c r="B482" s="23">
        <v>1</v>
      </c>
      <c r="C482" s="23" t="s">
        <v>258</v>
      </c>
      <c r="D482" s="23" t="str">
        <f>VLOOKUP(C482,'[1]1.CUADRO RESUMEN DE SITIOS '!$C$5:$L$1052,2,FALSE())</f>
        <v>CCLI_01734</v>
      </c>
      <c r="E482" s="24">
        <f>VLOOKUP(C482,'[1]1.CUADRO RESUMEN DE SITIOS '!$C$5:$L$1052,3,FALSE())</f>
        <v>45922</v>
      </c>
      <c r="F482" s="23">
        <f>VLOOKUP(C482,'[1]1.CUADRO RESUMEN DE SITIOS '!$C$5:$L$1052,4,FALSE())</f>
        <v>3.5481400000000001</v>
      </c>
      <c r="G482" s="23">
        <f>VLOOKUP(C482,'[1]1.CUADRO RESUMEN DE SITIOS '!$C$5:$L$1052,5,FALSE())</f>
        <v>-76.491640000000004</v>
      </c>
      <c r="H482" s="23" t="str">
        <f>VLOOKUP(C482,'[1]1.CUADRO RESUMEN DE SITIOS '!$C$5:$L$1052,6,FALSE())</f>
        <v>Valle Del Cauca</v>
      </c>
      <c r="I482" s="23" t="str">
        <f>VLOOKUP(C482,'[1]1.CUADRO RESUMEN DE SITIOS '!$C$5:$L$1052,7,FALSE())</f>
        <v>WOM</v>
      </c>
      <c r="J482" s="25" t="str">
        <f>VLOOKUP(C482,'[1]1.CUADRO RESUMEN DE SITIOS '!$C$5:$L$1052,8,FALSE())</f>
        <v>SUROCCIDENTE</v>
      </c>
      <c r="K482" s="23" t="str">
        <f>VLOOKUP(C482,'[1]1.CUADRO RESUMEN DE SITIOS '!$C$5:$L$1052,9,FALSE())</f>
        <v>Wilson Alejandro Solarte</v>
      </c>
      <c r="L482" s="26" t="str">
        <f>VLOOKUP(C482,'[1]1.CUADRO RESUMEN DE SITIOS '!$C$5:$L$1052,10,FALSE())</f>
        <v>Terminado</v>
      </c>
      <c r="M482" s="26">
        <v>8828118868</v>
      </c>
      <c r="N482" s="26">
        <f>VLOOKUP(M482,[1]LPU!$A$2:$G$1512,2,FALSE())</f>
        <v>81</v>
      </c>
      <c r="O482" s="26" t="str">
        <f>VLOOKUP(M482,[1]LPU!$A$2:$G$1512,3,FALSE)</f>
        <v>Suministro e Instalacion de terminal para cable awg # 2 en cobre estañado un ojo</v>
      </c>
      <c r="P482" s="26" t="str">
        <f>VLOOKUP(M482,[1]LPU!$A$2:$G$1512,4,FALSE())</f>
        <v>ENERGÍA</v>
      </c>
      <c r="Q482" s="26" t="str">
        <f>VLOOKUP(M482,[1]LPU!$A$2:$G$1512,5,FALSE())</f>
        <v>U</v>
      </c>
      <c r="R482" s="27">
        <f>VLOOKUP(M482,[1]LPU!$A$2:$G$1512,6,FALSE())</f>
        <v>2347</v>
      </c>
      <c r="S482" s="27" t="str">
        <f>VLOOKUP(M482,[1]LPU!$A$2:$G$1512,7,FALSE())</f>
        <v>LPU FLM</v>
      </c>
      <c r="T482" s="28">
        <v>4</v>
      </c>
      <c r="U482" s="29">
        <f t="shared" si="7"/>
        <v>9388</v>
      </c>
      <c r="V482" s="29" t="s">
        <v>77</v>
      </c>
      <c r="W482" s="30"/>
      <c r="X482" s="29" t="s">
        <v>254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21" customHeight="1" x14ac:dyDescent="0.3">
      <c r="A483" s="22">
        <v>479</v>
      </c>
      <c r="B483" s="23">
        <v>1</v>
      </c>
      <c r="C483" s="23" t="s">
        <v>258</v>
      </c>
      <c r="D483" s="23" t="str">
        <f>VLOOKUP(C483,'[1]1.CUADRO RESUMEN DE SITIOS '!$C$5:$L$1052,2,FALSE())</f>
        <v>CCLI_01734</v>
      </c>
      <c r="E483" s="24">
        <f>VLOOKUP(C483,'[1]1.CUADRO RESUMEN DE SITIOS '!$C$5:$L$1052,3,FALSE())</f>
        <v>45922</v>
      </c>
      <c r="F483" s="23">
        <f>VLOOKUP(C483,'[1]1.CUADRO RESUMEN DE SITIOS '!$C$5:$L$1052,4,FALSE())</f>
        <v>3.5481400000000001</v>
      </c>
      <c r="G483" s="23">
        <f>VLOOKUP(C483,'[1]1.CUADRO RESUMEN DE SITIOS '!$C$5:$L$1052,5,FALSE())</f>
        <v>-76.491640000000004</v>
      </c>
      <c r="H483" s="23" t="str">
        <f>VLOOKUP(C483,'[1]1.CUADRO RESUMEN DE SITIOS '!$C$5:$L$1052,6,FALSE())</f>
        <v>Valle Del Cauca</v>
      </c>
      <c r="I483" s="23" t="str">
        <f>VLOOKUP(C483,'[1]1.CUADRO RESUMEN DE SITIOS '!$C$5:$L$1052,7,FALSE())</f>
        <v>WOM</v>
      </c>
      <c r="J483" s="25" t="str">
        <f>VLOOKUP(C483,'[1]1.CUADRO RESUMEN DE SITIOS '!$C$5:$L$1052,8,FALSE())</f>
        <v>SUROCCIDENTE</v>
      </c>
      <c r="K483" s="23" t="str">
        <f>VLOOKUP(C483,'[1]1.CUADRO RESUMEN DE SITIOS '!$C$5:$L$1052,9,FALSE())</f>
        <v>Wilson Alejandro Solarte</v>
      </c>
      <c r="L483" s="26" t="str">
        <f>VLOOKUP(C483,'[1]1.CUADRO RESUMEN DE SITIOS '!$C$5:$L$1052,10,FALSE())</f>
        <v>Terminado</v>
      </c>
      <c r="M483" s="26">
        <v>8828119980</v>
      </c>
      <c r="N483" s="26">
        <f>VLOOKUP(M483,[1]LPU!$A$2:$G$1512,2,FALSE())</f>
        <v>169</v>
      </c>
      <c r="O483" s="26" t="str">
        <f>VLOOKUP(M483,[1]LPU!$A$2:$G$1512,3,FALSE)</f>
        <v>Reforzamiento Protección Concreto para Rack de Baterías Incluye Materiales</v>
      </c>
      <c r="P483" s="26" t="str">
        <f>VLOOKUP(M483,[1]LPU!$A$2:$G$1512,4,FALSE())</f>
        <v>LOCATIVO</v>
      </c>
      <c r="Q483" s="26" t="str">
        <f>VLOOKUP(M483,[1]LPU!$A$2:$G$1512,5,FALSE())</f>
        <v>U</v>
      </c>
      <c r="R483" s="27">
        <f>VLOOKUP(M483,[1]LPU!$A$2:$G$1512,6,FALSE())</f>
        <v>114750</v>
      </c>
      <c r="S483" s="27" t="str">
        <f>VLOOKUP(M483,[1]LPU!$A$2:$G$1512,7,FALSE())</f>
        <v>LPU FLM</v>
      </c>
      <c r="T483" s="28">
        <v>1</v>
      </c>
      <c r="U483" s="29">
        <f t="shared" si="7"/>
        <v>114750</v>
      </c>
      <c r="V483" s="29" t="s">
        <v>77</v>
      </c>
      <c r="W483" s="30"/>
      <c r="X483" s="29" t="s">
        <v>254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21" customHeight="1" x14ac:dyDescent="0.3">
      <c r="A484" s="22">
        <v>480</v>
      </c>
      <c r="B484" s="23">
        <v>1</v>
      </c>
      <c r="C484" s="23" t="s">
        <v>258</v>
      </c>
      <c r="D484" s="23" t="str">
        <f>VLOOKUP(C484,'[1]1.CUADRO RESUMEN DE SITIOS '!$C$5:$L$1052,2,FALSE())</f>
        <v>CCLI_01734</v>
      </c>
      <c r="E484" s="24">
        <f>VLOOKUP(C484,'[1]1.CUADRO RESUMEN DE SITIOS '!$C$5:$L$1052,3,FALSE())</f>
        <v>45922</v>
      </c>
      <c r="F484" s="23">
        <f>VLOOKUP(C484,'[1]1.CUADRO RESUMEN DE SITIOS '!$C$5:$L$1052,4,FALSE())</f>
        <v>3.5481400000000001</v>
      </c>
      <c r="G484" s="23">
        <f>VLOOKUP(C484,'[1]1.CUADRO RESUMEN DE SITIOS '!$C$5:$L$1052,5,FALSE())</f>
        <v>-76.491640000000004</v>
      </c>
      <c r="H484" s="23" t="str">
        <f>VLOOKUP(C484,'[1]1.CUADRO RESUMEN DE SITIOS '!$C$5:$L$1052,6,FALSE())</f>
        <v>Valle Del Cauca</v>
      </c>
      <c r="I484" s="23" t="str">
        <f>VLOOKUP(C484,'[1]1.CUADRO RESUMEN DE SITIOS '!$C$5:$L$1052,7,FALSE())</f>
        <v>WOM</v>
      </c>
      <c r="J484" s="25" t="str">
        <f>VLOOKUP(C484,'[1]1.CUADRO RESUMEN DE SITIOS '!$C$5:$L$1052,8,FALSE())</f>
        <v>SUROCCIDENTE</v>
      </c>
      <c r="K484" s="23" t="str">
        <f>VLOOKUP(C484,'[1]1.CUADRO RESUMEN DE SITIOS '!$C$5:$L$1052,9,FALSE())</f>
        <v>Wilson Alejandro Solarte</v>
      </c>
      <c r="L484" s="26" t="str">
        <f>VLOOKUP(C484,'[1]1.CUADRO RESUMEN DE SITIOS '!$C$5:$L$1052,10,FALSE())</f>
        <v>Terminado</v>
      </c>
      <c r="M484" s="26">
        <v>8828119867</v>
      </c>
      <c r="N484" s="26">
        <f>VLOOKUP(M484,[1]LPU!$A$2:$G$1512,2,FALSE())</f>
        <v>158</v>
      </c>
      <c r="O484" s="26" t="str">
        <f>VLOOKUP(M484,[1]LPU!$A$2:$G$1512,3,FALSE)</f>
        <v>Reja para equipo cabinet x 4 baterías</v>
      </c>
      <c r="P484" s="26" t="str">
        <f>VLOOKUP(M484,[1]LPU!$A$2:$G$1512,4,FALSE())</f>
        <v>LOCATIVO</v>
      </c>
      <c r="Q484" s="26" t="str">
        <f>VLOOKUP(M484,[1]LPU!$A$2:$G$1512,5,FALSE())</f>
        <v>U</v>
      </c>
      <c r="R484" s="27">
        <f>VLOOKUP(M484,[1]LPU!$A$2:$G$1512,6,FALSE())</f>
        <v>489135</v>
      </c>
      <c r="S484" s="27" t="str">
        <f>VLOOKUP(M484,[1]LPU!$A$2:$G$1512,7,FALSE())</f>
        <v>LPU FLM</v>
      </c>
      <c r="T484" s="28">
        <v>1</v>
      </c>
      <c r="U484" s="29">
        <f t="shared" si="7"/>
        <v>489135</v>
      </c>
      <c r="V484" s="29" t="s">
        <v>77</v>
      </c>
      <c r="W484" s="30"/>
      <c r="X484" s="29" t="s">
        <v>254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21" customHeight="1" x14ac:dyDescent="0.3">
      <c r="A485" s="22">
        <v>481</v>
      </c>
      <c r="B485" s="23">
        <v>1</v>
      </c>
      <c r="C485" s="23" t="s">
        <v>258</v>
      </c>
      <c r="D485" s="23" t="str">
        <f>VLOOKUP(C485,'[1]1.CUADRO RESUMEN DE SITIOS '!$C$5:$L$1052,2,FALSE())</f>
        <v>CCLI_01734</v>
      </c>
      <c r="E485" s="24">
        <f>VLOOKUP(C485,'[1]1.CUADRO RESUMEN DE SITIOS '!$C$5:$L$1052,3,FALSE())</f>
        <v>45922</v>
      </c>
      <c r="F485" s="23">
        <f>VLOOKUP(C485,'[1]1.CUADRO RESUMEN DE SITIOS '!$C$5:$L$1052,4,FALSE())</f>
        <v>3.5481400000000001</v>
      </c>
      <c r="G485" s="23">
        <f>VLOOKUP(C485,'[1]1.CUADRO RESUMEN DE SITIOS '!$C$5:$L$1052,5,FALSE())</f>
        <v>-76.491640000000004</v>
      </c>
      <c r="H485" s="23" t="str">
        <f>VLOOKUP(C485,'[1]1.CUADRO RESUMEN DE SITIOS '!$C$5:$L$1052,6,FALSE())</f>
        <v>Valle Del Cauca</v>
      </c>
      <c r="I485" s="23" t="str">
        <f>VLOOKUP(C485,'[1]1.CUADRO RESUMEN DE SITIOS '!$C$5:$L$1052,7,FALSE())</f>
        <v>WOM</v>
      </c>
      <c r="J485" s="25" t="str">
        <f>VLOOKUP(C485,'[1]1.CUADRO RESUMEN DE SITIOS '!$C$5:$L$1052,8,FALSE())</f>
        <v>SUROCCIDENTE</v>
      </c>
      <c r="K485" s="23" t="str">
        <f>VLOOKUP(C485,'[1]1.CUADRO RESUMEN DE SITIOS '!$C$5:$L$1052,9,FALSE())</f>
        <v>Wilson Alejandro Solarte</v>
      </c>
      <c r="L485" s="26" t="str">
        <f>VLOOKUP(C485,'[1]1.CUADRO RESUMEN DE SITIOS '!$C$5:$L$1052,10,FALSE())</f>
        <v>Terminado</v>
      </c>
      <c r="M485" s="26">
        <v>8828119045</v>
      </c>
      <c r="N485" s="26">
        <f>VLOOKUP(M485,[1]LPU!$A$2:$G$1512,2,FALSE())</f>
        <v>5.29</v>
      </c>
      <c r="O485" s="26" t="str">
        <f>VLOOKUP(M485,[1]LPU!$A$2:$G$1512,3,FALSE)</f>
        <v>Suministro e instalación de estructura metálica en acero galvanizado para refuerzo, soportes, bases y adecuaciones en general.</v>
      </c>
      <c r="P485" s="26" t="str">
        <f>VLOOKUP(M485,[1]LPU!$A$2:$G$1512,4,FALSE())</f>
        <v>Mantenimiento CW</v>
      </c>
      <c r="Q485" s="26" t="str">
        <f>VLOOKUP(M485,[1]LPU!$A$2:$G$1512,5,FALSE())</f>
        <v>Kg</v>
      </c>
      <c r="R485" s="27">
        <f>VLOOKUP(M485,[1]LPU!$A$2:$G$1512,6,FALSE())</f>
        <v>12911.5</v>
      </c>
      <c r="S485" s="27" t="str">
        <f>VLOOKUP(M485,[1]LPU!$A$2:$G$1512,7,FALSE())</f>
        <v>Mantenimiento CW</v>
      </c>
      <c r="T485" s="28">
        <v>30</v>
      </c>
      <c r="U485" s="29">
        <f t="shared" si="7"/>
        <v>387345</v>
      </c>
      <c r="V485" s="29" t="s">
        <v>77</v>
      </c>
      <c r="W485" s="30"/>
      <c r="X485" s="29" t="s">
        <v>254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21" customHeight="1" x14ac:dyDescent="0.3">
      <c r="A486" s="22">
        <v>482</v>
      </c>
      <c r="B486" s="23">
        <v>1</v>
      </c>
      <c r="C486" s="23" t="s">
        <v>258</v>
      </c>
      <c r="D486" s="23" t="str">
        <f>VLOOKUP(C486,'[1]1.CUADRO RESUMEN DE SITIOS '!$C$5:$L$1052,2,FALSE())</f>
        <v>CCLI_01734</v>
      </c>
      <c r="E486" s="24">
        <f>VLOOKUP(C486,'[1]1.CUADRO RESUMEN DE SITIOS '!$C$5:$L$1052,3,FALSE())</f>
        <v>45922</v>
      </c>
      <c r="F486" s="23">
        <f>VLOOKUP(C486,'[1]1.CUADRO RESUMEN DE SITIOS '!$C$5:$L$1052,4,FALSE())</f>
        <v>3.5481400000000001</v>
      </c>
      <c r="G486" s="23">
        <f>VLOOKUP(C486,'[1]1.CUADRO RESUMEN DE SITIOS '!$C$5:$L$1052,5,FALSE())</f>
        <v>-76.491640000000004</v>
      </c>
      <c r="H486" s="23" t="str">
        <f>VLOOKUP(C486,'[1]1.CUADRO RESUMEN DE SITIOS '!$C$5:$L$1052,6,FALSE())</f>
        <v>Valle Del Cauca</v>
      </c>
      <c r="I486" s="23" t="str">
        <f>VLOOKUP(C486,'[1]1.CUADRO RESUMEN DE SITIOS '!$C$5:$L$1052,7,FALSE())</f>
        <v>WOM</v>
      </c>
      <c r="J486" s="25" t="str">
        <f>VLOOKUP(C486,'[1]1.CUADRO RESUMEN DE SITIOS '!$C$5:$L$1052,8,FALSE())</f>
        <v>SUROCCIDENTE</v>
      </c>
      <c r="K486" s="23" t="str">
        <f>VLOOKUP(C486,'[1]1.CUADRO RESUMEN DE SITIOS '!$C$5:$L$1052,9,FALSE())</f>
        <v>Wilson Alejandro Solarte</v>
      </c>
      <c r="L486" s="26" t="str">
        <f>VLOOKUP(C486,'[1]1.CUADRO RESUMEN DE SITIOS '!$C$5:$L$1052,10,FALSE())</f>
        <v>Terminado</v>
      </c>
      <c r="M486" s="26">
        <v>8828119921</v>
      </c>
      <c r="N486" s="26">
        <f>VLOOKUP(M486,[1]LPU!$A$2:$G$1512,2,FALSE())</f>
        <v>163</v>
      </c>
      <c r="O486" s="26" t="str">
        <f>VLOOKUP(M486,[1]LPU!$A$2:$G$1512,3,FALSE)</f>
        <v>Tansporte tipo A, ciudad principal y área metropolitana</v>
      </c>
      <c r="P486" s="26" t="str">
        <f>VLOOKUP(M486,[1]LPU!$A$2:$G$1512,4,FALSE())</f>
        <v>LOCATIVO</v>
      </c>
      <c r="Q486" s="26" t="str">
        <f>VLOOKUP(M486,[1]LPU!$A$2:$G$1512,5,FALSE())</f>
        <v>Global</v>
      </c>
      <c r="R486" s="27">
        <f>VLOOKUP(M486,[1]LPU!$A$2:$G$1512,6,FALSE())</f>
        <v>133571.54999999999</v>
      </c>
      <c r="S486" s="27" t="str">
        <f>VLOOKUP(M486,[1]LPU!$A$2:$G$1512,7,FALSE())</f>
        <v>LPU FLM</v>
      </c>
      <c r="T486" s="28">
        <v>1</v>
      </c>
      <c r="U486" s="29">
        <f t="shared" si="7"/>
        <v>133571.54999999999</v>
      </c>
      <c r="V486" s="29" t="s">
        <v>77</v>
      </c>
      <c r="W486" s="30"/>
      <c r="X486" s="29" t="s">
        <v>254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21" customHeight="1" x14ac:dyDescent="0.3">
      <c r="A487" s="22">
        <v>483</v>
      </c>
      <c r="B487" s="23">
        <v>1</v>
      </c>
      <c r="C487" s="23" t="s">
        <v>258</v>
      </c>
      <c r="D487" s="23" t="str">
        <f>VLOOKUP(C487,'[1]1.CUADRO RESUMEN DE SITIOS '!$C$5:$L$1052,2,FALSE())</f>
        <v>CCLI_01734</v>
      </c>
      <c r="E487" s="24">
        <f>VLOOKUP(C487,'[1]1.CUADRO RESUMEN DE SITIOS '!$C$5:$L$1052,3,FALSE())</f>
        <v>45922</v>
      </c>
      <c r="F487" s="23">
        <f>VLOOKUP(C487,'[1]1.CUADRO RESUMEN DE SITIOS '!$C$5:$L$1052,4,FALSE())</f>
        <v>3.5481400000000001</v>
      </c>
      <c r="G487" s="23">
        <f>VLOOKUP(C487,'[1]1.CUADRO RESUMEN DE SITIOS '!$C$5:$L$1052,5,FALSE())</f>
        <v>-76.491640000000004</v>
      </c>
      <c r="H487" s="23" t="str">
        <f>VLOOKUP(C487,'[1]1.CUADRO RESUMEN DE SITIOS '!$C$5:$L$1052,6,FALSE())</f>
        <v>Valle Del Cauca</v>
      </c>
      <c r="I487" s="23" t="str">
        <f>VLOOKUP(C487,'[1]1.CUADRO RESUMEN DE SITIOS '!$C$5:$L$1052,7,FALSE())</f>
        <v>WOM</v>
      </c>
      <c r="J487" s="25" t="str">
        <f>VLOOKUP(C487,'[1]1.CUADRO RESUMEN DE SITIOS '!$C$5:$L$1052,8,FALSE())</f>
        <v>SUROCCIDENTE</v>
      </c>
      <c r="K487" s="23" t="str">
        <f>VLOOKUP(C487,'[1]1.CUADRO RESUMEN DE SITIOS '!$C$5:$L$1052,9,FALSE())</f>
        <v>Wilson Alejandro Solarte</v>
      </c>
      <c r="L487" s="26" t="str">
        <f>VLOOKUP(C487,'[1]1.CUADRO RESUMEN DE SITIOS '!$C$5:$L$1052,10,FALSE())</f>
        <v>Terminado</v>
      </c>
      <c r="M487" s="26">
        <v>8828119110</v>
      </c>
      <c r="N487" s="26">
        <f>VLOOKUP(M487,[1]LPU!$A$2:$G$1512,2,FALSE())</f>
        <v>107</v>
      </c>
      <c r="O487" s="26" t="str">
        <f>VLOOKUP(M487,[1]LPU!$A$2:$G$1512,3,FALSE)</f>
        <v>Mano de Obra Tecnico Electricista Certficado CONTE</v>
      </c>
      <c r="P487" s="26" t="str">
        <f>VLOOKUP(M487,[1]LPU!$A$2:$G$1512,4,FALSE())</f>
        <v>ENERGÍA</v>
      </c>
      <c r="Q487" s="26" t="str">
        <f>VLOOKUP(M487,[1]LPU!$A$2:$G$1512,5,FALSE())</f>
        <v>DIA</v>
      </c>
      <c r="R487" s="27">
        <f>VLOOKUP(M487,[1]LPU!$A$2:$G$1512,6,FALSE())</f>
        <v>136000</v>
      </c>
      <c r="S487" s="27" t="str">
        <f>VLOOKUP(M487,[1]LPU!$A$2:$G$1512,7,FALSE())</f>
        <v>LPU FLM</v>
      </c>
      <c r="T487" s="28">
        <v>2</v>
      </c>
      <c r="U487" s="29">
        <f t="shared" si="7"/>
        <v>272000</v>
      </c>
      <c r="V487" s="29" t="s">
        <v>77</v>
      </c>
      <c r="W487" s="30"/>
      <c r="X487" s="29" t="s">
        <v>254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21" customHeight="1" x14ac:dyDescent="0.3">
      <c r="A488" s="22">
        <v>484</v>
      </c>
      <c r="B488" s="23">
        <v>1</v>
      </c>
      <c r="C488" s="23" t="s">
        <v>259</v>
      </c>
      <c r="D488" s="23" t="str">
        <f>VLOOKUP(C488,'[1]1.CUADRO RESUMEN DE SITIOS '!$C$5:$L$1052,2,FALSE())</f>
        <v>CLI_02325</v>
      </c>
      <c r="E488" s="24">
        <f>VLOOKUP(C488,'[1]1.CUADRO RESUMEN DE SITIOS '!$C$5:$L$1052,3,FALSE())</f>
        <v>45931</v>
      </c>
      <c r="F488" s="23">
        <f>VLOOKUP(C488,'[1]1.CUADRO RESUMEN DE SITIOS '!$C$5:$L$1052,4,FALSE())</f>
        <v>3.4492600000000002</v>
      </c>
      <c r="G488" s="23">
        <f>VLOOKUP(C488,'[1]1.CUADRO RESUMEN DE SITIOS '!$C$5:$L$1052,5,FALSE())</f>
        <v>-76.489000000000004</v>
      </c>
      <c r="H488" s="23" t="str">
        <f>VLOOKUP(C488,'[1]1.CUADRO RESUMEN DE SITIOS '!$C$5:$L$1052,6,FALSE())</f>
        <v>Valle Del Cauca</v>
      </c>
      <c r="I488" s="23" t="str">
        <f>VLOOKUP(C488,'[1]1.CUADRO RESUMEN DE SITIOS '!$C$5:$L$1052,7,FALSE())</f>
        <v>WOM</v>
      </c>
      <c r="J488" s="25" t="str">
        <f>VLOOKUP(C488,'[1]1.CUADRO RESUMEN DE SITIOS '!$C$5:$L$1052,8,FALSE())</f>
        <v>SUROCCIDENTE</v>
      </c>
      <c r="K488" s="23" t="str">
        <f>VLOOKUP(C488,'[1]1.CUADRO RESUMEN DE SITIOS '!$C$5:$L$1052,9,FALSE())</f>
        <v>Wilson Alejandro Solarte</v>
      </c>
      <c r="L488" s="26" t="str">
        <f>VLOOKUP(C488,'[1]1.CUADRO RESUMEN DE SITIOS '!$C$5:$L$1052,10,FALSE())</f>
        <v>Terminado</v>
      </c>
      <c r="M488" s="26">
        <v>8828119492</v>
      </c>
      <c r="N488" s="26">
        <f>VLOOKUP(M488,[1]LPU!$A$2:$G$1512,2,FALSE())</f>
        <v>53</v>
      </c>
      <c r="O488" s="26" t="str">
        <f>VLOOKUP(M488,[1]LPU!$A$2:$G$1512,3,FALSE)</f>
        <v>Instalación Banco de Baterias para Rectificadores - Aplica para ampliaciones.</v>
      </c>
      <c r="P488" s="26" t="str">
        <f>VLOOKUP(M488,[1]LPU!$A$2:$G$1512,4,FALSE())</f>
        <v>ENERGÍA</v>
      </c>
      <c r="Q488" s="26" t="str">
        <f>VLOOKUP(M488,[1]LPU!$A$2:$G$1512,5,FALSE())</f>
        <v>U</v>
      </c>
      <c r="R488" s="27">
        <f>VLOOKUP(M488,[1]LPU!$A$2:$G$1512,6,FALSE())</f>
        <v>102340</v>
      </c>
      <c r="S488" s="27" t="str">
        <f>VLOOKUP(M488,[1]LPU!$A$2:$G$1512,7,FALSE())</f>
        <v>LPU FLM</v>
      </c>
      <c r="T488" s="28">
        <v>1</v>
      </c>
      <c r="U488" s="29">
        <f t="shared" si="7"/>
        <v>102340</v>
      </c>
      <c r="V488" s="29" t="s">
        <v>77</v>
      </c>
      <c r="W488" s="30"/>
      <c r="X488" s="29" t="s">
        <v>254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21" customHeight="1" x14ac:dyDescent="0.3">
      <c r="A489" s="22">
        <v>485</v>
      </c>
      <c r="B489" s="23">
        <v>1</v>
      </c>
      <c r="C489" s="23" t="s">
        <v>259</v>
      </c>
      <c r="D489" s="23" t="str">
        <f>VLOOKUP(C489,'[1]1.CUADRO RESUMEN DE SITIOS '!$C$5:$L$1052,2,FALSE())</f>
        <v>CLI_02325</v>
      </c>
      <c r="E489" s="24">
        <f>VLOOKUP(C489,'[1]1.CUADRO RESUMEN DE SITIOS '!$C$5:$L$1052,3,FALSE())</f>
        <v>45931</v>
      </c>
      <c r="F489" s="23">
        <f>VLOOKUP(C489,'[1]1.CUADRO RESUMEN DE SITIOS '!$C$5:$L$1052,4,FALSE())</f>
        <v>3.4492600000000002</v>
      </c>
      <c r="G489" s="23">
        <f>VLOOKUP(C489,'[1]1.CUADRO RESUMEN DE SITIOS '!$C$5:$L$1052,5,FALSE())</f>
        <v>-76.489000000000004</v>
      </c>
      <c r="H489" s="23" t="str">
        <f>VLOOKUP(C489,'[1]1.CUADRO RESUMEN DE SITIOS '!$C$5:$L$1052,6,FALSE())</f>
        <v>Valle Del Cauca</v>
      </c>
      <c r="I489" s="23" t="str">
        <f>VLOOKUP(C489,'[1]1.CUADRO RESUMEN DE SITIOS '!$C$5:$L$1052,7,FALSE())</f>
        <v>WOM</v>
      </c>
      <c r="J489" s="25" t="str">
        <f>VLOOKUP(C489,'[1]1.CUADRO RESUMEN DE SITIOS '!$C$5:$L$1052,8,FALSE())</f>
        <v>SUROCCIDENTE</v>
      </c>
      <c r="K489" s="23" t="str">
        <f>VLOOKUP(C489,'[1]1.CUADRO RESUMEN DE SITIOS '!$C$5:$L$1052,9,FALSE())</f>
        <v>Wilson Alejandro Solarte</v>
      </c>
      <c r="L489" s="26" t="str">
        <f>VLOOKUP(C489,'[1]1.CUADRO RESUMEN DE SITIOS '!$C$5:$L$1052,10,FALSE())</f>
        <v>Terminado</v>
      </c>
      <c r="M489" s="26">
        <v>8828119512</v>
      </c>
      <c r="N489" s="26">
        <f>VLOOKUP(M489,[1]LPU!$A$2:$G$1512,2,FALSE())</f>
        <v>55</v>
      </c>
      <c r="O489" s="26" t="str">
        <f>VLOOKUP(M489,[1]LPU!$A$2:$G$1512,3,FALSE)</f>
        <v>Transporte Banco de Baterias</v>
      </c>
      <c r="P489" s="26" t="str">
        <f>VLOOKUP(M489,[1]LPU!$A$2:$G$1512,4,FALSE())</f>
        <v>ENERGÍA</v>
      </c>
      <c r="Q489" s="26" t="str">
        <f>VLOOKUP(M489,[1]LPU!$A$2:$G$1512,5,FALSE())</f>
        <v>U</v>
      </c>
      <c r="R489" s="27">
        <f>VLOOKUP(M489,[1]LPU!$A$2:$G$1512,6,FALSE())</f>
        <v>82212</v>
      </c>
      <c r="S489" s="27" t="str">
        <f>VLOOKUP(M489,[1]LPU!$A$2:$G$1512,7,FALSE())</f>
        <v>LPU FLM</v>
      </c>
      <c r="T489" s="28">
        <v>1</v>
      </c>
      <c r="U489" s="29">
        <f t="shared" si="7"/>
        <v>82212</v>
      </c>
      <c r="V489" s="29" t="s">
        <v>77</v>
      </c>
      <c r="W489" s="30"/>
      <c r="X489" s="29" t="s">
        <v>254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21" customHeight="1" x14ac:dyDescent="0.3">
      <c r="A490" s="22">
        <v>486</v>
      </c>
      <c r="B490" s="23">
        <v>1</v>
      </c>
      <c r="C490" s="23" t="s">
        <v>259</v>
      </c>
      <c r="D490" s="23" t="str">
        <f>VLOOKUP(C490,'[1]1.CUADRO RESUMEN DE SITIOS '!$C$5:$L$1052,2,FALSE())</f>
        <v>CLI_02325</v>
      </c>
      <c r="E490" s="24">
        <f>VLOOKUP(C490,'[1]1.CUADRO RESUMEN DE SITIOS '!$C$5:$L$1052,3,FALSE())</f>
        <v>45931</v>
      </c>
      <c r="F490" s="23">
        <f>VLOOKUP(C490,'[1]1.CUADRO RESUMEN DE SITIOS '!$C$5:$L$1052,4,FALSE())</f>
        <v>3.4492600000000002</v>
      </c>
      <c r="G490" s="23">
        <f>VLOOKUP(C490,'[1]1.CUADRO RESUMEN DE SITIOS '!$C$5:$L$1052,5,FALSE())</f>
        <v>-76.489000000000004</v>
      </c>
      <c r="H490" s="23" t="str">
        <f>VLOOKUP(C490,'[1]1.CUADRO RESUMEN DE SITIOS '!$C$5:$L$1052,6,FALSE())</f>
        <v>Valle Del Cauca</v>
      </c>
      <c r="I490" s="23" t="str">
        <f>VLOOKUP(C490,'[1]1.CUADRO RESUMEN DE SITIOS '!$C$5:$L$1052,7,FALSE())</f>
        <v>WOM</v>
      </c>
      <c r="J490" s="25" t="str">
        <f>VLOOKUP(C490,'[1]1.CUADRO RESUMEN DE SITIOS '!$C$5:$L$1052,8,FALSE())</f>
        <v>SUROCCIDENTE</v>
      </c>
      <c r="K490" s="23" t="str">
        <f>VLOOKUP(C490,'[1]1.CUADRO RESUMEN DE SITIOS '!$C$5:$L$1052,9,FALSE())</f>
        <v>Wilson Alejandro Solarte</v>
      </c>
      <c r="L490" s="26" t="str">
        <f>VLOOKUP(C490,'[1]1.CUADRO RESUMEN DE SITIOS '!$C$5:$L$1052,10,FALSE())</f>
        <v>Terminado</v>
      </c>
      <c r="M490" s="26">
        <v>8828118999</v>
      </c>
      <c r="N490" s="26">
        <f>VLOOKUP(M490,[1]LPU!$A$2:$G$1512,2,FALSE())</f>
        <v>0</v>
      </c>
      <c r="O490" s="26" t="str">
        <f>VLOOKUP(M490,[1]LPU!$A$2:$G$1512,3,FALSE)</f>
        <v>Suministro e instalación de cable UTP Categoría 6, con conectores en sus extremos, certificado</v>
      </c>
      <c r="P490" s="26" t="str">
        <f>VLOOKUP(M490,[1]LPU!$A$2:$G$1512,4,FALSE())</f>
        <v>Item Critico</v>
      </c>
      <c r="Q490" s="26" t="str">
        <f>VLOOKUP(M490,[1]LPU!$A$2:$G$1512,5,FALSE())</f>
        <v>m</v>
      </c>
      <c r="R490" s="27">
        <f>VLOOKUP(M490,[1]LPU!$A$2:$G$1512,6,FALSE())</f>
        <v>5913</v>
      </c>
      <c r="S490" s="27" t="str">
        <f>VLOOKUP(M490,[1]LPU!$A$2:$G$1512,7,FALSE())</f>
        <v>LPU FO Propia</v>
      </c>
      <c r="T490" s="28">
        <v>3</v>
      </c>
      <c r="U490" s="29">
        <f t="shared" si="7"/>
        <v>17739</v>
      </c>
      <c r="V490" s="29" t="s">
        <v>77</v>
      </c>
      <c r="W490" s="30"/>
      <c r="X490" s="29" t="s">
        <v>254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21" customHeight="1" x14ac:dyDescent="0.3">
      <c r="A491" s="22">
        <v>487</v>
      </c>
      <c r="B491" s="23">
        <v>1</v>
      </c>
      <c r="C491" s="23" t="s">
        <v>259</v>
      </c>
      <c r="D491" s="23" t="str">
        <f>VLOOKUP(C491,'[1]1.CUADRO RESUMEN DE SITIOS '!$C$5:$L$1052,2,FALSE())</f>
        <v>CLI_02325</v>
      </c>
      <c r="E491" s="24">
        <f>VLOOKUP(C491,'[1]1.CUADRO RESUMEN DE SITIOS '!$C$5:$L$1052,3,FALSE())</f>
        <v>45931</v>
      </c>
      <c r="F491" s="23">
        <f>VLOOKUP(C491,'[1]1.CUADRO RESUMEN DE SITIOS '!$C$5:$L$1052,4,FALSE())</f>
        <v>3.4492600000000002</v>
      </c>
      <c r="G491" s="23">
        <f>VLOOKUP(C491,'[1]1.CUADRO RESUMEN DE SITIOS '!$C$5:$L$1052,5,FALSE())</f>
        <v>-76.489000000000004</v>
      </c>
      <c r="H491" s="23" t="str">
        <f>VLOOKUP(C491,'[1]1.CUADRO RESUMEN DE SITIOS '!$C$5:$L$1052,6,FALSE())</f>
        <v>Valle Del Cauca</v>
      </c>
      <c r="I491" s="23" t="str">
        <f>VLOOKUP(C491,'[1]1.CUADRO RESUMEN DE SITIOS '!$C$5:$L$1052,7,FALSE())</f>
        <v>WOM</v>
      </c>
      <c r="J491" s="25" t="str">
        <f>VLOOKUP(C491,'[1]1.CUADRO RESUMEN DE SITIOS '!$C$5:$L$1052,8,FALSE())</f>
        <v>SUROCCIDENTE</v>
      </c>
      <c r="K491" s="23" t="str">
        <f>VLOOKUP(C491,'[1]1.CUADRO RESUMEN DE SITIOS '!$C$5:$L$1052,9,FALSE())</f>
        <v>Wilson Alejandro Solarte</v>
      </c>
      <c r="L491" s="26" t="str">
        <f>VLOOKUP(C491,'[1]1.CUADRO RESUMEN DE SITIOS '!$C$5:$L$1052,10,FALSE())</f>
        <v>Terminado</v>
      </c>
      <c r="M491" s="26">
        <v>8828118925</v>
      </c>
      <c r="N491" s="26">
        <f>VLOOKUP(M491,[1]LPU!$A$2:$G$1512,2,FALSE())</f>
        <v>87</v>
      </c>
      <c r="O491" s="26" t="str">
        <f>VLOOKUP(M491,[1]LPU!$A$2:$G$1512,3,FALSE)</f>
        <v>Suministro e Instalacion de cable multifilar #4 awg tipo soldador.</v>
      </c>
      <c r="P491" s="26" t="str">
        <f>VLOOKUP(M491,[1]LPU!$A$2:$G$1512,4,FALSE())</f>
        <v>ENERGÍA</v>
      </c>
      <c r="Q491" s="26" t="str">
        <f>VLOOKUP(M491,[1]LPU!$A$2:$G$1512,5,FALSE())</f>
        <v>ML</v>
      </c>
      <c r="R491" s="27">
        <f>VLOOKUP(M491,[1]LPU!$A$2:$G$1512,6,FALSE())</f>
        <v>60815.8</v>
      </c>
      <c r="S491" s="27" t="str">
        <f>VLOOKUP(M491,[1]LPU!$A$2:$G$1512,7,FALSE())</f>
        <v>LPU FLM</v>
      </c>
      <c r="T491" s="28">
        <v>6</v>
      </c>
      <c r="U491" s="29">
        <f t="shared" si="7"/>
        <v>364894.80000000005</v>
      </c>
      <c r="V491" s="29" t="s">
        <v>77</v>
      </c>
      <c r="W491" s="30"/>
      <c r="X491" s="29" t="s">
        <v>254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21" customHeight="1" x14ac:dyDescent="0.3">
      <c r="A492" s="22">
        <v>488</v>
      </c>
      <c r="B492" s="23">
        <v>1</v>
      </c>
      <c r="C492" s="23" t="s">
        <v>259</v>
      </c>
      <c r="D492" s="23" t="str">
        <f>VLOOKUP(C492,'[1]1.CUADRO RESUMEN DE SITIOS '!$C$5:$L$1052,2,FALSE())</f>
        <v>CLI_02325</v>
      </c>
      <c r="E492" s="24">
        <f>VLOOKUP(C492,'[1]1.CUADRO RESUMEN DE SITIOS '!$C$5:$L$1052,3,FALSE())</f>
        <v>45931</v>
      </c>
      <c r="F492" s="23">
        <f>VLOOKUP(C492,'[1]1.CUADRO RESUMEN DE SITIOS '!$C$5:$L$1052,4,FALSE())</f>
        <v>3.4492600000000002</v>
      </c>
      <c r="G492" s="23">
        <f>VLOOKUP(C492,'[1]1.CUADRO RESUMEN DE SITIOS '!$C$5:$L$1052,5,FALSE())</f>
        <v>-76.489000000000004</v>
      </c>
      <c r="H492" s="23" t="str">
        <f>VLOOKUP(C492,'[1]1.CUADRO RESUMEN DE SITIOS '!$C$5:$L$1052,6,FALSE())</f>
        <v>Valle Del Cauca</v>
      </c>
      <c r="I492" s="23" t="str">
        <f>VLOOKUP(C492,'[1]1.CUADRO RESUMEN DE SITIOS '!$C$5:$L$1052,7,FALSE())</f>
        <v>WOM</v>
      </c>
      <c r="J492" s="25" t="str">
        <f>VLOOKUP(C492,'[1]1.CUADRO RESUMEN DE SITIOS '!$C$5:$L$1052,8,FALSE())</f>
        <v>SUROCCIDENTE</v>
      </c>
      <c r="K492" s="23" t="str">
        <f>VLOOKUP(C492,'[1]1.CUADRO RESUMEN DE SITIOS '!$C$5:$L$1052,9,FALSE())</f>
        <v>Wilson Alejandro Solarte</v>
      </c>
      <c r="L492" s="26" t="str">
        <f>VLOOKUP(C492,'[1]1.CUADRO RESUMEN DE SITIOS '!$C$5:$L$1052,10,FALSE())</f>
        <v>Terminado</v>
      </c>
      <c r="M492" s="26">
        <v>8828118868</v>
      </c>
      <c r="N492" s="26">
        <f>VLOOKUP(M492,[1]LPU!$A$2:$G$1512,2,FALSE())</f>
        <v>81</v>
      </c>
      <c r="O492" s="26" t="str">
        <f>VLOOKUP(M492,[1]LPU!$A$2:$G$1512,3,FALSE)</f>
        <v>Suministro e Instalacion de terminal para cable awg # 2 en cobre estañado un ojo</v>
      </c>
      <c r="P492" s="26" t="str">
        <f>VLOOKUP(M492,[1]LPU!$A$2:$G$1512,4,FALSE())</f>
        <v>ENERGÍA</v>
      </c>
      <c r="Q492" s="26" t="str">
        <f>VLOOKUP(M492,[1]LPU!$A$2:$G$1512,5,FALSE())</f>
        <v>U</v>
      </c>
      <c r="R492" s="27">
        <f>VLOOKUP(M492,[1]LPU!$A$2:$G$1512,6,FALSE())</f>
        <v>2347</v>
      </c>
      <c r="S492" s="27" t="str">
        <f>VLOOKUP(M492,[1]LPU!$A$2:$G$1512,7,FALSE())</f>
        <v>LPU FLM</v>
      </c>
      <c r="T492" s="28">
        <v>4</v>
      </c>
      <c r="U492" s="29">
        <f t="shared" si="7"/>
        <v>9388</v>
      </c>
      <c r="V492" s="29" t="s">
        <v>77</v>
      </c>
      <c r="W492" s="30"/>
      <c r="X492" s="29" t="s">
        <v>254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21" customHeight="1" x14ac:dyDescent="0.3">
      <c r="A493" s="22">
        <v>489</v>
      </c>
      <c r="B493" s="23">
        <v>1</v>
      </c>
      <c r="C493" s="23" t="s">
        <v>259</v>
      </c>
      <c r="D493" s="23" t="str">
        <f>VLOOKUP(C493,'[1]1.CUADRO RESUMEN DE SITIOS '!$C$5:$L$1052,2,FALSE())</f>
        <v>CLI_02325</v>
      </c>
      <c r="E493" s="24">
        <f>VLOOKUP(C493,'[1]1.CUADRO RESUMEN DE SITIOS '!$C$5:$L$1052,3,FALSE())</f>
        <v>45931</v>
      </c>
      <c r="F493" s="23">
        <f>VLOOKUP(C493,'[1]1.CUADRO RESUMEN DE SITIOS '!$C$5:$L$1052,4,FALSE())</f>
        <v>3.4492600000000002</v>
      </c>
      <c r="G493" s="23">
        <f>VLOOKUP(C493,'[1]1.CUADRO RESUMEN DE SITIOS '!$C$5:$L$1052,5,FALSE())</f>
        <v>-76.489000000000004</v>
      </c>
      <c r="H493" s="23" t="str">
        <f>VLOOKUP(C493,'[1]1.CUADRO RESUMEN DE SITIOS '!$C$5:$L$1052,6,FALSE())</f>
        <v>Valle Del Cauca</v>
      </c>
      <c r="I493" s="23" t="str">
        <f>VLOOKUP(C493,'[1]1.CUADRO RESUMEN DE SITIOS '!$C$5:$L$1052,7,FALSE())</f>
        <v>WOM</v>
      </c>
      <c r="J493" s="25" t="str">
        <f>VLOOKUP(C493,'[1]1.CUADRO RESUMEN DE SITIOS '!$C$5:$L$1052,8,FALSE())</f>
        <v>SUROCCIDENTE</v>
      </c>
      <c r="K493" s="23" t="str">
        <f>VLOOKUP(C493,'[1]1.CUADRO RESUMEN DE SITIOS '!$C$5:$L$1052,9,FALSE())</f>
        <v>Wilson Alejandro Solarte</v>
      </c>
      <c r="L493" s="26" t="str">
        <f>VLOOKUP(C493,'[1]1.CUADRO RESUMEN DE SITIOS '!$C$5:$L$1052,10,FALSE())</f>
        <v>Terminado</v>
      </c>
      <c r="M493" s="26">
        <v>8828119980</v>
      </c>
      <c r="N493" s="26">
        <f>VLOOKUP(M493,[1]LPU!$A$2:$G$1512,2,FALSE())</f>
        <v>169</v>
      </c>
      <c r="O493" s="26" t="str">
        <f>VLOOKUP(M493,[1]LPU!$A$2:$G$1512,3,FALSE)</f>
        <v>Reforzamiento Protección Concreto para Rack de Baterías Incluye Materiales</v>
      </c>
      <c r="P493" s="26" t="str">
        <f>VLOOKUP(M493,[1]LPU!$A$2:$G$1512,4,FALSE())</f>
        <v>LOCATIVO</v>
      </c>
      <c r="Q493" s="26" t="str">
        <f>VLOOKUP(M493,[1]LPU!$A$2:$G$1512,5,FALSE())</f>
        <v>U</v>
      </c>
      <c r="R493" s="27">
        <f>VLOOKUP(M493,[1]LPU!$A$2:$G$1512,6,FALSE())</f>
        <v>114750</v>
      </c>
      <c r="S493" s="27" t="str">
        <f>VLOOKUP(M493,[1]LPU!$A$2:$G$1512,7,FALSE())</f>
        <v>LPU FLM</v>
      </c>
      <c r="T493" s="28">
        <v>1</v>
      </c>
      <c r="U493" s="29">
        <f t="shared" si="7"/>
        <v>114750</v>
      </c>
      <c r="V493" s="29" t="s">
        <v>77</v>
      </c>
      <c r="W493" s="30"/>
      <c r="X493" s="29" t="s">
        <v>254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21" customHeight="1" x14ac:dyDescent="0.3">
      <c r="A494" s="22">
        <v>490</v>
      </c>
      <c r="B494" s="23">
        <v>1</v>
      </c>
      <c r="C494" s="23" t="s">
        <v>259</v>
      </c>
      <c r="D494" s="23" t="str">
        <f>VLOOKUP(C494,'[1]1.CUADRO RESUMEN DE SITIOS '!$C$5:$L$1052,2,FALSE())</f>
        <v>CLI_02325</v>
      </c>
      <c r="E494" s="24">
        <f>VLOOKUP(C494,'[1]1.CUADRO RESUMEN DE SITIOS '!$C$5:$L$1052,3,FALSE())</f>
        <v>45931</v>
      </c>
      <c r="F494" s="23">
        <f>VLOOKUP(C494,'[1]1.CUADRO RESUMEN DE SITIOS '!$C$5:$L$1052,4,FALSE())</f>
        <v>3.4492600000000002</v>
      </c>
      <c r="G494" s="23">
        <f>VLOOKUP(C494,'[1]1.CUADRO RESUMEN DE SITIOS '!$C$5:$L$1052,5,FALSE())</f>
        <v>-76.489000000000004</v>
      </c>
      <c r="H494" s="23" t="str">
        <f>VLOOKUP(C494,'[1]1.CUADRO RESUMEN DE SITIOS '!$C$5:$L$1052,6,FALSE())</f>
        <v>Valle Del Cauca</v>
      </c>
      <c r="I494" s="23" t="str">
        <f>VLOOKUP(C494,'[1]1.CUADRO RESUMEN DE SITIOS '!$C$5:$L$1052,7,FALSE())</f>
        <v>WOM</v>
      </c>
      <c r="J494" s="25" t="str">
        <f>VLOOKUP(C494,'[1]1.CUADRO RESUMEN DE SITIOS '!$C$5:$L$1052,8,FALSE())</f>
        <v>SUROCCIDENTE</v>
      </c>
      <c r="K494" s="23" t="str">
        <f>VLOOKUP(C494,'[1]1.CUADRO RESUMEN DE SITIOS '!$C$5:$L$1052,9,FALSE())</f>
        <v>Wilson Alejandro Solarte</v>
      </c>
      <c r="L494" s="26" t="str">
        <f>VLOOKUP(C494,'[1]1.CUADRO RESUMEN DE SITIOS '!$C$5:$L$1052,10,FALSE())</f>
        <v>Terminado</v>
      </c>
      <c r="M494" s="26">
        <v>8828119867</v>
      </c>
      <c r="N494" s="26">
        <f>VLOOKUP(M494,[1]LPU!$A$2:$G$1512,2,FALSE())</f>
        <v>158</v>
      </c>
      <c r="O494" s="26" t="str">
        <f>VLOOKUP(M494,[1]LPU!$A$2:$G$1512,3,FALSE)</f>
        <v>Reja para equipo cabinet x 4 baterías</v>
      </c>
      <c r="P494" s="26" t="str">
        <f>VLOOKUP(M494,[1]LPU!$A$2:$G$1512,4,FALSE())</f>
        <v>LOCATIVO</v>
      </c>
      <c r="Q494" s="26" t="str">
        <f>VLOOKUP(M494,[1]LPU!$A$2:$G$1512,5,FALSE())</f>
        <v>U</v>
      </c>
      <c r="R494" s="27">
        <f>VLOOKUP(M494,[1]LPU!$A$2:$G$1512,6,FALSE())</f>
        <v>489135</v>
      </c>
      <c r="S494" s="27" t="str">
        <f>VLOOKUP(M494,[1]LPU!$A$2:$G$1512,7,FALSE())</f>
        <v>LPU FLM</v>
      </c>
      <c r="T494" s="28">
        <v>1</v>
      </c>
      <c r="U494" s="29">
        <f t="shared" si="7"/>
        <v>489135</v>
      </c>
      <c r="V494" s="29" t="s">
        <v>77</v>
      </c>
      <c r="W494" s="30"/>
      <c r="X494" s="29" t="s">
        <v>254</v>
      </c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21" customHeight="1" x14ac:dyDescent="0.3">
      <c r="A495" s="22">
        <v>491</v>
      </c>
      <c r="B495" s="23">
        <v>1</v>
      </c>
      <c r="C495" s="23" t="s">
        <v>259</v>
      </c>
      <c r="D495" s="23" t="str">
        <f>VLOOKUP(C495,'[1]1.CUADRO RESUMEN DE SITIOS '!$C$5:$L$1052,2,FALSE())</f>
        <v>CLI_02325</v>
      </c>
      <c r="E495" s="24">
        <f>VLOOKUP(C495,'[1]1.CUADRO RESUMEN DE SITIOS '!$C$5:$L$1052,3,FALSE())</f>
        <v>45931</v>
      </c>
      <c r="F495" s="23">
        <f>VLOOKUP(C495,'[1]1.CUADRO RESUMEN DE SITIOS '!$C$5:$L$1052,4,FALSE())</f>
        <v>3.4492600000000002</v>
      </c>
      <c r="G495" s="23">
        <f>VLOOKUP(C495,'[1]1.CUADRO RESUMEN DE SITIOS '!$C$5:$L$1052,5,FALSE())</f>
        <v>-76.489000000000004</v>
      </c>
      <c r="H495" s="23" t="str">
        <f>VLOOKUP(C495,'[1]1.CUADRO RESUMEN DE SITIOS '!$C$5:$L$1052,6,FALSE())</f>
        <v>Valle Del Cauca</v>
      </c>
      <c r="I495" s="23" t="str">
        <f>VLOOKUP(C495,'[1]1.CUADRO RESUMEN DE SITIOS '!$C$5:$L$1052,7,FALSE())</f>
        <v>WOM</v>
      </c>
      <c r="J495" s="25" t="str">
        <f>VLOOKUP(C495,'[1]1.CUADRO RESUMEN DE SITIOS '!$C$5:$L$1052,8,FALSE())</f>
        <v>SUROCCIDENTE</v>
      </c>
      <c r="K495" s="23" t="str">
        <f>VLOOKUP(C495,'[1]1.CUADRO RESUMEN DE SITIOS '!$C$5:$L$1052,9,FALSE())</f>
        <v>Wilson Alejandro Solarte</v>
      </c>
      <c r="L495" s="26" t="str">
        <f>VLOOKUP(C495,'[1]1.CUADRO RESUMEN DE SITIOS '!$C$5:$L$1052,10,FALSE())</f>
        <v>Terminado</v>
      </c>
      <c r="M495" s="26">
        <v>8828119045</v>
      </c>
      <c r="N495" s="26">
        <f>VLOOKUP(M495,[1]LPU!$A$2:$G$1512,2,FALSE())</f>
        <v>5.29</v>
      </c>
      <c r="O495" s="26" t="str">
        <f>VLOOKUP(M495,[1]LPU!$A$2:$G$1512,3,FALSE)</f>
        <v>Suministro e instalación de estructura metálica en acero galvanizado para refuerzo, soportes, bases y adecuaciones en general.</v>
      </c>
      <c r="P495" s="26" t="str">
        <f>VLOOKUP(M495,[1]LPU!$A$2:$G$1512,4,FALSE())</f>
        <v>Mantenimiento CW</v>
      </c>
      <c r="Q495" s="26" t="str">
        <f>VLOOKUP(M495,[1]LPU!$A$2:$G$1512,5,FALSE())</f>
        <v>Kg</v>
      </c>
      <c r="R495" s="27">
        <f>VLOOKUP(M495,[1]LPU!$A$2:$G$1512,6,FALSE())</f>
        <v>12911.5</v>
      </c>
      <c r="S495" s="27" t="str">
        <f>VLOOKUP(M495,[1]LPU!$A$2:$G$1512,7,FALSE())</f>
        <v>Mantenimiento CW</v>
      </c>
      <c r="T495" s="28">
        <v>30</v>
      </c>
      <c r="U495" s="29">
        <f t="shared" si="7"/>
        <v>387345</v>
      </c>
      <c r="V495" s="29" t="s">
        <v>77</v>
      </c>
      <c r="W495" s="30"/>
      <c r="X495" s="29" t="s">
        <v>254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21" customHeight="1" x14ac:dyDescent="0.3">
      <c r="A496" s="22">
        <v>492</v>
      </c>
      <c r="B496" s="23">
        <v>1</v>
      </c>
      <c r="C496" s="23" t="s">
        <v>259</v>
      </c>
      <c r="D496" s="23" t="str">
        <f>VLOOKUP(C496,'[1]1.CUADRO RESUMEN DE SITIOS '!$C$5:$L$1052,2,FALSE())</f>
        <v>CLI_02325</v>
      </c>
      <c r="E496" s="24">
        <f>VLOOKUP(C496,'[1]1.CUADRO RESUMEN DE SITIOS '!$C$5:$L$1052,3,FALSE())</f>
        <v>45931</v>
      </c>
      <c r="F496" s="23">
        <f>VLOOKUP(C496,'[1]1.CUADRO RESUMEN DE SITIOS '!$C$5:$L$1052,4,FALSE())</f>
        <v>3.4492600000000002</v>
      </c>
      <c r="G496" s="23">
        <f>VLOOKUP(C496,'[1]1.CUADRO RESUMEN DE SITIOS '!$C$5:$L$1052,5,FALSE())</f>
        <v>-76.489000000000004</v>
      </c>
      <c r="H496" s="23" t="str">
        <f>VLOOKUP(C496,'[1]1.CUADRO RESUMEN DE SITIOS '!$C$5:$L$1052,6,FALSE())</f>
        <v>Valle Del Cauca</v>
      </c>
      <c r="I496" s="23" t="str">
        <f>VLOOKUP(C496,'[1]1.CUADRO RESUMEN DE SITIOS '!$C$5:$L$1052,7,FALSE())</f>
        <v>WOM</v>
      </c>
      <c r="J496" s="25" t="str">
        <f>VLOOKUP(C496,'[1]1.CUADRO RESUMEN DE SITIOS '!$C$5:$L$1052,8,FALSE())</f>
        <v>SUROCCIDENTE</v>
      </c>
      <c r="K496" s="23" t="str">
        <f>VLOOKUP(C496,'[1]1.CUADRO RESUMEN DE SITIOS '!$C$5:$L$1052,9,FALSE())</f>
        <v>Wilson Alejandro Solarte</v>
      </c>
      <c r="L496" s="26" t="str">
        <f>VLOOKUP(C496,'[1]1.CUADRO RESUMEN DE SITIOS '!$C$5:$L$1052,10,FALSE())</f>
        <v>Terminado</v>
      </c>
      <c r="M496" s="26">
        <v>8828119921</v>
      </c>
      <c r="N496" s="26">
        <f>VLOOKUP(M496,[1]LPU!$A$2:$G$1512,2,FALSE())</f>
        <v>163</v>
      </c>
      <c r="O496" s="26" t="str">
        <f>VLOOKUP(M496,[1]LPU!$A$2:$G$1512,3,FALSE)</f>
        <v>Tansporte tipo A, ciudad principal y área metropolitana</v>
      </c>
      <c r="P496" s="26" t="str">
        <f>VLOOKUP(M496,[1]LPU!$A$2:$G$1512,4,FALSE())</f>
        <v>LOCATIVO</v>
      </c>
      <c r="Q496" s="26" t="str">
        <f>VLOOKUP(M496,[1]LPU!$A$2:$G$1512,5,FALSE())</f>
        <v>Global</v>
      </c>
      <c r="R496" s="27">
        <f>VLOOKUP(M496,[1]LPU!$A$2:$G$1512,6,FALSE())</f>
        <v>133571.54999999999</v>
      </c>
      <c r="S496" s="27" t="str">
        <f>VLOOKUP(M496,[1]LPU!$A$2:$G$1512,7,FALSE())</f>
        <v>LPU FLM</v>
      </c>
      <c r="T496" s="28">
        <v>1</v>
      </c>
      <c r="U496" s="29">
        <f t="shared" si="7"/>
        <v>133571.54999999999</v>
      </c>
      <c r="V496" s="29" t="s">
        <v>77</v>
      </c>
      <c r="W496" s="30"/>
      <c r="X496" s="29" t="s">
        <v>254</v>
      </c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21" customHeight="1" x14ac:dyDescent="0.3">
      <c r="A497" s="22">
        <v>493</v>
      </c>
      <c r="B497" s="23">
        <v>1</v>
      </c>
      <c r="C497" s="23" t="s">
        <v>259</v>
      </c>
      <c r="D497" s="23" t="str">
        <f>VLOOKUP(C497,'[1]1.CUADRO RESUMEN DE SITIOS '!$C$5:$L$1052,2,FALSE())</f>
        <v>CLI_02325</v>
      </c>
      <c r="E497" s="24">
        <f>VLOOKUP(C497,'[1]1.CUADRO RESUMEN DE SITIOS '!$C$5:$L$1052,3,FALSE())</f>
        <v>45931</v>
      </c>
      <c r="F497" s="23">
        <f>VLOOKUP(C497,'[1]1.CUADRO RESUMEN DE SITIOS '!$C$5:$L$1052,4,FALSE())</f>
        <v>3.4492600000000002</v>
      </c>
      <c r="G497" s="23">
        <f>VLOOKUP(C497,'[1]1.CUADRO RESUMEN DE SITIOS '!$C$5:$L$1052,5,FALSE())</f>
        <v>-76.489000000000004</v>
      </c>
      <c r="H497" s="23" t="str">
        <f>VLOOKUP(C497,'[1]1.CUADRO RESUMEN DE SITIOS '!$C$5:$L$1052,6,FALSE())</f>
        <v>Valle Del Cauca</v>
      </c>
      <c r="I497" s="23" t="str">
        <f>VLOOKUP(C497,'[1]1.CUADRO RESUMEN DE SITIOS '!$C$5:$L$1052,7,FALSE())</f>
        <v>WOM</v>
      </c>
      <c r="J497" s="25" t="str">
        <f>VLOOKUP(C497,'[1]1.CUADRO RESUMEN DE SITIOS '!$C$5:$L$1052,8,FALSE())</f>
        <v>SUROCCIDENTE</v>
      </c>
      <c r="K497" s="23" t="str">
        <f>VLOOKUP(C497,'[1]1.CUADRO RESUMEN DE SITIOS '!$C$5:$L$1052,9,FALSE())</f>
        <v>Wilson Alejandro Solarte</v>
      </c>
      <c r="L497" s="26" t="str">
        <f>VLOOKUP(C497,'[1]1.CUADRO RESUMEN DE SITIOS '!$C$5:$L$1052,10,FALSE())</f>
        <v>Terminado</v>
      </c>
      <c r="M497" s="26">
        <v>8828119110</v>
      </c>
      <c r="N497" s="26">
        <f>VLOOKUP(M497,[1]LPU!$A$2:$G$1512,2,FALSE())</f>
        <v>107</v>
      </c>
      <c r="O497" s="26" t="str">
        <f>VLOOKUP(M497,[1]LPU!$A$2:$G$1512,3,FALSE)</f>
        <v>Mano de Obra Tecnico Electricista Certficado CONTE</v>
      </c>
      <c r="P497" s="26" t="str">
        <f>VLOOKUP(M497,[1]LPU!$A$2:$G$1512,4,FALSE())</f>
        <v>ENERGÍA</v>
      </c>
      <c r="Q497" s="26" t="str">
        <f>VLOOKUP(M497,[1]LPU!$A$2:$G$1512,5,FALSE())</f>
        <v>DIA</v>
      </c>
      <c r="R497" s="27">
        <f>VLOOKUP(M497,[1]LPU!$A$2:$G$1512,6,FALSE())</f>
        <v>136000</v>
      </c>
      <c r="S497" s="27" t="str">
        <f>VLOOKUP(M497,[1]LPU!$A$2:$G$1512,7,FALSE())</f>
        <v>LPU FLM</v>
      </c>
      <c r="T497" s="28">
        <v>2</v>
      </c>
      <c r="U497" s="29">
        <f t="shared" si="7"/>
        <v>272000</v>
      </c>
      <c r="V497" s="29" t="s">
        <v>77</v>
      </c>
      <c r="W497" s="30"/>
      <c r="X497" s="29" t="s">
        <v>254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21" customHeight="1" x14ac:dyDescent="0.3">
      <c r="A498" s="22">
        <v>494</v>
      </c>
      <c r="B498" s="23">
        <v>1</v>
      </c>
      <c r="C498" s="23" t="s">
        <v>260</v>
      </c>
      <c r="D498" s="23" t="str">
        <f>VLOOKUP(C498,'[1]1.CUADRO RESUMEN DE SITIOS '!$C$5:$L$1052,2,FALSE())</f>
        <v>CLI_02277</v>
      </c>
      <c r="E498" s="24">
        <f>VLOOKUP(C498,'[1]1.CUADRO RESUMEN DE SITIOS '!$C$5:$L$1052,3,FALSE())</f>
        <v>45930</v>
      </c>
      <c r="F498" s="23">
        <f>VLOOKUP(C498,'[1]1.CUADRO RESUMEN DE SITIOS '!$C$5:$L$1052,4,FALSE())</f>
        <v>3.4953599999999998</v>
      </c>
      <c r="G498" s="23">
        <f>VLOOKUP(C498,'[1]1.CUADRO RESUMEN DE SITIOS '!$C$5:$L$1052,5,FALSE())</f>
        <v>-76.593500000000006</v>
      </c>
      <c r="H498" s="23" t="str">
        <f>VLOOKUP(C498,'[1]1.CUADRO RESUMEN DE SITIOS '!$C$5:$L$1052,6,FALSE())</f>
        <v>Valle Del Cauca</v>
      </c>
      <c r="I498" s="23" t="str">
        <f>VLOOKUP(C498,'[1]1.CUADRO RESUMEN DE SITIOS '!$C$5:$L$1052,7,FALSE())</f>
        <v>WOM</v>
      </c>
      <c r="J498" s="25" t="str">
        <f>VLOOKUP(C498,'[1]1.CUADRO RESUMEN DE SITIOS '!$C$5:$L$1052,8,FALSE())</f>
        <v>SUROCCIDENTE</v>
      </c>
      <c r="K498" s="23" t="str">
        <f>VLOOKUP(C498,'[1]1.CUADRO RESUMEN DE SITIOS '!$C$5:$L$1052,9,FALSE())</f>
        <v>Wilson Alejandro Solarte</v>
      </c>
      <c r="L498" s="26" t="str">
        <f>VLOOKUP(C498,'[1]1.CUADRO RESUMEN DE SITIOS '!$C$5:$L$1052,10,FALSE())</f>
        <v>Terminado</v>
      </c>
      <c r="M498" s="26">
        <v>8828119492</v>
      </c>
      <c r="N498" s="26">
        <f>VLOOKUP(M498,[1]LPU!$A$2:$G$1512,2,FALSE())</f>
        <v>53</v>
      </c>
      <c r="O498" s="26" t="str">
        <f>VLOOKUP(M498,[1]LPU!$A$2:$G$1512,3,FALSE)</f>
        <v>Instalación Banco de Baterias para Rectificadores - Aplica para ampliaciones.</v>
      </c>
      <c r="P498" s="26" t="str">
        <f>VLOOKUP(M498,[1]LPU!$A$2:$G$1512,4,FALSE())</f>
        <v>ENERGÍA</v>
      </c>
      <c r="Q498" s="26" t="str">
        <f>VLOOKUP(M498,[1]LPU!$A$2:$G$1512,5,FALSE())</f>
        <v>U</v>
      </c>
      <c r="R498" s="27">
        <f>VLOOKUP(M498,[1]LPU!$A$2:$G$1512,6,FALSE())</f>
        <v>102340</v>
      </c>
      <c r="S498" s="27" t="str">
        <f>VLOOKUP(M498,[1]LPU!$A$2:$G$1512,7,FALSE())</f>
        <v>LPU FLM</v>
      </c>
      <c r="T498" s="28">
        <v>1</v>
      </c>
      <c r="U498" s="29">
        <f t="shared" si="7"/>
        <v>102340</v>
      </c>
      <c r="V498" s="29" t="s">
        <v>77</v>
      </c>
      <c r="W498" s="30"/>
      <c r="X498" s="29" t="s">
        <v>254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ht="21" customHeight="1" x14ac:dyDescent="0.3">
      <c r="A499" s="22">
        <v>495</v>
      </c>
      <c r="B499" s="23">
        <v>1</v>
      </c>
      <c r="C499" s="23" t="s">
        <v>260</v>
      </c>
      <c r="D499" s="23" t="str">
        <f>VLOOKUP(C499,'[1]1.CUADRO RESUMEN DE SITIOS '!$C$5:$L$1052,2,FALSE())</f>
        <v>CLI_02277</v>
      </c>
      <c r="E499" s="24">
        <f>VLOOKUP(C499,'[1]1.CUADRO RESUMEN DE SITIOS '!$C$5:$L$1052,3,FALSE())</f>
        <v>45930</v>
      </c>
      <c r="F499" s="23">
        <f>VLOOKUP(C499,'[1]1.CUADRO RESUMEN DE SITIOS '!$C$5:$L$1052,4,FALSE())</f>
        <v>3.4953599999999998</v>
      </c>
      <c r="G499" s="23">
        <f>VLOOKUP(C499,'[1]1.CUADRO RESUMEN DE SITIOS '!$C$5:$L$1052,5,FALSE())</f>
        <v>-76.593500000000006</v>
      </c>
      <c r="H499" s="23" t="str">
        <f>VLOOKUP(C499,'[1]1.CUADRO RESUMEN DE SITIOS '!$C$5:$L$1052,6,FALSE())</f>
        <v>Valle Del Cauca</v>
      </c>
      <c r="I499" s="23" t="str">
        <f>VLOOKUP(C499,'[1]1.CUADRO RESUMEN DE SITIOS '!$C$5:$L$1052,7,FALSE())</f>
        <v>WOM</v>
      </c>
      <c r="J499" s="25" t="str">
        <f>VLOOKUP(C499,'[1]1.CUADRO RESUMEN DE SITIOS '!$C$5:$L$1052,8,FALSE())</f>
        <v>SUROCCIDENTE</v>
      </c>
      <c r="K499" s="23" t="str">
        <f>VLOOKUP(C499,'[1]1.CUADRO RESUMEN DE SITIOS '!$C$5:$L$1052,9,FALSE())</f>
        <v>Wilson Alejandro Solarte</v>
      </c>
      <c r="L499" s="26" t="str">
        <f>VLOOKUP(C499,'[1]1.CUADRO RESUMEN DE SITIOS '!$C$5:$L$1052,10,FALSE())</f>
        <v>Terminado</v>
      </c>
      <c r="M499" s="26">
        <v>8828119512</v>
      </c>
      <c r="N499" s="26">
        <f>VLOOKUP(M499,[1]LPU!$A$2:$G$1512,2,FALSE())</f>
        <v>55</v>
      </c>
      <c r="O499" s="26" t="str">
        <f>VLOOKUP(M499,[1]LPU!$A$2:$G$1512,3,FALSE)</f>
        <v>Transporte Banco de Baterias</v>
      </c>
      <c r="P499" s="26" t="str">
        <f>VLOOKUP(M499,[1]LPU!$A$2:$G$1512,4,FALSE())</f>
        <v>ENERGÍA</v>
      </c>
      <c r="Q499" s="26" t="str">
        <f>VLOOKUP(M499,[1]LPU!$A$2:$G$1512,5,FALSE())</f>
        <v>U</v>
      </c>
      <c r="R499" s="27">
        <f>VLOOKUP(M499,[1]LPU!$A$2:$G$1512,6,FALSE())</f>
        <v>82212</v>
      </c>
      <c r="S499" s="27" t="str">
        <f>VLOOKUP(M499,[1]LPU!$A$2:$G$1512,7,FALSE())</f>
        <v>LPU FLM</v>
      </c>
      <c r="T499" s="28">
        <v>1</v>
      </c>
      <c r="U499" s="29">
        <f t="shared" si="7"/>
        <v>82212</v>
      </c>
      <c r="V499" s="29" t="s">
        <v>77</v>
      </c>
      <c r="W499" s="30"/>
      <c r="X499" s="29" t="s">
        <v>254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ht="21" customHeight="1" x14ac:dyDescent="0.3">
      <c r="A500" s="22">
        <v>496</v>
      </c>
      <c r="B500" s="23">
        <v>1</v>
      </c>
      <c r="C500" s="23" t="s">
        <v>260</v>
      </c>
      <c r="D500" s="23" t="str">
        <f>VLOOKUP(C500,'[1]1.CUADRO RESUMEN DE SITIOS '!$C$5:$L$1052,2,FALSE())</f>
        <v>CLI_02277</v>
      </c>
      <c r="E500" s="24">
        <f>VLOOKUP(C500,'[1]1.CUADRO RESUMEN DE SITIOS '!$C$5:$L$1052,3,FALSE())</f>
        <v>45930</v>
      </c>
      <c r="F500" s="23">
        <f>VLOOKUP(C500,'[1]1.CUADRO RESUMEN DE SITIOS '!$C$5:$L$1052,4,FALSE())</f>
        <v>3.4953599999999998</v>
      </c>
      <c r="G500" s="23">
        <f>VLOOKUP(C500,'[1]1.CUADRO RESUMEN DE SITIOS '!$C$5:$L$1052,5,FALSE())</f>
        <v>-76.593500000000006</v>
      </c>
      <c r="H500" s="23" t="str">
        <f>VLOOKUP(C500,'[1]1.CUADRO RESUMEN DE SITIOS '!$C$5:$L$1052,6,FALSE())</f>
        <v>Valle Del Cauca</v>
      </c>
      <c r="I500" s="23" t="str">
        <f>VLOOKUP(C500,'[1]1.CUADRO RESUMEN DE SITIOS '!$C$5:$L$1052,7,FALSE())</f>
        <v>WOM</v>
      </c>
      <c r="J500" s="25" t="str">
        <f>VLOOKUP(C500,'[1]1.CUADRO RESUMEN DE SITIOS '!$C$5:$L$1052,8,FALSE())</f>
        <v>SUROCCIDENTE</v>
      </c>
      <c r="K500" s="23" t="str">
        <f>VLOOKUP(C500,'[1]1.CUADRO RESUMEN DE SITIOS '!$C$5:$L$1052,9,FALSE())</f>
        <v>Wilson Alejandro Solarte</v>
      </c>
      <c r="L500" s="26" t="str">
        <f>VLOOKUP(C500,'[1]1.CUADRO RESUMEN DE SITIOS '!$C$5:$L$1052,10,FALSE())</f>
        <v>Terminado</v>
      </c>
      <c r="M500" s="26">
        <v>8828118999</v>
      </c>
      <c r="N500" s="26">
        <f>VLOOKUP(M500,[1]LPU!$A$2:$G$1512,2,FALSE())</f>
        <v>0</v>
      </c>
      <c r="O500" s="26" t="str">
        <f>VLOOKUP(M500,[1]LPU!$A$2:$G$1512,3,FALSE)</f>
        <v>Suministro e instalación de cable UTP Categoría 6, con conectores en sus extremos, certificado</v>
      </c>
      <c r="P500" s="26" t="str">
        <f>VLOOKUP(M500,[1]LPU!$A$2:$G$1512,4,FALSE())</f>
        <v>Item Critico</v>
      </c>
      <c r="Q500" s="26" t="str">
        <f>VLOOKUP(M500,[1]LPU!$A$2:$G$1512,5,FALSE())</f>
        <v>m</v>
      </c>
      <c r="R500" s="27">
        <f>VLOOKUP(M500,[1]LPU!$A$2:$G$1512,6,FALSE())</f>
        <v>5913</v>
      </c>
      <c r="S500" s="27" t="str">
        <f>VLOOKUP(M500,[1]LPU!$A$2:$G$1512,7,FALSE())</f>
        <v>LPU FO Propia</v>
      </c>
      <c r="T500" s="28">
        <v>3</v>
      </c>
      <c r="U500" s="29">
        <f t="shared" si="7"/>
        <v>17739</v>
      </c>
      <c r="V500" s="29" t="s">
        <v>77</v>
      </c>
      <c r="W500" s="30"/>
      <c r="X500" s="29" t="s">
        <v>254</v>
      </c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ht="21" customHeight="1" x14ac:dyDescent="0.3">
      <c r="A501" s="22">
        <v>497</v>
      </c>
      <c r="B501" s="23">
        <v>1</v>
      </c>
      <c r="C501" s="23" t="s">
        <v>260</v>
      </c>
      <c r="D501" s="23" t="str">
        <f>VLOOKUP(C501,'[1]1.CUADRO RESUMEN DE SITIOS '!$C$5:$L$1052,2,FALSE())</f>
        <v>CLI_02277</v>
      </c>
      <c r="E501" s="24">
        <f>VLOOKUP(C501,'[1]1.CUADRO RESUMEN DE SITIOS '!$C$5:$L$1052,3,FALSE())</f>
        <v>45930</v>
      </c>
      <c r="F501" s="23">
        <f>VLOOKUP(C501,'[1]1.CUADRO RESUMEN DE SITIOS '!$C$5:$L$1052,4,FALSE())</f>
        <v>3.4953599999999998</v>
      </c>
      <c r="G501" s="23">
        <f>VLOOKUP(C501,'[1]1.CUADRO RESUMEN DE SITIOS '!$C$5:$L$1052,5,FALSE())</f>
        <v>-76.593500000000006</v>
      </c>
      <c r="H501" s="23" t="str">
        <f>VLOOKUP(C501,'[1]1.CUADRO RESUMEN DE SITIOS '!$C$5:$L$1052,6,FALSE())</f>
        <v>Valle Del Cauca</v>
      </c>
      <c r="I501" s="23" t="str">
        <f>VLOOKUP(C501,'[1]1.CUADRO RESUMEN DE SITIOS '!$C$5:$L$1052,7,FALSE())</f>
        <v>WOM</v>
      </c>
      <c r="J501" s="25" t="str">
        <f>VLOOKUP(C501,'[1]1.CUADRO RESUMEN DE SITIOS '!$C$5:$L$1052,8,FALSE())</f>
        <v>SUROCCIDENTE</v>
      </c>
      <c r="K501" s="23" t="str">
        <f>VLOOKUP(C501,'[1]1.CUADRO RESUMEN DE SITIOS '!$C$5:$L$1052,9,FALSE())</f>
        <v>Wilson Alejandro Solarte</v>
      </c>
      <c r="L501" s="26" t="str">
        <f>VLOOKUP(C501,'[1]1.CUADRO RESUMEN DE SITIOS '!$C$5:$L$1052,10,FALSE())</f>
        <v>Terminado</v>
      </c>
      <c r="M501" s="26">
        <v>8828118925</v>
      </c>
      <c r="N501" s="26">
        <f>VLOOKUP(M501,[1]LPU!$A$2:$G$1512,2,FALSE())</f>
        <v>87</v>
      </c>
      <c r="O501" s="26" t="str">
        <f>VLOOKUP(M501,[1]LPU!$A$2:$G$1512,3,FALSE)</f>
        <v>Suministro e Instalacion de cable multifilar #4 awg tipo soldador.</v>
      </c>
      <c r="P501" s="26" t="str">
        <f>VLOOKUP(M501,[1]LPU!$A$2:$G$1512,4,FALSE())</f>
        <v>ENERGÍA</v>
      </c>
      <c r="Q501" s="26" t="str">
        <f>VLOOKUP(M501,[1]LPU!$A$2:$G$1512,5,FALSE())</f>
        <v>ML</v>
      </c>
      <c r="R501" s="27">
        <f>VLOOKUP(M501,[1]LPU!$A$2:$G$1512,6,FALSE())</f>
        <v>60815.8</v>
      </c>
      <c r="S501" s="27" t="str">
        <f>VLOOKUP(M501,[1]LPU!$A$2:$G$1512,7,FALSE())</f>
        <v>LPU FLM</v>
      </c>
      <c r="T501" s="28">
        <v>6</v>
      </c>
      <c r="U501" s="29">
        <f t="shared" si="7"/>
        <v>364894.80000000005</v>
      </c>
      <c r="V501" s="29" t="s">
        <v>77</v>
      </c>
      <c r="W501" s="30"/>
      <c r="X501" s="29" t="s">
        <v>254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ht="21" customHeight="1" x14ac:dyDescent="0.3">
      <c r="A502" s="22">
        <v>498</v>
      </c>
      <c r="B502" s="23">
        <v>1</v>
      </c>
      <c r="C502" s="23" t="s">
        <v>260</v>
      </c>
      <c r="D502" s="23" t="str">
        <f>VLOOKUP(C502,'[1]1.CUADRO RESUMEN DE SITIOS '!$C$5:$L$1052,2,FALSE())</f>
        <v>CLI_02277</v>
      </c>
      <c r="E502" s="24">
        <f>VLOOKUP(C502,'[1]1.CUADRO RESUMEN DE SITIOS '!$C$5:$L$1052,3,FALSE())</f>
        <v>45930</v>
      </c>
      <c r="F502" s="23">
        <f>VLOOKUP(C502,'[1]1.CUADRO RESUMEN DE SITIOS '!$C$5:$L$1052,4,FALSE())</f>
        <v>3.4953599999999998</v>
      </c>
      <c r="G502" s="23">
        <f>VLOOKUP(C502,'[1]1.CUADRO RESUMEN DE SITIOS '!$C$5:$L$1052,5,FALSE())</f>
        <v>-76.593500000000006</v>
      </c>
      <c r="H502" s="23" t="str">
        <f>VLOOKUP(C502,'[1]1.CUADRO RESUMEN DE SITIOS '!$C$5:$L$1052,6,FALSE())</f>
        <v>Valle Del Cauca</v>
      </c>
      <c r="I502" s="23" t="str">
        <f>VLOOKUP(C502,'[1]1.CUADRO RESUMEN DE SITIOS '!$C$5:$L$1052,7,FALSE())</f>
        <v>WOM</v>
      </c>
      <c r="J502" s="25" t="str">
        <f>VLOOKUP(C502,'[1]1.CUADRO RESUMEN DE SITIOS '!$C$5:$L$1052,8,FALSE())</f>
        <v>SUROCCIDENTE</v>
      </c>
      <c r="K502" s="23" t="str">
        <f>VLOOKUP(C502,'[1]1.CUADRO RESUMEN DE SITIOS '!$C$5:$L$1052,9,FALSE())</f>
        <v>Wilson Alejandro Solarte</v>
      </c>
      <c r="L502" s="26" t="str">
        <f>VLOOKUP(C502,'[1]1.CUADRO RESUMEN DE SITIOS '!$C$5:$L$1052,10,FALSE())</f>
        <v>Terminado</v>
      </c>
      <c r="M502" s="26">
        <v>8828118868</v>
      </c>
      <c r="N502" s="26">
        <f>VLOOKUP(M502,[1]LPU!$A$2:$G$1512,2,FALSE())</f>
        <v>81</v>
      </c>
      <c r="O502" s="26" t="str">
        <f>VLOOKUP(M502,[1]LPU!$A$2:$G$1512,3,FALSE)</f>
        <v>Suministro e Instalacion de terminal para cable awg # 2 en cobre estañado un ojo</v>
      </c>
      <c r="P502" s="26" t="str">
        <f>VLOOKUP(M502,[1]LPU!$A$2:$G$1512,4,FALSE())</f>
        <v>ENERGÍA</v>
      </c>
      <c r="Q502" s="26" t="str">
        <f>VLOOKUP(M502,[1]LPU!$A$2:$G$1512,5,FALSE())</f>
        <v>U</v>
      </c>
      <c r="R502" s="27">
        <f>VLOOKUP(M502,[1]LPU!$A$2:$G$1512,6,FALSE())</f>
        <v>2347</v>
      </c>
      <c r="S502" s="27" t="str">
        <f>VLOOKUP(M502,[1]LPU!$A$2:$G$1512,7,FALSE())</f>
        <v>LPU FLM</v>
      </c>
      <c r="T502" s="28">
        <v>4</v>
      </c>
      <c r="U502" s="29">
        <f t="shared" si="7"/>
        <v>9388</v>
      </c>
      <c r="V502" s="29" t="s">
        <v>77</v>
      </c>
      <c r="W502" s="30"/>
      <c r="X502" s="29" t="s">
        <v>254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ht="21" customHeight="1" x14ac:dyDescent="0.3">
      <c r="A503" s="22">
        <v>499</v>
      </c>
      <c r="B503" s="23">
        <v>1</v>
      </c>
      <c r="C503" s="23" t="s">
        <v>260</v>
      </c>
      <c r="D503" s="23" t="str">
        <f>VLOOKUP(C503,'[1]1.CUADRO RESUMEN DE SITIOS '!$C$5:$L$1052,2,FALSE())</f>
        <v>CLI_02277</v>
      </c>
      <c r="E503" s="24">
        <f>VLOOKUP(C503,'[1]1.CUADRO RESUMEN DE SITIOS '!$C$5:$L$1052,3,FALSE())</f>
        <v>45930</v>
      </c>
      <c r="F503" s="23">
        <f>VLOOKUP(C503,'[1]1.CUADRO RESUMEN DE SITIOS '!$C$5:$L$1052,4,FALSE())</f>
        <v>3.4953599999999998</v>
      </c>
      <c r="G503" s="23">
        <f>VLOOKUP(C503,'[1]1.CUADRO RESUMEN DE SITIOS '!$C$5:$L$1052,5,FALSE())</f>
        <v>-76.593500000000006</v>
      </c>
      <c r="H503" s="23" t="str">
        <f>VLOOKUP(C503,'[1]1.CUADRO RESUMEN DE SITIOS '!$C$5:$L$1052,6,FALSE())</f>
        <v>Valle Del Cauca</v>
      </c>
      <c r="I503" s="23" t="str">
        <f>VLOOKUP(C503,'[1]1.CUADRO RESUMEN DE SITIOS '!$C$5:$L$1052,7,FALSE())</f>
        <v>WOM</v>
      </c>
      <c r="J503" s="25" t="str">
        <f>VLOOKUP(C503,'[1]1.CUADRO RESUMEN DE SITIOS '!$C$5:$L$1052,8,FALSE())</f>
        <v>SUROCCIDENTE</v>
      </c>
      <c r="K503" s="23" t="str">
        <f>VLOOKUP(C503,'[1]1.CUADRO RESUMEN DE SITIOS '!$C$5:$L$1052,9,FALSE())</f>
        <v>Wilson Alejandro Solarte</v>
      </c>
      <c r="L503" s="26" t="str">
        <f>VLOOKUP(C503,'[1]1.CUADRO RESUMEN DE SITIOS '!$C$5:$L$1052,10,FALSE())</f>
        <v>Terminado</v>
      </c>
      <c r="M503" s="26">
        <v>8828119980</v>
      </c>
      <c r="N503" s="26">
        <f>VLOOKUP(M503,[1]LPU!$A$2:$G$1512,2,FALSE())</f>
        <v>169</v>
      </c>
      <c r="O503" s="26" t="str">
        <f>VLOOKUP(M503,[1]LPU!$A$2:$G$1512,3,FALSE)</f>
        <v>Reforzamiento Protección Concreto para Rack de Baterías Incluye Materiales</v>
      </c>
      <c r="P503" s="26" t="str">
        <f>VLOOKUP(M503,[1]LPU!$A$2:$G$1512,4,FALSE())</f>
        <v>LOCATIVO</v>
      </c>
      <c r="Q503" s="26" t="str">
        <f>VLOOKUP(M503,[1]LPU!$A$2:$G$1512,5,FALSE())</f>
        <v>U</v>
      </c>
      <c r="R503" s="27">
        <f>VLOOKUP(M503,[1]LPU!$A$2:$G$1512,6,FALSE())</f>
        <v>114750</v>
      </c>
      <c r="S503" s="27" t="str">
        <f>VLOOKUP(M503,[1]LPU!$A$2:$G$1512,7,FALSE())</f>
        <v>LPU FLM</v>
      </c>
      <c r="T503" s="28">
        <v>1</v>
      </c>
      <c r="U503" s="29">
        <f t="shared" si="7"/>
        <v>114750</v>
      </c>
      <c r="V503" s="29" t="s">
        <v>77</v>
      </c>
      <c r="W503" s="30"/>
      <c r="X503" s="29" t="s">
        <v>254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ht="21" customHeight="1" x14ac:dyDescent="0.3">
      <c r="A504" s="22">
        <v>500</v>
      </c>
      <c r="B504" s="23">
        <v>1</v>
      </c>
      <c r="C504" s="23" t="s">
        <v>260</v>
      </c>
      <c r="D504" s="23" t="str">
        <f>VLOOKUP(C504,'[1]1.CUADRO RESUMEN DE SITIOS '!$C$5:$L$1052,2,FALSE())</f>
        <v>CLI_02277</v>
      </c>
      <c r="E504" s="24">
        <f>VLOOKUP(C504,'[1]1.CUADRO RESUMEN DE SITIOS '!$C$5:$L$1052,3,FALSE())</f>
        <v>45930</v>
      </c>
      <c r="F504" s="23">
        <f>VLOOKUP(C504,'[1]1.CUADRO RESUMEN DE SITIOS '!$C$5:$L$1052,4,FALSE())</f>
        <v>3.4953599999999998</v>
      </c>
      <c r="G504" s="23">
        <f>VLOOKUP(C504,'[1]1.CUADRO RESUMEN DE SITIOS '!$C$5:$L$1052,5,FALSE())</f>
        <v>-76.593500000000006</v>
      </c>
      <c r="H504" s="23" t="str">
        <f>VLOOKUP(C504,'[1]1.CUADRO RESUMEN DE SITIOS '!$C$5:$L$1052,6,FALSE())</f>
        <v>Valle Del Cauca</v>
      </c>
      <c r="I504" s="23" t="str">
        <f>VLOOKUP(C504,'[1]1.CUADRO RESUMEN DE SITIOS '!$C$5:$L$1052,7,FALSE())</f>
        <v>WOM</v>
      </c>
      <c r="J504" s="25" t="str">
        <f>VLOOKUP(C504,'[1]1.CUADRO RESUMEN DE SITIOS '!$C$5:$L$1052,8,FALSE())</f>
        <v>SUROCCIDENTE</v>
      </c>
      <c r="K504" s="23" t="str">
        <f>VLOOKUP(C504,'[1]1.CUADRO RESUMEN DE SITIOS '!$C$5:$L$1052,9,FALSE())</f>
        <v>Wilson Alejandro Solarte</v>
      </c>
      <c r="L504" s="26" t="str">
        <f>VLOOKUP(C504,'[1]1.CUADRO RESUMEN DE SITIOS '!$C$5:$L$1052,10,FALSE())</f>
        <v>Terminado</v>
      </c>
      <c r="M504" s="26">
        <v>8828119867</v>
      </c>
      <c r="N504" s="26">
        <f>VLOOKUP(M504,[1]LPU!$A$2:$G$1512,2,FALSE())</f>
        <v>158</v>
      </c>
      <c r="O504" s="26" t="str">
        <f>VLOOKUP(M504,[1]LPU!$A$2:$G$1512,3,FALSE)</f>
        <v>Reja para equipo cabinet x 4 baterías</v>
      </c>
      <c r="P504" s="26" t="str">
        <f>VLOOKUP(M504,[1]LPU!$A$2:$G$1512,4,FALSE())</f>
        <v>LOCATIVO</v>
      </c>
      <c r="Q504" s="26" t="str">
        <f>VLOOKUP(M504,[1]LPU!$A$2:$G$1512,5,FALSE())</f>
        <v>U</v>
      </c>
      <c r="R504" s="27">
        <f>VLOOKUP(M504,[1]LPU!$A$2:$G$1512,6,FALSE())</f>
        <v>489135</v>
      </c>
      <c r="S504" s="27" t="str">
        <f>VLOOKUP(M504,[1]LPU!$A$2:$G$1512,7,FALSE())</f>
        <v>LPU FLM</v>
      </c>
      <c r="T504" s="28">
        <v>1</v>
      </c>
      <c r="U504" s="29">
        <f t="shared" si="7"/>
        <v>489135</v>
      </c>
      <c r="V504" s="29" t="s">
        <v>77</v>
      </c>
      <c r="W504" s="30"/>
      <c r="X504" s="29" t="s">
        <v>254</v>
      </c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ht="21" customHeight="1" x14ac:dyDescent="0.3">
      <c r="A505" s="22">
        <v>501</v>
      </c>
      <c r="B505" s="23">
        <v>1</v>
      </c>
      <c r="C505" s="23" t="s">
        <v>260</v>
      </c>
      <c r="D505" s="23" t="str">
        <f>VLOOKUP(C505,'[1]1.CUADRO RESUMEN DE SITIOS '!$C$5:$L$1052,2,FALSE())</f>
        <v>CLI_02277</v>
      </c>
      <c r="E505" s="24">
        <f>VLOOKUP(C505,'[1]1.CUADRO RESUMEN DE SITIOS '!$C$5:$L$1052,3,FALSE())</f>
        <v>45930</v>
      </c>
      <c r="F505" s="23">
        <f>VLOOKUP(C505,'[1]1.CUADRO RESUMEN DE SITIOS '!$C$5:$L$1052,4,FALSE())</f>
        <v>3.4953599999999998</v>
      </c>
      <c r="G505" s="23">
        <f>VLOOKUP(C505,'[1]1.CUADRO RESUMEN DE SITIOS '!$C$5:$L$1052,5,FALSE())</f>
        <v>-76.593500000000006</v>
      </c>
      <c r="H505" s="23" t="str">
        <f>VLOOKUP(C505,'[1]1.CUADRO RESUMEN DE SITIOS '!$C$5:$L$1052,6,FALSE())</f>
        <v>Valle Del Cauca</v>
      </c>
      <c r="I505" s="23" t="str">
        <f>VLOOKUP(C505,'[1]1.CUADRO RESUMEN DE SITIOS '!$C$5:$L$1052,7,FALSE())</f>
        <v>WOM</v>
      </c>
      <c r="J505" s="25" t="str">
        <f>VLOOKUP(C505,'[1]1.CUADRO RESUMEN DE SITIOS '!$C$5:$L$1052,8,FALSE())</f>
        <v>SUROCCIDENTE</v>
      </c>
      <c r="K505" s="23" t="str">
        <f>VLOOKUP(C505,'[1]1.CUADRO RESUMEN DE SITIOS '!$C$5:$L$1052,9,FALSE())</f>
        <v>Wilson Alejandro Solarte</v>
      </c>
      <c r="L505" s="26" t="str">
        <f>VLOOKUP(C505,'[1]1.CUADRO RESUMEN DE SITIOS '!$C$5:$L$1052,10,FALSE())</f>
        <v>Terminado</v>
      </c>
      <c r="M505" s="26">
        <v>8828119045</v>
      </c>
      <c r="N505" s="26">
        <f>VLOOKUP(M505,[1]LPU!$A$2:$G$1512,2,FALSE())</f>
        <v>5.29</v>
      </c>
      <c r="O505" s="26" t="str">
        <f>VLOOKUP(M505,[1]LPU!$A$2:$G$1512,3,FALSE)</f>
        <v>Suministro e instalación de estructura metálica en acero galvanizado para refuerzo, soportes, bases y adecuaciones en general.</v>
      </c>
      <c r="P505" s="26" t="str">
        <f>VLOOKUP(M505,[1]LPU!$A$2:$G$1512,4,FALSE())</f>
        <v>Mantenimiento CW</v>
      </c>
      <c r="Q505" s="26" t="str">
        <f>VLOOKUP(M505,[1]LPU!$A$2:$G$1512,5,FALSE())</f>
        <v>Kg</v>
      </c>
      <c r="R505" s="27">
        <f>VLOOKUP(M505,[1]LPU!$A$2:$G$1512,6,FALSE())</f>
        <v>12911.5</v>
      </c>
      <c r="S505" s="27" t="str">
        <f>VLOOKUP(M505,[1]LPU!$A$2:$G$1512,7,FALSE())</f>
        <v>Mantenimiento CW</v>
      </c>
      <c r="T505" s="28">
        <v>30</v>
      </c>
      <c r="U505" s="29">
        <f t="shared" si="7"/>
        <v>387345</v>
      </c>
      <c r="V505" s="29" t="s">
        <v>77</v>
      </c>
      <c r="W505" s="30"/>
      <c r="X505" s="29" t="s">
        <v>254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ht="21" customHeight="1" x14ac:dyDescent="0.3">
      <c r="A506" s="22">
        <v>502</v>
      </c>
      <c r="B506" s="23">
        <v>1</v>
      </c>
      <c r="C506" s="23" t="s">
        <v>260</v>
      </c>
      <c r="D506" s="23" t="str">
        <f>VLOOKUP(C506,'[1]1.CUADRO RESUMEN DE SITIOS '!$C$5:$L$1052,2,FALSE())</f>
        <v>CLI_02277</v>
      </c>
      <c r="E506" s="24">
        <f>VLOOKUP(C506,'[1]1.CUADRO RESUMEN DE SITIOS '!$C$5:$L$1052,3,FALSE())</f>
        <v>45930</v>
      </c>
      <c r="F506" s="23">
        <f>VLOOKUP(C506,'[1]1.CUADRO RESUMEN DE SITIOS '!$C$5:$L$1052,4,FALSE())</f>
        <v>3.4953599999999998</v>
      </c>
      <c r="G506" s="23">
        <f>VLOOKUP(C506,'[1]1.CUADRO RESUMEN DE SITIOS '!$C$5:$L$1052,5,FALSE())</f>
        <v>-76.593500000000006</v>
      </c>
      <c r="H506" s="23" t="str">
        <f>VLOOKUP(C506,'[1]1.CUADRO RESUMEN DE SITIOS '!$C$5:$L$1052,6,FALSE())</f>
        <v>Valle Del Cauca</v>
      </c>
      <c r="I506" s="23" t="str">
        <f>VLOOKUP(C506,'[1]1.CUADRO RESUMEN DE SITIOS '!$C$5:$L$1052,7,FALSE())</f>
        <v>WOM</v>
      </c>
      <c r="J506" s="25" t="str">
        <f>VLOOKUP(C506,'[1]1.CUADRO RESUMEN DE SITIOS '!$C$5:$L$1052,8,FALSE())</f>
        <v>SUROCCIDENTE</v>
      </c>
      <c r="K506" s="23" t="str">
        <f>VLOOKUP(C506,'[1]1.CUADRO RESUMEN DE SITIOS '!$C$5:$L$1052,9,FALSE())</f>
        <v>Wilson Alejandro Solarte</v>
      </c>
      <c r="L506" s="26" t="str">
        <f>VLOOKUP(C506,'[1]1.CUADRO RESUMEN DE SITIOS '!$C$5:$L$1052,10,FALSE())</f>
        <v>Terminado</v>
      </c>
      <c r="M506" s="26">
        <v>8828119921</v>
      </c>
      <c r="N506" s="26">
        <f>VLOOKUP(M506,[1]LPU!$A$2:$G$1512,2,FALSE())</f>
        <v>163</v>
      </c>
      <c r="O506" s="26" t="str">
        <f>VLOOKUP(M506,[1]LPU!$A$2:$G$1512,3,FALSE)</f>
        <v>Tansporte tipo A, ciudad principal y área metropolitana</v>
      </c>
      <c r="P506" s="26" t="str">
        <f>VLOOKUP(M506,[1]LPU!$A$2:$G$1512,4,FALSE())</f>
        <v>LOCATIVO</v>
      </c>
      <c r="Q506" s="26" t="str">
        <f>VLOOKUP(M506,[1]LPU!$A$2:$G$1512,5,FALSE())</f>
        <v>Global</v>
      </c>
      <c r="R506" s="27">
        <f>VLOOKUP(M506,[1]LPU!$A$2:$G$1512,6,FALSE())</f>
        <v>133571.54999999999</v>
      </c>
      <c r="S506" s="27" t="str">
        <f>VLOOKUP(M506,[1]LPU!$A$2:$G$1512,7,FALSE())</f>
        <v>LPU FLM</v>
      </c>
      <c r="T506" s="28">
        <v>1</v>
      </c>
      <c r="U506" s="29">
        <f t="shared" si="7"/>
        <v>133571.54999999999</v>
      </c>
      <c r="V506" s="29" t="s">
        <v>77</v>
      </c>
      <c r="W506" s="30"/>
      <c r="X506" s="29" t="s">
        <v>254</v>
      </c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ht="21" customHeight="1" x14ac:dyDescent="0.3">
      <c r="A507" s="22">
        <v>503</v>
      </c>
      <c r="B507" s="23">
        <v>1</v>
      </c>
      <c r="C507" s="23" t="s">
        <v>260</v>
      </c>
      <c r="D507" s="23" t="str">
        <f>VLOOKUP(C507,'[1]1.CUADRO RESUMEN DE SITIOS '!$C$5:$L$1052,2,FALSE())</f>
        <v>CLI_02277</v>
      </c>
      <c r="E507" s="24">
        <f>VLOOKUP(C507,'[1]1.CUADRO RESUMEN DE SITIOS '!$C$5:$L$1052,3,FALSE())</f>
        <v>45930</v>
      </c>
      <c r="F507" s="23">
        <f>VLOOKUP(C507,'[1]1.CUADRO RESUMEN DE SITIOS '!$C$5:$L$1052,4,FALSE())</f>
        <v>3.4953599999999998</v>
      </c>
      <c r="G507" s="23">
        <f>VLOOKUP(C507,'[1]1.CUADRO RESUMEN DE SITIOS '!$C$5:$L$1052,5,FALSE())</f>
        <v>-76.593500000000006</v>
      </c>
      <c r="H507" s="23" t="str">
        <f>VLOOKUP(C507,'[1]1.CUADRO RESUMEN DE SITIOS '!$C$5:$L$1052,6,FALSE())</f>
        <v>Valle Del Cauca</v>
      </c>
      <c r="I507" s="23" t="str">
        <f>VLOOKUP(C507,'[1]1.CUADRO RESUMEN DE SITIOS '!$C$5:$L$1052,7,FALSE())</f>
        <v>WOM</v>
      </c>
      <c r="J507" s="25" t="str">
        <f>VLOOKUP(C507,'[1]1.CUADRO RESUMEN DE SITIOS '!$C$5:$L$1052,8,FALSE())</f>
        <v>SUROCCIDENTE</v>
      </c>
      <c r="K507" s="23" t="str">
        <f>VLOOKUP(C507,'[1]1.CUADRO RESUMEN DE SITIOS '!$C$5:$L$1052,9,FALSE())</f>
        <v>Wilson Alejandro Solarte</v>
      </c>
      <c r="L507" s="26" t="str">
        <f>VLOOKUP(C507,'[1]1.CUADRO RESUMEN DE SITIOS '!$C$5:$L$1052,10,FALSE())</f>
        <v>Terminado</v>
      </c>
      <c r="M507" s="26">
        <v>8828119110</v>
      </c>
      <c r="N507" s="26">
        <f>VLOOKUP(M507,[1]LPU!$A$2:$G$1512,2,FALSE())</f>
        <v>107</v>
      </c>
      <c r="O507" s="26" t="str">
        <f>VLOOKUP(M507,[1]LPU!$A$2:$G$1512,3,FALSE)</f>
        <v>Mano de Obra Tecnico Electricista Certficado CONTE</v>
      </c>
      <c r="P507" s="26" t="str">
        <f>VLOOKUP(M507,[1]LPU!$A$2:$G$1512,4,FALSE())</f>
        <v>ENERGÍA</v>
      </c>
      <c r="Q507" s="26" t="str">
        <f>VLOOKUP(M507,[1]LPU!$A$2:$G$1512,5,FALSE())</f>
        <v>DIA</v>
      </c>
      <c r="R507" s="27">
        <f>VLOOKUP(M507,[1]LPU!$A$2:$G$1512,6,FALSE())</f>
        <v>136000</v>
      </c>
      <c r="S507" s="27" t="str">
        <f>VLOOKUP(M507,[1]LPU!$A$2:$G$1512,7,FALSE())</f>
        <v>LPU FLM</v>
      </c>
      <c r="T507" s="28">
        <v>2</v>
      </c>
      <c r="U507" s="29">
        <f t="shared" si="7"/>
        <v>272000</v>
      </c>
      <c r="V507" s="29" t="s">
        <v>77</v>
      </c>
      <c r="W507" s="30"/>
      <c r="X507" s="29" t="s">
        <v>254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ht="21" customHeight="1" x14ac:dyDescent="0.3">
      <c r="A508" s="22">
        <v>504</v>
      </c>
      <c r="B508" s="23">
        <v>1</v>
      </c>
      <c r="C508" s="23" t="s">
        <v>261</v>
      </c>
      <c r="D508" s="23" t="str">
        <f>VLOOKUP(C508,'[1]1.CUADRO RESUMEN DE SITIOS '!$C$5:$L$1052,2,FALSE())</f>
        <v>NAR_03043</v>
      </c>
      <c r="E508" s="24">
        <f>VLOOKUP(C508,'[1]1.CUADRO RESUMEN DE SITIOS '!$C$5:$L$1052,3,FALSE())</f>
        <v>45936</v>
      </c>
      <c r="F508" s="23">
        <f>VLOOKUP(C508,'[1]1.CUADRO RESUMEN DE SITIOS '!$C$5:$L$1052,4,FALSE())</f>
        <v>1.4</v>
      </c>
      <c r="G508" s="23">
        <f>VLOOKUP(C508,'[1]1.CUADRO RESUMEN DE SITIOS '!$C$5:$L$1052,5,FALSE())</f>
        <v>-77.288200000000003</v>
      </c>
      <c r="H508" s="23" t="str">
        <f>VLOOKUP(C508,'[1]1.CUADRO RESUMEN DE SITIOS '!$C$5:$L$1052,6,FALSE())</f>
        <v>Nariño</v>
      </c>
      <c r="I508" s="23" t="str">
        <f>VLOOKUP(C508,'[1]1.CUADRO RESUMEN DE SITIOS '!$C$5:$L$1052,7,FALSE())</f>
        <v>WOM</v>
      </c>
      <c r="J508" s="25" t="str">
        <f>VLOOKUP(C508,'[1]1.CUADRO RESUMEN DE SITIOS '!$C$5:$L$1052,8,FALSE())</f>
        <v>SUROCCIDENTE</v>
      </c>
      <c r="K508" s="23" t="str">
        <f>VLOOKUP(C508,'[1]1.CUADRO RESUMEN DE SITIOS '!$C$5:$L$1052,9,FALSE())</f>
        <v>Wilson Alejandro Solarte</v>
      </c>
      <c r="L508" s="26" t="str">
        <f>VLOOKUP(C508,'[1]1.CUADRO RESUMEN DE SITIOS '!$C$5:$L$1052,10,FALSE())</f>
        <v>Terminado</v>
      </c>
      <c r="M508" s="26">
        <v>8828119492</v>
      </c>
      <c r="N508" s="26">
        <f>VLOOKUP(M508,[1]LPU!$A$2:$G$1512,2,FALSE())</f>
        <v>53</v>
      </c>
      <c r="O508" s="26" t="str">
        <f>VLOOKUP(M508,[1]LPU!$A$2:$G$1512,3,FALSE)</f>
        <v>Instalación Banco de Baterias para Rectificadores - Aplica para ampliaciones.</v>
      </c>
      <c r="P508" s="26" t="str">
        <f>VLOOKUP(M508,[1]LPU!$A$2:$G$1512,4,FALSE())</f>
        <v>ENERGÍA</v>
      </c>
      <c r="Q508" s="26" t="str">
        <f>VLOOKUP(M508,[1]LPU!$A$2:$G$1512,5,FALSE())</f>
        <v>U</v>
      </c>
      <c r="R508" s="27">
        <f>VLOOKUP(M508,[1]LPU!$A$2:$G$1512,6,FALSE())</f>
        <v>102340</v>
      </c>
      <c r="S508" s="27" t="str">
        <f>VLOOKUP(M508,[1]LPU!$A$2:$G$1512,7,FALSE())</f>
        <v>LPU FLM</v>
      </c>
      <c r="T508" s="28">
        <v>1</v>
      </c>
      <c r="U508" s="29">
        <f t="shared" si="7"/>
        <v>102340</v>
      </c>
      <c r="V508" s="29" t="s">
        <v>77</v>
      </c>
      <c r="W508" s="30"/>
      <c r="X508" s="29" t="s">
        <v>254</v>
      </c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ht="21" customHeight="1" x14ac:dyDescent="0.3">
      <c r="A509" s="22">
        <v>505</v>
      </c>
      <c r="B509" s="23">
        <v>1</v>
      </c>
      <c r="C509" s="23" t="s">
        <v>261</v>
      </c>
      <c r="D509" s="23" t="str">
        <f>VLOOKUP(C509,'[1]1.CUADRO RESUMEN DE SITIOS '!$C$5:$L$1052,2,FALSE())</f>
        <v>NAR_03043</v>
      </c>
      <c r="E509" s="24">
        <f>VLOOKUP(C509,'[1]1.CUADRO RESUMEN DE SITIOS '!$C$5:$L$1052,3,FALSE())</f>
        <v>45936</v>
      </c>
      <c r="F509" s="23">
        <f>VLOOKUP(C509,'[1]1.CUADRO RESUMEN DE SITIOS '!$C$5:$L$1052,4,FALSE())</f>
        <v>1.4</v>
      </c>
      <c r="G509" s="23">
        <f>VLOOKUP(C509,'[1]1.CUADRO RESUMEN DE SITIOS '!$C$5:$L$1052,5,FALSE())</f>
        <v>-77.288200000000003</v>
      </c>
      <c r="H509" s="23" t="str">
        <f>VLOOKUP(C509,'[1]1.CUADRO RESUMEN DE SITIOS '!$C$5:$L$1052,6,FALSE())</f>
        <v>Nariño</v>
      </c>
      <c r="I509" s="23" t="str">
        <f>VLOOKUP(C509,'[1]1.CUADRO RESUMEN DE SITIOS '!$C$5:$L$1052,7,FALSE())</f>
        <v>WOM</v>
      </c>
      <c r="J509" s="25" t="str">
        <f>VLOOKUP(C509,'[1]1.CUADRO RESUMEN DE SITIOS '!$C$5:$L$1052,8,FALSE())</f>
        <v>SUROCCIDENTE</v>
      </c>
      <c r="K509" s="23" t="str">
        <f>VLOOKUP(C509,'[1]1.CUADRO RESUMEN DE SITIOS '!$C$5:$L$1052,9,FALSE())</f>
        <v>Wilson Alejandro Solarte</v>
      </c>
      <c r="L509" s="26" t="str">
        <f>VLOOKUP(C509,'[1]1.CUADRO RESUMEN DE SITIOS '!$C$5:$L$1052,10,FALSE())</f>
        <v>Terminado</v>
      </c>
      <c r="M509" s="26">
        <v>8828119512</v>
      </c>
      <c r="N509" s="26">
        <f>VLOOKUP(M509,[1]LPU!$A$2:$G$1512,2,FALSE())</f>
        <v>55</v>
      </c>
      <c r="O509" s="26" t="str">
        <f>VLOOKUP(M509,[1]LPU!$A$2:$G$1512,3,FALSE)</f>
        <v>Transporte Banco de Baterias</v>
      </c>
      <c r="P509" s="26" t="str">
        <f>VLOOKUP(M509,[1]LPU!$A$2:$G$1512,4,FALSE())</f>
        <v>ENERGÍA</v>
      </c>
      <c r="Q509" s="26" t="str">
        <f>VLOOKUP(M509,[1]LPU!$A$2:$G$1512,5,FALSE())</f>
        <v>U</v>
      </c>
      <c r="R509" s="27">
        <f>VLOOKUP(M509,[1]LPU!$A$2:$G$1512,6,FALSE())</f>
        <v>82212</v>
      </c>
      <c r="S509" s="27" t="str">
        <f>VLOOKUP(M509,[1]LPU!$A$2:$G$1512,7,FALSE())</f>
        <v>LPU FLM</v>
      </c>
      <c r="T509" s="28">
        <v>1</v>
      </c>
      <c r="U509" s="29">
        <f t="shared" si="7"/>
        <v>82212</v>
      </c>
      <c r="V509" s="29" t="s">
        <v>77</v>
      </c>
      <c r="W509" s="30"/>
      <c r="X509" s="29" t="s">
        <v>254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ht="21" customHeight="1" x14ac:dyDescent="0.3">
      <c r="A510" s="22">
        <v>506</v>
      </c>
      <c r="B510" s="23">
        <v>1</v>
      </c>
      <c r="C510" s="23" t="s">
        <v>261</v>
      </c>
      <c r="D510" s="23" t="str">
        <f>VLOOKUP(C510,'[1]1.CUADRO RESUMEN DE SITIOS '!$C$5:$L$1052,2,FALSE())</f>
        <v>NAR_03043</v>
      </c>
      <c r="E510" s="24">
        <f>VLOOKUP(C510,'[1]1.CUADRO RESUMEN DE SITIOS '!$C$5:$L$1052,3,FALSE())</f>
        <v>45936</v>
      </c>
      <c r="F510" s="23">
        <f>VLOOKUP(C510,'[1]1.CUADRO RESUMEN DE SITIOS '!$C$5:$L$1052,4,FALSE())</f>
        <v>1.4</v>
      </c>
      <c r="G510" s="23">
        <f>VLOOKUP(C510,'[1]1.CUADRO RESUMEN DE SITIOS '!$C$5:$L$1052,5,FALSE())</f>
        <v>-77.288200000000003</v>
      </c>
      <c r="H510" s="23" t="str">
        <f>VLOOKUP(C510,'[1]1.CUADRO RESUMEN DE SITIOS '!$C$5:$L$1052,6,FALSE())</f>
        <v>Nariño</v>
      </c>
      <c r="I510" s="23" t="str">
        <f>VLOOKUP(C510,'[1]1.CUADRO RESUMEN DE SITIOS '!$C$5:$L$1052,7,FALSE())</f>
        <v>WOM</v>
      </c>
      <c r="J510" s="25" t="str">
        <f>VLOOKUP(C510,'[1]1.CUADRO RESUMEN DE SITIOS '!$C$5:$L$1052,8,FALSE())</f>
        <v>SUROCCIDENTE</v>
      </c>
      <c r="K510" s="23" t="str">
        <f>VLOOKUP(C510,'[1]1.CUADRO RESUMEN DE SITIOS '!$C$5:$L$1052,9,FALSE())</f>
        <v>Wilson Alejandro Solarte</v>
      </c>
      <c r="L510" s="26" t="str">
        <f>VLOOKUP(C510,'[1]1.CUADRO RESUMEN DE SITIOS '!$C$5:$L$1052,10,FALSE())</f>
        <v>Terminado</v>
      </c>
      <c r="M510" s="26">
        <v>8828118999</v>
      </c>
      <c r="N510" s="26">
        <f>VLOOKUP(M510,[1]LPU!$A$2:$G$1512,2,FALSE())</f>
        <v>0</v>
      </c>
      <c r="O510" s="26" t="str">
        <f>VLOOKUP(M510,[1]LPU!$A$2:$G$1512,3,FALSE)</f>
        <v>Suministro e instalación de cable UTP Categoría 6, con conectores en sus extremos, certificado</v>
      </c>
      <c r="P510" s="26" t="str">
        <f>VLOOKUP(M510,[1]LPU!$A$2:$G$1512,4,FALSE())</f>
        <v>Item Critico</v>
      </c>
      <c r="Q510" s="26" t="str">
        <f>VLOOKUP(M510,[1]LPU!$A$2:$G$1512,5,FALSE())</f>
        <v>m</v>
      </c>
      <c r="R510" s="27">
        <f>VLOOKUP(M510,[1]LPU!$A$2:$G$1512,6,FALSE())</f>
        <v>5913</v>
      </c>
      <c r="S510" s="27" t="str">
        <f>VLOOKUP(M510,[1]LPU!$A$2:$G$1512,7,FALSE())</f>
        <v>LPU FO Propia</v>
      </c>
      <c r="T510" s="28">
        <v>3</v>
      </c>
      <c r="U510" s="29">
        <f t="shared" si="7"/>
        <v>17739</v>
      </c>
      <c r="V510" s="29" t="s">
        <v>77</v>
      </c>
      <c r="W510" s="30"/>
      <c r="X510" s="29" t="s">
        <v>254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ht="21" customHeight="1" x14ac:dyDescent="0.3">
      <c r="A511" s="22">
        <v>507</v>
      </c>
      <c r="B511" s="23">
        <v>1</v>
      </c>
      <c r="C511" s="23" t="s">
        <v>261</v>
      </c>
      <c r="D511" s="23" t="str">
        <f>VLOOKUP(C511,'[1]1.CUADRO RESUMEN DE SITIOS '!$C$5:$L$1052,2,FALSE())</f>
        <v>NAR_03043</v>
      </c>
      <c r="E511" s="24">
        <f>VLOOKUP(C511,'[1]1.CUADRO RESUMEN DE SITIOS '!$C$5:$L$1052,3,FALSE())</f>
        <v>45936</v>
      </c>
      <c r="F511" s="23">
        <f>VLOOKUP(C511,'[1]1.CUADRO RESUMEN DE SITIOS '!$C$5:$L$1052,4,FALSE())</f>
        <v>1.4</v>
      </c>
      <c r="G511" s="23">
        <f>VLOOKUP(C511,'[1]1.CUADRO RESUMEN DE SITIOS '!$C$5:$L$1052,5,FALSE())</f>
        <v>-77.288200000000003</v>
      </c>
      <c r="H511" s="23" t="str">
        <f>VLOOKUP(C511,'[1]1.CUADRO RESUMEN DE SITIOS '!$C$5:$L$1052,6,FALSE())</f>
        <v>Nariño</v>
      </c>
      <c r="I511" s="23" t="str">
        <f>VLOOKUP(C511,'[1]1.CUADRO RESUMEN DE SITIOS '!$C$5:$L$1052,7,FALSE())</f>
        <v>WOM</v>
      </c>
      <c r="J511" s="25" t="str">
        <f>VLOOKUP(C511,'[1]1.CUADRO RESUMEN DE SITIOS '!$C$5:$L$1052,8,FALSE())</f>
        <v>SUROCCIDENTE</v>
      </c>
      <c r="K511" s="23" t="str">
        <f>VLOOKUP(C511,'[1]1.CUADRO RESUMEN DE SITIOS '!$C$5:$L$1052,9,FALSE())</f>
        <v>Wilson Alejandro Solarte</v>
      </c>
      <c r="L511" s="26" t="str">
        <f>VLOOKUP(C511,'[1]1.CUADRO RESUMEN DE SITIOS '!$C$5:$L$1052,10,FALSE())</f>
        <v>Terminado</v>
      </c>
      <c r="M511" s="26">
        <v>8828118925</v>
      </c>
      <c r="N511" s="26">
        <f>VLOOKUP(M511,[1]LPU!$A$2:$G$1512,2,FALSE())</f>
        <v>87</v>
      </c>
      <c r="O511" s="26" t="str">
        <f>VLOOKUP(M511,[1]LPU!$A$2:$G$1512,3,FALSE)</f>
        <v>Suministro e Instalacion de cable multifilar #4 awg tipo soldador.</v>
      </c>
      <c r="P511" s="26" t="str">
        <f>VLOOKUP(M511,[1]LPU!$A$2:$G$1512,4,FALSE())</f>
        <v>ENERGÍA</v>
      </c>
      <c r="Q511" s="26" t="str">
        <f>VLOOKUP(M511,[1]LPU!$A$2:$G$1512,5,FALSE())</f>
        <v>ML</v>
      </c>
      <c r="R511" s="27">
        <f>VLOOKUP(M511,[1]LPU!$A$2:$G$1512,6,FALSE())</f>
        <v>60815.8</v>
      </c>
      <c r="S511" s="27" t="str">
        <f>VLOOKUP(M511,[1]LPU!$A$2:$G$1512,7,FALSE())</f>
        <v>LPU FLM</v>
      </c>
      <c r="T511" s="28">
        <v>6</v>
      </c>
      <c r="U511" s="29">
        <f t="shared" si="7"/>
        <v>364894.80000000005</v>
      </c>
      <c r="V511" s="29" t="s">
        <v>77</v>
      </c>
      <c r="W511" s="30"/>
      <c r="X511" s="29" t="s">
        <v>254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ht="21" customHeight="1" x14ac:dyDescent="0.3">
      <c r="A512" s="22">
        <v>508</v>
      </c>
      <c r="B512" s="23">
        <v>1</v>
      </c>
      <c r="C512" s="23" t="s">
        <v>261</v>
      </c>
      <c r="D512" s="23" t="str">
        <f>VLOOKUP(C512,'[1]1.CUADRO RESUMEN DE SITIOS '!$C$5:$L$1052,2,FALSE())</f>
        <v>NAR_03043</v>
      </c>
      <c r="E512" s="24">
        <f>VLOOKUP(C512,'[1]1.CUADRO RESUMEN DE SITIOS '!$C$5:$L$1052,3,FALSE())</f>
        <v>45936</v>
      </c>
      <c r="F512" s="23">
        <f>VLOOKUP(C512,'[1]1.CUADRO RESUMEN DE SITIOS '!$C$5:$L$1052,4,FALSE())</f>
        <v>1.4</v>
      </c>
      <c r="G512" s="23">
        <f>VLOOKUP(C512,'[1]1.CUADRO RESUMEN DE SITIOS '!$C$5:$L$1052,5,FALSE())</f>
        <v>-77.288200000000003</v>
      </c>
      <c r="H512" s="23" t="str">
        <f>VLOOKUP(C512,'[1]1.CUADRO RESUMEN DE SITIOS '!$C$5:$L$1052,6,FALSE())</f>
        <v>Nariño</v>
      </c>
      <c r="I512" s="23" t="str">
        <f>VLOOKUP(C512,'[1]1.CUADRO RESUMEN DE SITIOS '!$C$5:$L$1052,7,FALSE())</f>
        <v>WOM</v>
      </c>
      <c r="J512" s="25" t="str">
        <f>VLOOKUP(C512,'[1]1.CUADRO RESUMEN DE SITIOS '!$C$5:$L$1052,8,FALSE())</f>
        <v>SUROCCIDENTE</v>
      </c>
      <c r="K512" s="23" t="str">
        <f>VLOOKUP(C512,'[1]1.CUADRO RESUMEN DE SITIOS '!$C$5:$L$1052,9,FALSE())</f>
        <v>Wilson Alejandro Solarte</v>
      </c>
      <c r="L512" s="26" t="str">
        <f>VLOOKUP(C512,'[1]1.CUADRO RESUMEN DE SITIOS '!$C$5:$L$1052,10,FALSE())</f>
        <v>Terminado</v>
      </c>
      <c r="M512" s="26">
        <v>8828118868</v>
      </c>
      <c r="N512" s="26">
        <f>VLOOKUP(M512,[1]LPU!$A$2:$G$1512,2,FALSE())</f>
        <v>81</v>
      </c>
      <c r="O512" s="26" t="str">
        <f>VLOOKUP(M512,[1]LPU!$A$2:$G$1512,3,FALSE)</f>
        <v>Suministro e Instalacion de terminal para cable awg # 2 en cobre estañado un ojo</v>
      </c>
      <c r="P512" s="26" t="str">
        <f>VLOOKUP(M512,[1]LPU!$A$2:$G$1512,4,FALSE())</f>
        <v>ENERGÍA</v>
      </c>
      <c r="Q512" s="26" t="str">
        <f>VLOOKUP(M512,[1]LPU!$A$2:$G$1512,5,FALSE())</f>
        <v>U</v>
      </c>
      <c r="R512" s="27">
        <f>VLOOKUP(M512,[1]LPU!$A$2:$G$1512,6,FALSE())</f>
        <v>2347</v>
      </c>
      <c r="S512" s="27" t="str">
        <f>VLOOKUP(M512,[1]LPU!$A$2:$G$1512,7,FALSE())</f>
        <v>LPU FLM</v>
      </c>
      <c r="T512" s="28">
        <v>4</v>
      </c>
      <c r="U512" s="29">
        <f t="shared" si="7"/>
        <v>9388</v>
      </c>
      <c r="V512" s="29" t="s">
        <v>77</v>
      </c>
      <c r="W512" s="30"/>
      <c r="X512" s="29" t="s">
        <v>254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ht="21" customHeight="1" x14ac:dyDescent="0.3">
      <c r="A513" s="22">
        <v>509</v>
      </c>
      <c r="B513" s="23">
        <v>1</v>
      </c>
      <c r="C513" s="23" t="s">
        <v>261</v>
      </c>
      <c r="D513" s="23" t="str">
        <f>VLOOKUP(C513,'[1]1.CUADRO RESUMEN DE SITIOS '!$C$5:$L$1052,2,FALSE())</f>
        <v>NAR_03043</v>
      </c>
      <c r="E513" s="24">
        <f>VLOOKUP(C513,'[1]1.CUADRO RESUMEN DE SITIOS '!$C$5:$L$1052,3,FALSE())</f>
        <v>45936</v>
      </c>
      <c r="F513" s="23">
        <f>VLOOKUP(C513,'[1]1.CUADRO RESUMEN DE SITIOS '!$C$5:$L$1052,4,FALSE())</f>
        <v>1.4</v>
      </c>
      <c r="G513" s="23">
        <f>VLOOKUP(C513,'[1]1.CUADRO RESUMEN DE SITIOS '!$C$5:$L$1052,5,FALSE())</f>
        <v>-77.288200000000003</v>
      </c>
      <c r="H513" s="23" t="str">
        <f>VLOOKUP(C513,'[1]1.CUADRO RESUMEN DE SITIOS '!$C$5:$L$1052,6,FALSE())</f>
        <v>Nariño</v>
      </c>
      <c r="I513" s="23" t="str">
        <f>VLOOKUP(C513,'[1]1.CUADRO RESUMEN DE SITIOS '!$C$5:$L$1052,7,FALSE())</f>
        <v>WOM</v>
      </c>
      <c r="J513" s="25" t="str">
        <f>VLOOKUP(C513,'[1]1.CUADRO RESUMEN DE SITIOS '!$C$5:$L$1052,8,FALSE())</f>
        <v>SUROCCIDENTE</v>
      </c>
      <c r="K513" s="23" t="str">
        <f>VLOOKUP(C513,'[1]1.CUADRO RESUMEN DE SITIOS '!$C$5:$L$1052,9,FALSE())</f>
        <v>Wilson Alejandro Solarte</v>
      </c>
      <c r="L513" s="26" t="str">
        <f>VLOOKUP(C513,'[1]1.CUADRO RESUMEN DE SITIOS '!$C$5:$L$1052,10,FALSE())</f>
        <v>Terminado</v>
      </c>
      <c r="M513" s="26">
        <v>8828119980</v>
      </c>
      <c r="N513" s="26">
        <f>VLOOKUP(M513,[1]LPU!$A$2:$G$1512,2,FALSE())</f>
        <v>169</v>
      </c>
      <c r="O513" s="26" t="str">
        <f>VLOOKUP(M513,[1]LPU!$A$2:$G$1512,3,FALSE)</f>
        <v>Reforzamiento Protección Concreto para Rack de Baterías Incluye Materiales</v>
      </c>
      <c r="P513" s="26" t="str">
        <f>VLOOKUP(M513,[1]LPU!$A$2:$G$1512,4,FALSE())</f>
        <v>LOCATIVO</v>
      </c>
      <c r="Q513" s="26" t="str">
        <f>VLOOKUP(M513,[1]LPU!$A$2:$G$1512,5,FALSE())</f>
        <v>U</v>
      </c>
      <c r="R513" s="27">
        <f>VLOOKUP(M513,[1]LPU!$A$2:$G$1512,6,FALSE())</f>
        <v>114750</v>
      </c>
      <c r="S513" s="27" t="str">
        <f>VLOOKUP(M513,[1]LPU!$A$2:$G$1512,7,FALSE())</f>
        <v>LPU FLM</v>
      </c>
      <c r="T513" s="28">
        <v>1</v>
      </c>
      <c r="U513" s="29">
        <f t="shared" si="7"/>
        <v>114750</v>
      </c>
      <c r="V513" s="29" t="s">
        <v>77</v>
      </c>
      <c r="W513" s="30"/>
      <c r="X513" s="29" t="s">
        <v>254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ht="21" customHeight="1" x14ac:dyDescent="0.3">
      <c r="A514" s="22">
        <v>510</v>
      </c>
      <c r="B514" s="23">
        <v>1</v>
      </c>
      <c r="C514" s="23" t="s">
        <v>261</v>
      </c>
      <c r="D514" s="23" t="str">
        <f>VLOOKUP(C514,'[1]1.CUADRO RESUMEN DE SITIOS '!$C$5:$L$1052,2,FALSE())</f>
        <v>NAR_03043</v>
      </c>
      <c r="E514" s="24">
        <f>VLOOKUP(C514,'[1]1.CUADRO RESUMEN DE SITIOS '!$C$5:$L$1052,3,FALSE())</f>
        <v>45936</v>
      </c>
      <c r="F514" s="23">
        <f>VLOOKUP(C514,'[1]1.CUADRO RESUMEN DE SITIOS '!$C$5:$L$1052,4,FALSE())</f>
        <v>1.4</v>
      </c>
      <c r="G514" s="23">
        <f>VLOOKUP(C514,'[1]1.CUADRO RESUMEN DE SITIOS '!$C$5:$L$1052,5,FALSE())</f>
        <v>-77.288200000000003</v>
      </c>
      <c r="H514" s="23" t="str">
        <f>VLOOKUP(C514,'[1]1.CUADRO RESUMEN DE SITIOS '!$C$5:$L$1052,6,FALSE())</f>
        <v>Nariño</v>
      </c>
      <c r="I514" s="23" t="str">
        <f>VLOOKUP(C514,'[1]1.CUADRO RESUMEN DE SITIOS '!$C$5:$L$1052,7,FALSE())</f>
        <v>WOM</v>
      </c>
      <c r="J514" s="25" t="str">
        <f>VLOOKUP(C514,'[1]1.CUADRO RESUMEN DE SITIOS '!$C$5:$L$1052,8,FALSE())</f>
        <v>SUROCCIDENTE</v>
      </c>
      <c r="K514" s="23" t="str">
        <f>VLOOKUP(C514,'[1]1.CUADRO RESUMEN DE SITIOS '!$C$5:$L$1052,9,FALSE())</f>
        <v>Wilson Alejandro Solarte</v>
      </c>
      <c r="L514" s="26" t="str">
        <f>VLOOKUP(C514,'[1]1.CUADRO RESUMEN DE SITIOS '!$C$5:$L$1052,10,FALSE())</f>
        <v>Terminado</v>
      </c>
      <c r="M514" s="26">
        <v>8828119867</v>
      </c>
      <c r="N514" s="26">
        <f>VLOOKUP(M514,[1]LPU!$A$2:$G$1512,2,FALSE())</f>
        <v>158</v>
      </c>
      <c r="O514" s="26" t="str">
        <f>VLOOKUP(M514,[1]LPU!$A$2:$G$1512,3,FALSE)</f>
        <v>Reja para equipo cabinet x 4 baterías</v>
      </c>
      <c r="P514" s="26" t="str">
        <f>VLOOKUP(M514,[1]LPU!$A$2:$G$1512,4,FALSE())</f>
        <v>LOCATIVO</v>
      </c>
      <c r="Q514" s="26" t="str">
        <f>VLOOKUP(M514,[1]LPU!$A$2:$G$1512,5,FALSE())</f>
        <v>U</v>
      </c>
      <c r="R514" s="27">
        <f>VLOOKUP(M514,[1]LPU!$A$2:$G$1512,6,FALSE())</f>
        <v>489135</v>
      </c>
      <c r="S514" s="27" t="str">
        <f>VLOOKUP(M514,[1]LPU!$A$2:$G$1512,7,FALSE())</f>
        <v>LPU FLM</v>
      </c>
      <c r="T514" s="28">
        <v>1</v>
      </c>
      <c r="U514" s="29">
        <f t="shared" si="7"/>
        <v>489135</v>
      </c>
      <c r="V514" s="29" t="s">
        <v>77</v>
      </c>
      <c r="W514" s="30"/>
      <c r="X514" s="29" t="s">
        <v>254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ht="21" customHeight="1" x14ac:dyDescent="0.3">
      <c r="A515" s="22">
        <v>511</v>
      </c>
      <c r="B515" s="23">
        <v>1</v>
      </c>
      <c r="C515" s="23" t="s">
        <v>261</v>
      </c>
      <c r="D515" s="23" t="str">
        <f>VLOOKUP(C515,'[1]1.CUADRO RESUMEN DE SITIOS '!$C$5:$L$1052,2,FALSE())</f>
        <v>NAR_03043</v>
      </c>
      <c r="E515" s="24">
        <f>VLOOKUP(C515,'[1]1.CUADRO RESUMEN DE SITIOS '!$C$5:$L$1052,3,FALSE())</f>
        <v>45936</v>
      </c>
      <c r="F515" s="23">
        <f>VLOOKUP(C515,'[1]1.CUADRO RESUMEN DE SITIOS '!$C$5:$L$1052,4,FALSE())</f>
        <v>1.4</v>
      </c>
      <c r="G515" s="23">
        <f>VLOOKUP(C515,'[1]1.CUADRO RESUMEN DE SITIOS '!$C$5:$L$1052,5,FALSE())</f>
        <v>-77.288200000000003</v>
      </c>
      <c r="H515" s="23" t="str">
        <f>VLOOKUP(C515,'[1]1.CUADRO RESUMEN DE SITIOS '!$C$5:$L$1052,6,FALSE())</f>
        <v>Nariño</v>
      </c>
      <c r="I515" s="23" t="str">
        <f>VLOOKUP(C515,'[1]1.CUADRO RESUMEN DE SITIOS '!$C$5:$L$1052,7,FALSE())</f>
        <v>WOM</v>
      </c>
      <c r="J515" s="25" t="str">
        <f>VLOOKUP(C515,'[1]1.CUADRO RESUMEN DE SITIOS '!$C$5:$L$1052,8,FALSE())</f>
        <v>SUROCCIDENTE</v>
      </c>
      <c r="K515" s="23" t="str">
        <f>VLOOKUP(C515,'[1]1.CUADRO RESUMEN DE SITIOS '!$C$5:$L$1052,9,FALSE())</f>
        <v>Wilson Alejandro Solarte</v>
      </c>
      <c r="L515" s="26" t="str">
        <f>VLOOKUP(C515,'[1]1.CUADRO RESUMEN DE SITIOS '!$C$5:$L$1052,10,FALSE())</f>
        <v>Terminado</v>
      </c>
      <c r="M515" s="26">
        <v>8828119045</v>
      </c>
      <c r="N515" s="26">
        <f>VLOOKUP(M515,[1]LPU!$A$2:$G$1512,2,FALSE())</f>
        <v>5.29</v>
      </c>
      <c r="O515" s="26" t="str">
        <f>VLOOKUP(M515,[1]LPU!$A$2:$G$1512,3,FALSE)</f>
        <v>Suministro e instalación de estructura metálica en acero galvanizado para refuerzo, soportes, bases y adecuaciones en general.</v>
      </c>
      <c r="P515" s="26" t="str">
        <f>VLOOKUP(M515,[1]LPU!$A$2:$G$1512,4,FALSE())</f>
        <v>Mantenimiento CW</v>
      </c>
      <c r="Q515" s="26" t="str">
        <f>VLOOKUP(M515,[1]LPU!$A$2:$G$1512,5,FALSE())</f>
        <v>Kg</v>
      </c>
      <c r="R515" s="27">
        <f>VLOOKUP(M515,[1]LPU!$A$2:$G$1512,6,FALSE())</f>
        <v>12911.5</v>
      </c>
      <c r="S515" s="27" t="str">
        <f>VLOOKUP(M515,[1]LPU!$A$2:$G$1512,7,FALSE())</f>
        <v>Mantenimiento CW</v>
      </c>
      <c r="T515" s="28">
        <v>30</v>
      </c>
      <c r="U515" s="29">
        <f t="shared" si="7"/>
        <v>387345</v>
      </c>
      <c r="V515" s="29" t="s">
        <v>77</v>
      </c>
      <c r="W515" s="30"/>
      <c r="X515" s="29" t="s">
        <v>254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ht="21" customHeight="1" x14ac:dyDescent="0.3">
      <c r="A516" s="22">
        <v>512</v>
      </c>
      <c r="B516" s="23">
        <v>1</v>
      </c>
      <c r="C516" s="23" t="s">
        <v>261</v>
      </c>
      <c r="D516" s="23" t="str">
        <f>VLOOKUP(C516,'[1]1.CUADRO RESUMEN DE SITIOS '!$C$5:$L$1052,2,FALSE())</f>
        <v>NAR_03043</v>
      </c>
      <c r="E516" s="24">
        <f>VLOOKUP(C516,'[1]1.CUADRO RESUMEN DE SITIOS '!$C$5:$L$1052,3,FALSE())</f>
        <v>45936</v>
      </c>
      <c r="F516" s="23">
        <f>VLOOKUP(C516,'[1]1.CUADRO RESUMEN DE SITIOS '!$C$5:$L$1052,4,FALSE())</f>
        <v>1.4</v>
      </c>
      <c r="G516" s="23">
        <f>VLOOKUP(C516,'[1]1.CUADRO RESUMEN DE SITIOS '!$C$5:$L$1052,5,FALSE())</f>
        <v>-77.288200000000003</v>
      </c>
      <c r="H516" s="23" t="str">
        <f>VLOOKUP(C516,'[1]1.CUADRO RESUMEN DE SITIOS '!$C$5:$L$1052,6,FALSE())</f>
        <v>Nariño</v>
      </c>
      <c r="I516" s="23" t="str">
        <f>VLOOKUP(C516,'[1]1.CUADRO RESUMEN DE SITIOS '!$C$5:$L$1052,7,FALSE())</f>
        <v>WOM</v>
      </c>
      <c r="J516" s="25" t="str">
        <f>VLOOKUP(C516,'[1]1.CUADRO RESUMEN DE SITIOS '!$C$5:$L$1052,8,FALSE())</f>
        <v>SUROCCIDENTE</v>
      </c>
      <c r="K516" s="23" t="str">
        <f>VLOOKUP(C516,'[1]1.CUADRO RESUMEN DE SITIOS '!$C$5:$L$1052,9,FALSE())</f>
        <v>Wilson Alejandro Solarte</v>
      </c>
      <c r="L516" s="26" t="str">
        <f>VLOOKUP(C516,'[1]1.CUADRO RESUMEN DE SITIOS '!$C$5:$L$1052,10,FALSE())</f>
        <v>Terminado</v>
      </c>
      <c r="M516" s="26">
        <v>8828119599</v>
      </c>
      <c r="N516" s="26">
        <f>VLOOKUP(M516,[1]LPU!$A$2:$G$1512,2,FALSE())</f>
        <v>197</v>
      </c>
      <c r="O516" s="26" t="str">
        <f>VLOOKUP(M516,[1]LPU!$A$2:$G$1512,3,FALSE)</f>
        <v>Transporte de Equipos y Materiales, Carga y Descarga, desde y hacía Bodega Regional. Mas de 1 Tonelada. ZONA 2 (Resolución 5078 de 2016)</v>
      </c>
      <c r="P516" s="26" t="str">
        <f>VLOOKUP(M516,[1]LPU!$A$2:$G$1512,4,FALSE())</f>
        <v>LOCATIVO</v>
      </c>
      <c r="Q516" s="26" t="str">
        <f>VLOOKUP(M516,[1]LPU!$A$2:$G$1512,5,FALSE())</f>
        <v>U</v>
      </c>
      <c r="R516" s="27">
        <f>VLOOKUP(M516,[1]LPU!$A$2:$G$1512,6,FALSE())</f>
        <v>680680</v>
      </c>
      <c r="S516" s="27" t="str">
        <f>VLOOKUP(M516,[1]LPU!$A$2:$G$1512,7,FALSE())</f>
        <v>LPU FLM</v>
      </c>
      <c r="T516" s="28">
        <v>1</v>
      </c>
      <c r="U516" s="29">
        <f t="shared" si="7"/>
        <v>680680</v>
      </c>
      <c r="V516" s="29" t="s">
        <v>77</v>
      </c>
      <c r="W516" s="30"/>
      <c r="X516" s="29" t="s">
        <v>254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ht="21" customHeight="1" x14ac:dyDescent="0.3">
      <c r="A517" s="22">
        <v>513</v>
      </c>
      <c r="B517" s="23">
        <v>1</v>
      </c>
      <c r="C517" s="23" t="s">
        <v>261</v>
      </c>
      <c r="D517" s="23" t="str">
        <f>VLOOKUP(C517,'[1]1.CUADRO RESUMEN DE SITIOS '!$C$5:$L$1052,2,FALSE())</f>
        <v>NAR_03043</v>
      </c>
      <c r="E517" s="24">
        <f>VLOOKUP(C517,'[1]1.CUADRO RESUMEN DE SITIOS '!$C$5:$L$1052,3,FALSE())</f>
        <v>45936</v>
      </c>
      <c r="F517" s="23">
        <f>VLOOKUP(C517,'[1]1.CUADRO RESUMEN DE SITIOS '!$C$5:$L$1052,4,FALSE())</f>
        <v>1.4</v>
      </c>
      <c r="G517" s="23">
        <f>VLOOKUP(C517,'[1]1.CUADRO RESUMEN DE SITIOS '!$C$5:$L$1052,5,FALSE())</f>
        <v>-77.288200000000003</v>
      </c>
      <c r="H517" s="23" t="str">
        <f>VLOOKUP(C517,'[1]1.CUADRO RESUMEN DE SITIOS '!$C$5:$L$1052,6,FALSE())</f>
        <v>Nariño</v>
      </c>
      <c r="I517" s="23" t="str">
        <f>VLOOKUP(C517,'[1]1.CUADRO RESUMEN DE SITIOS '!$C$5:$L$1052,7,FALSE())</f>
        <v>WOM</v>
      </c>
      <c r="J517" s="25" t="str">
        <f>VLOOKUP(C517,'[1]1.CUADRO RESUMEN DE SITIOS '!$C$5:$L$1052,8,FALSE())</f>
        <v>SUROCCIDENTE</v>
      </c>
      <c r="K517" s="23" t="str">
        <f>VLOOKUP(C517,'[1]1.CUADRO RESUMEN DE SITIOS '!$C$5:$L$1052,9,FALSE())</f>
        <v>Wilson Alejandro Solarte</v>
      </c>
      <c r="L517" s="26" t="str">
        <f>VLOOKUP(C517,'[1]1.CUADRO RESUMEN DE SITIOS '!$C$5:$L$1052,10,FALSE())</f>
        <v>Terminado</v>
      </c>
      <c r="M517" s="26">
        <v>8828119110</v>
      </c>
      <c r="N517" s="26">
        <f>VLOOKUP(M517,[1]LPU!$A$2:$G$1512,2,FALSE())</f>
        <v>107</v>
      </c>
      <c r="O517" s="26" t="str">
        <f>VLOOKUP(M517,[1]LPU!$A$2:$G$1512,3,FALSE)</f>
        <v>Mano de Obra Tecnico Electricista Certficado CONTE</v>
      </c>
      <c r="P517" s="26" t="str">
        <f>VLOOKUP(M517,[1]LPU!$A$2:$G$1512,4,FALSE())</f>
        <v>ENERGÍA</v>
      </c>
      <c r="Q517" s="26" t="str">
        <f>VLOOKUP(M517,[1]LPU!$A$2:$G$1512,5,FALSE())</f>
        <v>DIA</v>
      </c>
      <c r="R517" s="27">
        <f>VLOOKUP(M517,[1]LPU!$A$2:$G$1512,6,FALSE())</f>
        <v>136000</v>
      </c>
      <c r="S517" s="27" t="str">
        <f>VLOOKUP(M517,[1]LPU!$A$2:$G$1512,7,FALSE())</f>
        <v>LPU FLM</v>
      </c>
      <c r="T517" s="28">
        <v>2</v>
      </c>
      <c r="U517" s="29">
        <f t="shared" si="7"/>
        <v>272000</v>
      </c>
      <c r="V517" s="29" t="s">
        <v>77</v>
      </c>
      <c r="W517" s="30"/>
      <c r="X517" s="29" t="s">
        <v>254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ht="21" customHeight="1" x14ac:dyDescent="0.3">
      <c r="A518" s="22">
        <v>514</v>
      </c>
      <c r="B518" s="23">
        <v>1</v>
      </c>
      <c r="C518" s="23" t="s">
        <v>262</v>
      </c>
      <c r="D518" s="23" t="str">
        <f>VLOOKUP(C518,'[1]1.CUADRO RESUMEN DE SITIOS '!$C$5:$L$1052,2,FALSE())</f>
        <v>NAR_02981</v>
      </c>
      <c r="E518" s="24">
        <f>VLOOKUP(C518,'[1]1.CUADRO RESUMEN DE SITIOS '!$C$5:$L$1052,3,FALSE())</f>
        <v>45942</v>
      </c>
      <c r="F518" s="23">
        <f>VLOOKUP(C518,'[1]1.CUADRO RESUMEN DE SITIOS '!$C$5:$L$1052,4,FALSE())</f>
        <v>1.8046</v>
      </c>
      <c r="G518" s="23">
        <f>VLOOKUP(C518,'[1]1.CUADRO RESUMEN DE SITIOS '!$C$5:$L$1052,5,FALSE())</f>
        <v>-78.767200000000003</v>
      </c>
      <c r="H518" s="23" t="str">
        <f>VLOOKUP(C518,'[1]1.CUADRO RESUMEN DE SITIOS '!$C$5:$L$1052,6,FALSE())</f>
        <v>Nariño</v>
      </c>
      <c r="I518" s="23" t="str">
        <f>VLOOKUP(C518,'[1]1.CUADRO RESUMEN DE SITIOS '!$C$5:$L$1052,7,FALSE())</f>
        <v>WOM</v>
      </c>
      <c r="J518" s="25" t="str">
        <f>VLOOKUP(C518,'[1]1.CUADRO RESUMEN DE SITIOS '!$C$5:$L$1052,8,FALSE())</f>
        <v>SUROCCIDENTE</v>
      </c>
      <c r="K518" s="23" t="str">
        <f>VLOOKUP(C518,'[1]1.CUADRO RESUMEN DE SITIOS '!$C$5:$L$1052,9,FALSE())</f>
        <v>Wilson Alejandro Solarte</v>
      </c>
      <c r="L518" s="26" t="str">
        <f>VLOOKUP(C518,'[1]1.CUADRO RESUMEN DE SITIOS '!$C$5:$L$1052,10,FALSE())</f>
        <v>Terminado</v>
      </c>
      <c r="M518" s="26">
        <v>8828119492</v>
      </c>
      <c r="N518" s="26">
        <f>VLOOKUP(M518,[1]LPU!$A$2:$G$1512,2,FALSE())</f>
        <v>53</v>
      </c>
      <c r="O518" s="26" t="str">
        <f>VLOOKUP(M518,[1]LPU!$A$2:$G$1512,3,FALSE)</f>
        <v>Instalación Banco de Baterias para Rectificadores - Aplica para ampliaciones.</v>
      </c>
      <c r="P518" s="26" t="str">
        <f>VLOOKUP(M518,[1]LPU!$A$2:$G$1512,4,FALSE())</f>
        <v>ENERGÍA</v>
      </c>
      <c r="Q518" s="26" t="str">
        <f>VLOOKUP(M518,[1]LPU!$A$2:$G$1512,5,FALSE())</f>
        <v>U</v>
      </c>
      <c r="R518" s="27">
        <f>VLOOKUP(M518,[1]LPU!$A$2:$G$1512,6,FALSE())</f>
        <v>102340</v>
      </c>
      <c r="S518" s="27" t="str">
        <f>VLOOKUP(M518,[1]LPU!$A$2:$G$1512,7,FALSE())</f>
        <v>LPU FLM</v>
      </c>
      <c r="T518" s="28">
        <v>1</v>
      </c>
      <c r="U518" s="29">
        <f t="shared" si="7"/>
        <v>102340</v>
      </c>
      <c r="V518" s="29" t="s">
        <v>77</v>
      </c>
      <c r="W518" s="30"/>
      <c r="X518" s="29" t="s">
        <v>254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ht="21" customHeight="1" x14ac:dyDescent="0.3">
      <c r="A519" s="22">
        <v>515</v>
      </c>
      <c r="B519" s="23">
        <v>1</v>
      </c>
      <c r="C519" s="23" t="s">
        <v>262</v>
      </c>
      <c r="D519" s="23" t="str">
        <f>VLOOKUP(C519,'[1]1.CUADRO RESUMEN DE SITIOS '!$C$5:$L$1052,2,FALSE())</f>
        <v>NAR_02981</v>
      </c>
      <c r="E519" s="24">
        <f>VLOOKUP(C519,'[1]1.CUADRO RESUMEN DE SITIOS '!$C$5:$L$1052,3,FALSE())</f>
        <v>45942</v>
      </c>
      <c r="F519" s="23">
        <f>VLOOKUP(C519,'[1]1.CUADRO RESUMEN DE SITIOS '!$C$5:$L$1052,4,FALSE())</f>
        <v>1.8046</v>
      </c>
      <c r="G519" s="23">
        <f>VLOOKUP(C519,'[1]1.CUADRO RESUMEN DE SITIOS '!$C$5:$L$1052,5,FALSE())</f>
        <v>-78.767200000000003</v>
      </c>
      <c r="H519" s="23" t="str">
        <f>VLOOKUP(C519,'[1]1.CUADRO RESUMEN DE SITIOS '!$C$5:$L$1052,6,FALSE())</f>
        <v>Nariño</v>
      </c>
      <c r="I519" s="23" t="str">
        <f>VLOOKUP(C519,'[1]1.CUADRO RESUMEN DE SITIOS '!$C$5:$L$1052,7,FALSE())</f>
        <v>WOM</v>
      </c>
      <c r="J519" s="25" t="str">
        <f>VLOOKUP(C519,'[1]1.CUADRO RESUMEN DE SITIOS '!$C$5:$L$1052,8,FALSE())</f>
        <v>SUROCCIDENTE</v>
      </c>
      <c r="K519" s="23" t="str">
        <f>VLOOKUP(C519,'[1]1.CUADRO RESUMEN DE SITIOS '!$C$5:$L$1052,9,FALSE())</f>
        <v>Wilson Alejandro Solarte</v>
      </c>
      <c r="L519" s="26" t="str">
        <f>VLOOKUP(C519,'[1]1.CUADRO RESUMEN DE SITIOS '!$C$5:$L$1052,10,FALSE())</f>
        <v>Terminado</v>
      </c>
      <c r="M519" s="26">
        <v>8828119512</v>
      </c>
      <c r="N519" s="26">
        <f>VLOOKUP(M519,[1]LPU!$A$2:$G$1512,2,FALSE())</f>
        <v>55</v>
      </c>
      <c r="O519" s="26" t="str">
        <f>VLOOKUP(M519,[1]LPU!$A$2:$G$1512,3,FALSE)</f>
        <v>Transporte Banco de Baterias</v>
      </c>
      <c r="P519" s="26" t="str">
        <f>VLOOKUP(M519,[1]LPU!$A$2:$G$1512,4,FALSE())</f>
        <v>ENERGÍA</v>
      </c>
      <c r="Q519" s="26" t="str">
        <f>VLOOKUP(M519,[1]LPU!$A$2:$G$1512,5,FALSE())</f>
        <v>U</v>
      </c>
      <c r="R519" s="27">
        <f>VLOOKUP(M519,[1]LPU!$A$2:$G$1512,6,FALSE())</f>
        <v>82212</v>
      </c>
      <c r="S519" s="27" t="str">
        <f>VLOOKUP(M519,[1]LPU!$A$2:$G$1512,7,FALSE())</f>
        <v>LPU FLM</v>
      </c>
      <c r="T519" s="28">
        <v>1</v>
      </c>
      <c r="U519" s="29">
        <f t="shared" si="7"/>
        <v>82212</v>
      </c>
      <c r="V519" s="29" t="s">
        <v>77</v>
      </c>
      <c r="W519" s="30"/>
      <c r="X519" s="29" t="s">
        <v>254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ht="21" customHeight="1" x14ac:dyDescent="0.3">
      <c r="A520" s="22">
        <v>516</v>
      </c>
      <c r="B520" s="23">
        <v>1</v>
      </c>
      <c r="C520" s="23" t="s">
        <v>262</v>
      </c>
      <c r="D520" s="23" t="str">
        <f>VLOOKUP(C520,'[1]1.CUADRO RESUMEN DE SITIOS '!$C$5:$L$1052,2,FALSE())</f>
        <v>NAR_02981</v>
      </c>
      <c r="E520" s="24">
        <f>VLOOKUP(C520,'[1]1.CUADRO RESUMEN DE SITIOS '!$C$5:$L$1052,3,FALSE())</f>
        <v>45942</v>
      </c>
      <c r="F520" s="23">
        <f>VLOOKUP(C520,'[1]1.CUADRO RESUMEN DE SITIOS '!$C$5:$L$1052,4,FALSE())</f>
        <v>1.8046</v>
      </c>
      <c r="G520" s="23">
        <f>VLOOKUP(C520,'[1]1.CUADRO RESUMEN DE SITIOS '!$C$5:$L$1052,5,FALSE())</f>
        <v>-78.767200000000003</v>
      </c>
      <c r="H520" s="23" t="str">
        <f>VLOOKUP(C520,'[1]1.CUADRO RESUMEN DE SITIOS '!$C$5:$L$1052,6,FALSE())</f>
        <v>Nariño</v>
      </c>
      <c r="I520" s="23" t="str">
        <f>VLOOKUP(C520,'[1]1.CUADRO RESUMEN DE SITIOS '!$C$5:$L$1052,7,FALSE())</f>
        <v>WOM</v>
      </c>
      <c r="J520" s="25" t="str">
        <f>VLOOKUP(C520,'[1]1.CUADRO RESUMEN DE SITIOS '!$C$5:$L$1052,8,FALSE())</f>
        <v>SUROCCIDENTE</v>
      </c>
      <c r="K520" s="23" t="str">
        <f>VLOOKUP(C520,'[1]1.CUADRO RESUMEN DE SITIOS '!$C$5:$L$1052,9,FALSE())</f>
        <v>Wilson Alejandro Solarte</v>
      </c>
      <c r="L520" s="26" t="str">
        <f>VLOOKUP(C520,'[1]1.CUADRO RESUMEN DE SITIOS '!$C$5:$L$1052,10,FALSE())</f>
        <v>Terminado</v>
      </c>
      <c r="M520" s="26">
        <v>8828118999</v>
      </c>
      <c r="N520" s="26">
        <f>VLOOKUP(M520,[1]LPU!$A$2:$G$1512,2,FALSE())</f>
        <v>0</v>
      </c>
      <c r="O520" s="26" t="str">
        <f>VLOOKUP(M520,[1]LPU!$A$2:$G$1512,3,FALSE)</f>
        <v>Suministro e instalación de cable UTP Categoría 6, con conectores en sus extremos, certificado</v>
      </c>
      <c r="P520" s="26" t="str">
        <f>VLOOKUP(M520,[1]LPU!$A$2:$G$1512,4,FALSE())</f>
        <v>Item Critico</v>
      </c>
      <c r="Q520" s="26" t="str">
        <f>VLOOKUP(M520,[1]LPU!$A$2:$G$1512,5,FALSE())</f>
        <v>m</v>
      </c>
      <c r="R520" s="27">
        <f>VLOOKUP(M520,[1]LPU!$A$2:$G$1512,6,FALSE())</f>
        <v>5913</v>
      </c>
      <c r="S520" s="27" t="str">
        <f>VLOOKUP(M520,[1]LPU!$A$2:$G$1512,7,FALSE())</f>
        <v>LPU FO Propia</v>
      </c>
      <c r="T520" s="28">
        <v>3</v>
      </c>
      <c r="U520" s="29">
        <f t="shared" si="7"/>
        <v>17739</v>
      </c>
      <c r="V520" s="29" t="s">
        <v>77</v>
      </c>
      <c r="W520" s="30"/>
      <c r="X520" s="29" t="s">
        <v>254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ht="21" customHeight="1" x14ac:dyDescent="0.3">
      <c r="A521" s="22">
        <v>517</v>
      </c>
      <c r="B521" s="23">
        <v>1</v>
      </c>
      <c r="C521" s="23" t="s">
        <v>262</v>
      </c>
      <c r="D521" s="23" t="str">
        <f>VLOOKUP(C521,'[1]1.CUADRO RESUMEN DE SITIOS '!$C$5:$L$1052,2,FALSE())</f>
        <v>NAR_02981</v>
      </c>
      <c r="E521" s="24">
        <f>VLOOKUP(C521,'[1]1.CUADRO RESUMEN DE SITIOS '!$C$5:$L$1052,3,FALSE())</f>
        <v>45942</v>
      </c>
      <c r="F521" s="23">
        <f>VLOOKUP(C521,'[1]1.CUADRO RESUMEN DE SITIOS '!$C$5:$L$1052,4,FALSE())</f>
        <v>1.8046</v>
      </c>
      <c r="G521" s="23">
        <f>VLOOKUP(C521,'[1]1.CUADRO RESUMEN DE SITIOS '!$C$5:$L$1052,5,FALSE())</f>
        <v>-78.767200000000003</v>
      </c>
      <c r="H521" s="23" t="str">
        <f>VLOOKUP(C521,'[1]1.CUADRO RESUMEN DE SITIOS '!$C$5:$L$1052,6,FALSE())</f>
        <v>Nariño</v>
      </c>
      <c r="I521" s="23" t="str">
        <f>VLOOKUP(C521,'[1]1.CUADRO RESUMEN DE SITIOS '!$C$5:$L$1052,7,FALSE())</f>
        <v>WOM</v>
      </c>
      <c r="J521" s="25" t="str">
        <f>VLOOKUP(C521,'[1]1.CUADRO RESUMEN DE SITIOS '!$C$5:$L$1052,8,FALSE())</f>
        <v>SUROCCIDENTE</v>
      </c>
      <c r="K521" s="23" t="str">
        <f>VLOOKUP(C521,'[1]1.CUADRO RESUMEN DE SITIOS '!$C$5:$L$1052,9,FALSE())</f>
        <v>Wilson Alejandro Solarte</v>
      </c>
      <c r="L521" s="26" t="str">
        <f>VLOOKUP(C521,'[1]1.CUADRO RESUMEN DE SITIOS '!$C$5:$L$1052,10,FALSE())</f>
        <v>Terminado</v>
      </c>
      <c r="M521" s="26">
        <v>8828118925</v>
      </c>
      <c r="N521" s="26">
        <f>VLOOKUP(M521,[1]LPU!$A$2:$G$1512,2,FALSE())</f>
        <v>87</v>
      </c>
      <c r="O521" s="26" t="str">
        <f>VLOOKUP(M521,[1]LPU!$A$2:$G$1512,3,FALSE)</f>
        <v>Suministro e Instalacion de cable multifilar #4 awg tipo soldador.</v>
      </c>
      <c r="P521" s="26" t="str">
        <f>VLOOKUP(M521,[1]LPU!$A$2:$G$1512,4,FALSE())</f>
        <v>ENERGÍA</v>
      </c>
      <c r="Q521" s="26" t="str">
        <f>VLOOKUP(M521,[1]LPU!$A$2:$G$1512,5,FALSE())</f>
        <v>ML</v>
      </c>
      <c r="R521" s="27">
        <f>VLOOKUP(M521,[1]LPU!$A$2:$G$1512,6,FALSE())</f>
        <v>60815.8</v>
      </c>
      <c r="S521" s="27" t="str">
        <f>VLOOKUP(M521,[1]LPU!$A$2:$G$1512,7,FALSE())</f>
        <v>LPU FLM</v>
      </c>
      <c r="T521" s="28">
        <v>6</v>
      </c>
      <c r="U521" s="29">
        <f t="shared" si="7"/>
        <v>364894.80000000005</v>
      </c>
      <c r="V521" s="29" t="s">
        <v>77</v>
      </c>
      <c r="W521" s="30"/>
      <c r="X521" s="29" t="s">
        <v>254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ht="21" customHeight="1" x14ac:dyDescent="0.3">
      <c r="A522" s="22">
        <v>518</v>
      </c>
      <c r="B522" s="23">
        <v>1</v>
      </c>
      <c r="C522" s="23" t="s">
        <v>262</v>
      </c>
      <c r="D522" s="23" t="str">
        <f>VLOOKUP(C522,'[1]1.CUADRO RESUMEN DE SITIOS '!$C$5:$L$1052,2,FALSE())</f>
        <v>NAR_02981</v>
      </c>
      <c r="E522" s="24">
        <f>VLOOKUP(C522,'[1]1.CUADRO RESUMEN DE SITIOS '!$C$5:$L$1052,3,FALSE())</f>
        <v>45942</v>
      </c>
      <c r="F522" s="23">
        <f>VLOOKUP(C522,'[1]1.CUADRO RESUMEN DE SITIOS '!$C$5:$L$1052,4,FALSE())</f>
        <v>1.8046</v>
      </c>
      <c r="G522" s="23">
        <f>VLOOKUP(C522,'[1]1.CUADRO RESUMEN DE SITIOS '!$C$5:$L$1052,5,FALSE())</f>
        <v>-78.767200000000003</v>
      </c>
      <c r="H522" s="23" t="str">
        <f>VLOOKUP(C522,'[1]1.CUADRO RESUMEN DE SITIOS '!$C$5:$L$1052,6,FALSE())</f>
        <v>Nariño</v>
      </c>
      <c r="I522" s="23" t="str">
        <f>VLOOKUP(C522,'[1]1.CUADRO RESUMEN DE SITIOS '!$C$5:$L$1052,7,FALSE())</f>
        <v>WOM</v>
      </c>
      <c r="J522" s="25" t="str">
        <f>VLOOKUP(C522,'[1]1.CUADRO RESUMEN DE SITIOS '!$C$5:$L$1052,8,FALSE())</f>
        <v>SUROCCIDENTE</v>
      </c>
      <c r="K522" s="23" t="str">
        <f>VLOOKUP(C522,'[1]1.CUADRO RESUMEN DE SITIOS '!$C$5:$L$1052,9,FALSE())</f>
        <v>Wilson Alejandro Solarte</v>
      </c>
      <c r="L522" s="26" t="str">
        <f>VLOOKUP(C522,'[1]1.CUADRO RESUMEN DE SITIOS '!$C$5:$L$1052,10,FALSE())</f>
        <v>Terminado</v>
      </c>
      <c r="M522" s="26">
        <v>8828118868</v>
      </c>
      <c r="N522" s="26">
        <f>VLOOKUP(M522,[1]LPU!$A$2:$G$1512,2,FALSE())</f>
        <v>81</v>
      </c>
      <c r="O522" s="26" t="str">
        <f>VLOOKUP(M522,[1]LPU!$A$2:$G$1512,3,FALSE)</f>
        <v>Suministro e Instalacion de terminal para cable awg # 2 en cobre estañado un ojo</v>
      </c>
      <c r="P522" s="26" t="str">
        <f>VLOOKUP(M522,[1]LPU!$A$2:$G$1512,4,FALSE())</f>
        <v>ENERGÍA</v>
      </c>
      <c r="Q522" s="26" t="str">
        <f>VLOOKUP(M522,[1]LPU!$A$2:$G$1512,5,FALSE())</f>
        <v>U</v>
      </c>
      <c r="R522" s="27">
        <f>VLOOKUP(M522,[1]LPU!$A$2:$G$1512,6,FALSE())</f>
        <v>2347</v>
      </c>
      <c r="S522" s="27" t="str">
        <f>VLOOKUP(M522,[1]LPU!$A$2:$G$1512,7,FALSE())</f>
        <v>LPU FLM</v>
      </c>
      <c r="T522" s="28">
        <v>4</v>
      </c>
      <c r="U522" s="29">
        <f t="shared" si="7"/>
        <v>9388</v>
      </c>
      <c r="V522" s="29" t="s">
        <v>77</v>
      </c>
      <c r="W522" s="30"/>
      <c r="X522" s="29" t="s">
        <v>254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ht="21" customHeight="1" x14ac:dyDescent="0.3">
      <c r="A523" s="22">
        <v>519</v>
      </c>
      <c r="B523" s="23">
        <v>1</v>
      </c>
      <c r="C523" s="23" t="s">
        <v>262</v>
      </c>
      <c r="D523" s="23" t="str">
        <f>VLOOKUP(C523,'[1]1.CUADRO RESUMEN DE SITIOS '!$C$5:$L$1052,2,FALSE())</f>
        <v>NAR_02981</v>
      </c>
      <c r="E523" s="24">
        <f>VLOOKUP(C523,'[1]1.CUADRO RESUMEN DE SITIOS '!$C$5:$L$1052,3,FALSE())</f>
        <v>45942</v>
      </c>
      <c r="F523" s="23">
        <f>VLOOKUP(C523,'[1]1.CUADRO RESUMEN DE SITIOS '!$C$5:$L$1052,4,FALSE())</f>
        <v>1.8046</v>
      </c>
      <c r="G523" s="23">
        <f>VLOOKUP(C523,'[1]1.CUADRO RESUMEN DE SITIOS '!$C$5:$L$1052,5,FALSE())</f>
        <v>-78.767200000000003</v>
      </c>
      <c r="H523" s="23" t="str">
        <f>VLOOKUP(C523,'[1]1.CUADRO RESUMEN DE SITIOS '!$C$5:$L$1052,6,FALSE())</f>
        <v>Nariño</v>
      </c>
      <c r="I523" s="23" t="str">
        <f>VLOOKUP(C523,'[1]1.CUADRO RESUMEN DE SITIOS '!$C$5:$L$1052,7,FALSE())</f>
        <v>WOM</v>
      </c>
      <c r="J523" s="25" t="str">
        <f>VLOOKUP(C523,'[1]1.CUADRO RESUMEN DE SITIOS '!$C$5:$L$1052,8,FALSE())</f>
        <v>SUROCCIDENTE</v>
      </c>
      <c r="K523" s="23" t="str">
        <f>VLOOKUP(C523,'[1]1.CUADRO RESUMEN DE SITIOS '!$C$5:$L$1052,9,FALSE())</f>
        <v>Wilson Alejandro Solarte</v>
      </c>
      <c r="L523" s="26" t="str">
        <f>VLOOKUP(C523,'[1]1.CUADRO RESUMEN DE SITIOS '!$C$5:$L$1052,10,FALSE())</f>
        <v>Terminado</v>
      </c>
      <c r="M523" s="26">
        <v>8828119980</v>
      </c>
      <c r="N523" s="26">
        <f>VLOOKUP(M523,[1]LPU!$A$2:$G$1512,2,FALSE())</f>
        <v>169</v>
      </c>
      <c r="O523" s="26" t="str">
        <f>VLOOKUP(M523,[1]LPU!$A$2:$G$1512,3,FALSE)</f>
        <v>Reforzamiento Protección Concreto para Rack de Baterías Incluye Materiales</v>
      </c>
      <c r="P523" s="26" t="str">
        <f>VLOOKUP(M523,[1]LPU!$A$2:$G$1512,4,FALSE())</f>
        <v>LOCATIVO</v>
      </c>
      <c r="Q523" s="26" t="str">
        <f>VLOOKUP(M523,[1]LPU!$A$2:$G$1512,5,FALSE())</f>
        <v>U</v>
      </c>
      <c r="R523" s="27">
        <f>VLOOKUP(M523,[1]LPU!$A$2:$G$1512,6,FALSE())</f>
        <v>114750</v>
      </c>
      <c r="S523" s="27" t="str">
        <f>VLOOKUP(M523,[1]LPU!$A$2:$G$1512,7,FALSE())</f>
        <v>LPU FLM</v>
      </c>
      <c r="T523" s="28">
        <v>1</v>
      </c>
      <c r="U523" s="29">
        <f t="shared" si="7"/>
        <v>114750</v>
      </c>
      <c r="V523" s="29" t="s">
        <v>77</v>
      </c>
      <c r="W523" s="30"/>
      <c r="X523" s="29" t="s">
        <v>254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ht="21" customHeight="1" x14ac:dyDescent="0.3">
      <c r="A524" s="22">
        <v>520</v>
      </c>
      <c r="B524" s="23">
        <v>1</v>
      </c>
      <c r="C524" s="23" t="s">
        <v>262</v>
      </c>
      <c r="D524" s="23" t="str">
        <f>VLOOKUP(C524,'[1]1.CUADRO RESUMEN DE SITIOS '!$C$5:$L$1052,2,FALSE())</f>
        <v>NAR_02981</v>
      </c>
      <c r="E524" s="24">
        <f>VLOOKUP(C524,'[1]1.CUADRO RESUMEN DE SITIOS '!$C$5:$L$1052,3,FALSE())</f>
        <v>45942</v>
      </c>
      <c r="F524" s="23">
        <f>VLOOKUP(C524,'[1]1.CUADRO RESUMEN DE SITIOS '!$C$5:$L$1052,4,FALSE())</f>
        <v>1.8046</v>
      </c>
      <c r="G524" s="23">
        <f>VLOOKUP(C524,'[1]1.CUADRO RESUMEN DE SITIOS '!$C$5:$L$1052,5,FALSE())</f>
        <v>-78.767200000000003</v>
      </c>
      <c r="H524" s="23" t="str">
        <f>VLOOKUP(C524,'[1]1.CUADRO RESUMEN DE SITIOS '!$C$5:$L$1052,6,FALSE())</f>
        <v>Nariño</v>
      </c>
      <c r="I524" s="23" t="str">
        <f>VLOOKUP(C524,'[1]1.CUADRO RESUMEN DE SITIOS '!$C$5:$L$1052,7,FALSE())</f>
        <v>WOM</v>
      </c>
      <c r="J524" s="25" t="str">
        <f>VLOOKUP(C524,'[1]1.CUADRO RESUMEN DE SITIOS '!$C$5:$L$1052,8,FALSE())</f>
        <v>SUROCCIDENTE</v>
      </c>
      <c r="K524" s="23" t="str">
        <f>VLOOKUP(C524,'[1]1.CUADRO RESUMEN DE SITIOS '!$C$5:$L$1052,9,FALSE())</f>
        <v>Wilson Alejandro Solarte</v>
      </c>
      <c r="L524" s="26" t="str">
        <f>VLOOKUP(C524,'[1]1.CUADRO RESUMEN DE SITIOS '!$C$5:$L$1052,10,FALSE())</f>
        <v>Terminado</v>
      </c>
      <c r="M524" s="26">
        <v>8828119867</v>
      </c>
      <c r="N524" s="26">
        <f>VLOOKUP(M524,[1]LPU!$A$2:$G$1512,2,FALSE())</f>
        <v>158</v>
      </c>
      <c r="O524" s="26" t="str">
        <f>VLOOKUP(M524,[1]LPU!$A$2:$G$1512,3,FALSE)</f>
        <v>Reja para equipo cabinet x 4 baterías</v>
      </c>
      <c r="P524" s="26" t="str">
        <f>VLOOKUP(M524,[1]LPU!$A$2:$G$1512,4,FALSE())</f>
        <v>LOCATIVO</v>
      </c>
      <c r="Q524" s="26" t="str">
        <f>VLOOKUP(M524,[1]LPU!$A$2:$G$1512,5,FALSE())</f>
        <v>U</v>
      </c>
      <c r="R524" s="27">
        <f>VLOOKUP(M524,[1]LPU!$A$2:$G$1512,6,FALSE())</f>
        <v>489135</v>
      </c>
      <c r="S524" s="27" t="str">
        <f>VLOOKUP(M524,[1]LPU!$A$2:$G$1512,7,FALSE())</f>
        <v>LPU FLM</v>
      </c>
      <c r="T524" s="28">
        <v>1</v>
      </c>
      <c r="U524" s="29">
        <f t="shared" si="7"/>
        <v>489135</v>
      </c>
      <c r="V524" s="29" t="s">
        <v>77</v>
      </c>
      <c r="W524" s="30"/>
      <c r="X524" s="29" t="s">
        <v>254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ht="21" customHeight="1" x14ac:dyDescent="0.3">
      <c r="A525" s="22">
        <v>521</v>
      </c>
      <c r="B525" s="23">
        <v>1</v>
      </c>
      <c r="C525" s="23" t="s">
        <v>262</v>
      </c>
      <c r="D525" s="23" t="str">
        <f>VLOOKUP(C525,'[1]1.CUADRO RESUMEN DE SITIOS '!$C$5:$L$1052,2,FALSE())</f>
        <v>NAR_02981</v>
      </c>
      <c r="E525" s="24">
        <f>VLOOKUP(C525,'[1]1.CUADRO RESUMEN DE SITIOS '!$C$5:$L$1052,3,FALSE())</f>
        <v>45942</v>
      </c>
      <c r="F525" s="23">
        <f>VLOOKUP(C525,'[1]1.CUADRO RESUMEN DE SITIOS '!$C$5:$L$1052,4,FALSE())</f>
        <v>1.8046</v>
      </c>
      <c r="G525" s="23">
        <f>VLOOKUP(C525,'[1]1.CUADRO RESUMEN DE SITIOS '!$C$5:$L$1052,5,FALSE())</f>
        <v>-78.767200000000003</v>
      </c>
      <c r="H525" s="23" t="str">
        <f>VLOOKUP(C525,'[1]1.CUADRO RESUMEN DE SITIOS '!$C$5:$L$1052,6,FALSE())</f>
        <v>Nariño</v>
      </c>
      <c r="I525" s="23" t="str">
        <f>VLOOKUP(C525,'[1]1.CUADRO RESUMEN DE SITIOS '!$C$5:$L$1052,7,FALSE())</f>
        <v>WOM</v>
      </c>
      <c r="J525" s="25" t="str">
        <f>VLOOKUP(C525,'[1]1.CUADRO RESUMEN DE SITIOS '!$C$5:$L$1052,8,FALSE())</f>
        <v>SUROCCIDENTE</v>
      </c>
      <c r="K525" s="23" t="str">
        <f>VLOOKUP(C525,'[1]1.CUADRO RESUMEN DE SITIOS '!$C$5:$L$1052,9,FALSE())</f>
        <v>Wilson Alejandro Solarte</v>
      </c>
      <c r="L525" s="26" t="str">
        <f>VLOOKUP(C525,'[1]1.CUADRO RESUMEN DE SITIOS '!$C$5:$L$1052,10,FALSE())</f>
        <v>Terminado</v>
      </c>
      <c r="M525" s="26">
        <v>8828119045</v>
      </c>
      <c r="N525" s="26">
        <f>VLOOKUP(M525,[1]LPU!$A$2:$G$1512,2,FALSE())</f>
        <v>5.29</v>
      </c>
      <c r="O525" s="26" t="str">
        <f>VLOOKUP(M525,[1]LPU!$A$2:$G$1512,3,FALSE)</f>
        <v>Suministro e instalación de estructura metálica en acero galvanizado para refuerzo, soportes, bases y adecuaciones en general.</v>
      </c>
      <c r="P525" s="26" t="str">
        <f>VLOOKUP(M525,[1]LPU!$A$2:$G$1512,4,FALSE())</f>
        <v>Mantenimiento CW</v>
      </c>
      <c r="Q525" s="26" t="str">
        <f>VLOOKUP(M525,[1]LPU!$A$2:$G$1512,5,FALSE())</f>
        <v>Kg</v>
      </c>
      <c r="R525" s="27">
        <f>VLOOKUP(M525,[1]LPU!$A$2:$G$1512,6,FALSE())</f>
        <v>12911.5</v>
      </c>
      <c r="S525" s="27" t="str">
        <f>VLOOKUP(M525,[1]LPU!$A$2:$G$1512,7,FALSE())</f>
        <v>Mantenimiento CW</v>
      </c>
      <c r="T525" s="28">
        <v>30</v>
      </c>
      <c r="U525" s="29">
        <f t="shared" si="7"/>
        <v>387345</v>
      </c>
      <c r="V525" s="29" t="s">
        <v>77</v>
      </c>
      <c r="W525" s="30"/>
      <c r="X525" s="29" t="s">
        <v>254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ht="21" customHeight="1" x14ac:dyDescent="0.3">
      <c r="A526" s="22">
        <v>522</v>
      </c>
      <c r="B526" s="23">
        <v>1</v>
      </c>
      <c r="C526" s="23" t="s">
        <v>262</v>
      </c>
      <c r="D526" s="23" t="str">
        <f>VLOOKUP(C526,'[1]1.CUADRO RESUMEN DE SITIOS '!$C$5:$L$1052,2,FALSE())</f>
        <v>NAR_02981</v>
      </c>
      <c r="E526" s="24">
        <f>VLOOKUP(C526,'[1]1.CUADRO RESUMEN DE SITIOS '!$C$5:$L$1052,3,FALSE())</f>
        <v>45942</v>
      </c>
      <c r="F526" s="23">
        <f>VLOOKUP(C526,'[1]1.CUADRO RESUMEN DE SITIOS '!$C$5:$L$1052,4,FALSE())</f>
        <v>1.8046</v>
      </c>
      <c r="G526" s="23">
        <f>VLOOKUP(C526,'[1]1.CUADRO RESUMEN DE SITIOS '!$C$5:$L$1052,5,FALSE())</f>
        <v>-78.767200000000003</v>
      </c>
      <c r="H526" s="23" t="str">
        <f>VLOOKUP(C526,'[1]1.CUADRO RESUMEN DE SITIOS '!$C$5:$L$1052,6,FALSE())</f>
        <v>Nariño</v>
      </c>
      <c r="I526" s="23" t="str">
        <f>VLOOKUP(C526,'[1]1.CUADRO RESUMEN DE SITIOS '!$C$5:$L$1052,7,FALSE())</f>
        <v>WOM</v>
      </c>
      <c r="J526" s="25" t="str">
        <f>VLOOKUP(C526,'[1]1.CUADRO RESUMEN DE SITIOS '!$C$5:$L$1052,8,FALSE())</f>
        <v>SUROCCIDENTE</v>
      </c>
      <c r="K526" s="23" t="str">
        <f>VLOOKUP(C526,'[1]1.CUADRO RESUMEN DE SITIOS '!$C$5:$L$1052,9,FALSE())</f>
        <v>Wilson Alejandro Solarte</v>
      </c>
      <c r="L526" s="26" t="str">
        <f>VLOOKUP(C526,'[1]1.CUADRO RESUMEN DE SITIOS '!$C$5:$L$1052,10,FALSE())</f>
        <v>Terminado</v>
      </c>
      <c r="M526" s="26">
        <v>8828119599</v>
      </c>
      <c r="N526" s="26">
        <f>VLOOKUP(M526,[1]LPU!$A$2:$G$1512,2,FALSE())</f>
        <v>197</v>
      </c>
      <c r="O526" s="26" t="str">
        <f>VLOOKUP(M526,[1]LPU!$A$2:$G$1512,3,FALSE)</f>
        <v>Transporte de Equipos y Materiales, Carga y Descarga, desde y hacía Bodega Regional. Mas de 1 Tonelada. ZONA 2 (Resolución 5078 de 2016)</v>
      </c>
      <c r="P526" s="26" t="str">
        <f>VLOOKUP(M526,[1]LPU!$A$2:$G$1512,4,FALSE())</f>
        <v>LOCATIVO</v>
      </c>
      <c r="Q526" s="26" t="str">
        <f>VLOOKUP(M526,[1]LPU!$A$2:$G$1512,5,FALSE())</f>
        <v>U</v>
      </c>
      <c r="R526" s="27">
        <f>VLOOKUP(M526,[1]LPU!$A$2:$G$1512,6,FALSE())</f>
        <v>680680</v>
      </c>
      <c r="S526" s="27" t="str">
        <f>VLOOKUP(M526,[1]LPU!$A$2:$G$1512,7,FALSE())</f>
        <v>LPU FLM</v>
      </c>
      <c r="T526" s="28">
        <v>1</v>
      </c>
      <c r="U526" s="29">
        <f t="shared" si="7"/>
        <v>680680</v>
      </c>
      <c r="V526" s="29" t="s">
        <v>77</v>
      </c>
      <c r="W526" s="30"/>
      <c r="X526" s="29" t="s">
        <v>254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ht="21" customHeight="1" x14ac:dyDescent="0.3">
      <c r="A527" s="22">
        <v>523</v>
      </c>
      <c r="B527" s="23">
        <v>1</v>
      </c>
      <c r="C527" s="23" t="s">
        <v>262</v>
      </c>
      <c r="D527" s="23" t="str">
        <f>VLOOKUP(C527,'[1]1.CUADRO RESUMEN DE SITIOS '!$C$5:$L$1052,2,FALSE())</f>
        <v>NAR_02981</v>
      </c>
      <c r="E527" s="24">
        <f>VLOOKUP(C527,'[1]1.CUADRO RESUMEN DE SITIOS '!$C$5:$L$1052,3,FALSE())</f>
        <v>45942</v>
      </c>
      <c r="F527" s="23">
        <f>VLOOKUP(C527,'[1]1.CUADRO RESUMEN DE SITIOS '!$C$5:$L$1052,4,FALSE())</f>
        <v>1.8046</v>
      </c>
      <c r="G527" s="23">
        <f>VLOOKUP(C527,'[1]1.CUADRO RESUMEN DE SITIOS '!$C$5:$L$1052,5,FALSE())</f>
        <v>-78.767200000000003</v>
      </c>
      <c r="H527" s="23" t="str">
        <f>VLOOKUP(C527,'[1]1.CUADRO RESUMEN DE SITIOS '!$C$5:$L$1052,6,FALSE())</f>
        <v>Nariño</v>
      </c>
      <c r="I527" s="23" t="str">
        <f>VLOOKUP(C527,'[1]1.CUADRO RESUMEN DE SITIOS '!$C$5:$L$1052,7,FALSE())</f>
        <v>WOM</v>
      </c>
      <c r="J527" s="25" t="str">
        <f>VLOOKUP(C527,'[1]1.CUADRO RESUMEN DE SITIOS '!$C$5:$L$1052,8,FALSE())</f>
        <v>SUROCCIDENTE</v>
      </c>
      <c r="K527" s="23" t="str">
        <f>VLOOKUP(C527,'[1]1.CUADRO RESUMEN DE SITIOS '!$C$5:$L$1052,9,FALSE())</f>
        <v>Wilson Alejandro Solarte</v>
      </c>
      <c r="L527" s="26" t="str">
        <f>VLOOKUP(C527,'[1]1.CUADRO RESUMEN DE SITIOS '!$C$5:$L$1052,10,FALSE())</f>
        <v>Terminado</v>
      </c>
      <c r="M527" s="26">
        <v>8828119110</v>
      </c>
      <c r="N527" s="26">
        <f>VLOOKUP(M527,[1]LPU!$A$2:$G$1512,2,FALSE())</f>
        <v>107</v>
      </c>
      <c r="O527" s="26" t="str">
        <f>VLOOKUP(M527,[1]LPU!$A$2:$G$1512,3,FALSE)</f>
        <v>Mano de Obra Tecnico Electricista Certficado CONTE</v>
      </c>
      <c r="P527" s="26" t="str">
        <f>VLOOKUP(M527,[1]LPU!$A$2:$G$1512,4,FALSE())</f>
        <v>ENERGÍA</v>
      </c>
      <c r="Q527" s="26" t="str">
        <f>VLOOKUP(M527,[1]LPU!$A$2:$G$1512,5,FALSE())</f>
        <v>DIA</v>
      </c>
      <c r="R527" s="27">
        <f>VLOOKUP(M527,[1]LPU!$A$2:$G$1512,6,FALSE())</f>
        <v>136000</v>
      </c>
      <c r="S527" s="27" t="str">
        <f>VLOOKUP(M527,[1]LPU!$A$2:$G$1512,7,FALSE())</f>
        <v>LPU FLM</v>
      </c>
      <c r="T527" s="28">
        <v>2</v>
      </c>
      <c r="U527" s="29">
        <f t="shared" si="7"/>
        <v>272000</v>
      </c>
      <c r="V527" s="29" t="s">
        <v>77</v>
      </c>
      <c r="W527" s="30"/>
      <c r="X527" s="29" t="s">
        <v>254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ht="21" customHeight="1" x14ac:dyDescent="0.3">
      <c r="A528" s="22">
        <v>524</v>
      </c>
      <c r="B528" s="23">
        <v>1</v>
      </c>
      <c r="C528" s="23" t="s">
        <v>263</v>
      </c>
      <c r="D528" s="23" t="str">
        <f>VLOOKUP(C528,'[1]1.CUADRO RESUMEN DE SITIOS '!$C$5:$L$1052,2,FALSE())</f>
        <v>NAR_02978</v>
      </c>
      <c r="E528" s="24">
        <f>VLOOKUP(C528,'[1]1.CUADRO RESUMEN DE SITIOS '!$C$5:$L$1052,3,FALSE())</f>
        <v>45940</v>
      </c>
      <c r="F528" s="23">
        <f>VLOOKUP(C528,'[1]1.CUADRO RESUMEN DE SITIOS '!$C$5:$L$1052,4,FALSE())</f>
        <v>1.8080000000000001</v>
      </c>
      <c r="G528" s="23">
        <f>VLOOKUP(C528,'[1]1.CUADRO RESUMEN DE SITIOS '!$C$5:$L$1052,5,FALSE())</f>
        <v>-78.7714</v>
      </c>
      <c r="H528" s="23" t="str">
        <f>VLOOKUP(C528,'[1]1.CUADRO RESUMEN DE SITIOS '!$C$5:$L$1052,6,FALSE())</f>
        <v>Nariño</v>
      </c>
      <c r="I528" s="23" t="str">
        <f>VLOOKUP(C528,'[1]1.CUADRO RESUMEN DE SITIOS '!$C$5:$L$1052,7,FALSE())</f>
        <v>WOM</v>
      </c>
      <c r="J528" s="25" t="str">
        <f>VLOOKUP(C528,'[1]1.CUADRO RESUMEN DE SITIOS '!$C$5:$L$1052,8,FALSE())</f>
        <v>SUROCCIDENTE</v>
      </c>
      <c r="K528" s="23" t="str">
        <f>VLOOKUP(C528,'[1]1.CUADRO RESUMEN DE SITIOS '!$C$5:$L$1052,9,FALSE())</f>
        <v>Wilson Alejandro Solarte</v>
      </c>
      <c r="L528" s="26" t="str">
        <f>VLOOKUP(C528,'[1]1.CUADRO RESUMEN DE SITIOS '!$C$5:$L$1052,10,FALSE())</f>
        <v>Terminado</v>
      </c>
      <c r="M528" s="26">
        <v>8828119492</v>
      </c>
      <c r="N528" s="26">
        <f>VLOOKUP(M528,[1]LPU!$A$2:$G$1512,2,FALSE())</f>
        <v>53</v>
      </c>
      <c r="O528" s="26" t="str">
        <f>VLOOKUP(M528,[1]LPU!$A$2:$G$1512,3,FALSE)</f>
        <v>Instalación Banco de Baterias para Rectificadores - Aplica para ampliaciones.</v>
      </c>
      <c r="P528" s="26" t="str">
        <f>VLOOKUP(M528,[1]LPU!$A$2:$G$1512,4,FALSE())</f>
        <v>ENERGÍA</v>
      </c>
      <c r="Q528" s="26" t="str">
        <f>VLOOKUP(M528,[1]LPU!$A$2:$G$1512,5,FALSE())</f>
        <v>U</v>
      </c>
      <c r="R528" s="27">
        <f>VLOOKUP(M528,[1]LPU!$A$2:$G$1512,6,FALSE())</f>
        <v>102340</v>
      </c>
      <c r="S528" s="27" t="str">
        <f>VLOOKUP(M528,[1]LPU!$A$2:$G$1512,7,FALSE())</f>
        <v>LPU FLM</v>
      </c>
      <c r="T528" s="28">
        <v>1</v>
      </c>
      <c r="U528" s="29">
        <f t="shared" si="7"/>
        <v>102340</v>
      </c>
      <c r="V528" s="29" t="s">
        <v>77</v>
      </c>
      <c r="W528" s="30"/>
      <c r="X528" s="29" t="s">
        <v>254</v>
      </c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ht="21" customHeight="1" x14ac:dyDescent="0.3">
      <c r="A529" s="22">
        <v>525</v>
      </c>
      <c r="B529" s="23">
        <v>1</v>
      </c>
      <c r="C529" s="23" t="s">
        <v>263</v>
      </c>
      <c r="D529" s="23" t="str">
        <f>VLOOKUP(C529,'[1]1.CUADRO RESUMEN DE SITIOS '!$C$5:$L$1052,2,FALSE())</f>
        <v>NAR_02978</v>
      </c>
      <c r="E529" s="24">
        <f>VLOOKUP(C529,'[1]1.CUADRO RESUMEN DE SITIOS '!$C$5:$L$1052,3,FALSE())</f>
        <v>45940</v>
      </c>
      <c r="F529" s="23">
        <f>VLOOKUP(C529,'[1]1.CUADRO RESUMEN DE SITIOS '!$C$5:$L$1052,4,FALSE())</f>
        <v>1.8080000000000001</v>
      </c>
      <c r="G529" s="23">
        <f>VLOOKUP(C529,'[1]1.CUADRO RESUMEN DE SITIOS '!$C$5:$L$1052,5,FALSE())</f>
        <v>-78.7714</v>
      </c>
      <c r="H529" s="23" t="str">
        <f>VLOOKUP(C529,'[1]1.CUADRO RESUMEN DE SITIOS '!$C$5:$L$1052,6,FALSE())</f>
        <v>Nariño</v>
      </c>
      <c r="I529" s="23" t="str">
        <f>VLOOKUP(C529,'[1]1.CUADRO RESUMEN DE SITIOS '!$C$5:$L$1052,7,FALSE())</f>
        <v>WOM</v>
      </c>
      <c r="J529" s="25" t="str">
        <f>VLOOKUP(C529,'[1]1.CUADRO RESUMEN DE SITIOS '!$C$5:$L$1052,8,FALSE())</f>
        <v>SUROCCIDENTE</v>
      </c>
      <c r="K529" s="23" t="str">
        <f>VLOOKUP(C529,'[1]1.CUADRO RESUMEN DE SITIOS '!$C$5:$L$1052,9,FALSE())</f>
        <v>Wilson Alejandro Solarte</v>
      </c>
      <c r="L529" s="26" t="str">
        <f>VLOOKUP(C529,'[1]1.CUADRO RESUMEN DE SITIOS '!$C$5:$L$1052,10,FALSE())</f>
        <v>Terminado</v>
      </c>
      <c r="M529" s="26">
        <v>8828119512</v>
      </c>
      <c r="N529" s="26">
        <f>VLOOKUP(M529,[1]LPU!$A$2:$G$1512,2,FALSE())</f>
        <v>55</v>
      </c>
      <c r="O529" s="26" t="str">
        <f>VLOOKUP(M529,[1]LPU!$A$2:$G$1512,3,FALSE)</f>
        <v>Transporte Banco de Baterias</v>
      </c>
      <c r="P529" s="26" t="str">
        <f>VLOOKUP(M529,[1]LPU!$A$2:$G$1512,4,FALSE())</f>
        <v>ENERGÍA</v>
      </c>
      <c r="Q529" s="26" t="str">
        <f>VLOOKUP(M529,[1]LPU!$A$2:$G$1512,5,FALSE())</f>
        <v>U</v>
      </c>
      <c r="R529" s="27">
        <f>VLOOKUP(M529,[1]LPU!$A$2:$G$1512,6,FALSE())</f>
        <v>82212</v>
      </c>
      <c r="S529" s="27" t="str">
        <f>VLOOKUP(M529,[1]LPU!$A$2:$G$1512,7,FALSE())</f>
        <v>LPU FLM</v>
      </c>
      <c r="T529" s="28">
        <v>1</v>
      </c>
      <c r="U529" s="29">
        <f t="shared" si="7"/>
        <v>82212</v>
      </c>
      <c r="V529" s="29" t="s">
        <v>77</v>
      </c>
      <c r="W529" s="30"/>
      <c r="X529" s="29" t="s">
        <v>254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ht="21" customHeight="1" x14ac:dyDescent="0.3">
      <c r="A530" s="22">
        <v>526</v>
      </c>
      <c r="B530" s="23">
        <v>1</v>
      </c>
      <c r="C530" s="23" t="s">
        <v>263</v>
      </c>
      <c r="D530" s="23" t="str">
        <f>VLOOKUP(C530,'[1]1.CUADRO RESUMEN DE SITIOS '!$C$5:$L$1052,2,FALSE())</f>
        <v>NAR_02978</v>
      </c>
      <c r="E530" s="24">
        <f>VLOOKUP(C530,'[1]1.CUADRO RESUMEN DE SITIOS '!$C$5:$L$1052,3,FALSE())</f>
        <v>45940</v>
      </c>
      <c r="F530" s="23">
        <f>VLOOKUP(C530,'[1]1.CUADRO RESUMEN DE SITIOS '!$C$5:$L$1052,4,FALSE())</f>
        <v>1.8080000000000001</v>
      </c>
      <c r="G530" s="23">
        <f>VLOOKUP(C530,'[1]1.CUADRO RESUMEN DE SITIOS '!$C$5:$L$1052,5,FALSE())</f>
        <v>-78.7714</v>
      </c>
      <c r="H530" s="23" t="str">
        <f>VLOOKUP(C530,'[1]1.CUADRO RESUMEN DE SITIOS '!$C$5:$L$1052,6,FALSE())</f>
        <v>Nariño</v>
      </c>
      <c r="I530" s="23" t="str">
        <f>VLOOKUP(C530,'[1]1.CUADRO RESUMEN DE SITIOS '!$C$5:$L$1052,7,FALSE())</f>
        <v>WOM</v>
      </c>
      <c r="J530" s="25" t="str">
        <f>VLOOKUP(C530,'[1]1.CUADRO RESUMEN DE SITIOS '!$C$5:$L$1052,8,FALSE())</f>
        <v>SUROCCIDENTE</v>
      </c>
      <c r="K530" s="23" t="str">
        <f>VLOOKUP(C530,'[1]1.CUADRO RESUMEN DE SITIOS '!$C$5:$L$1052,9,FALSE())</f>
        <v>Wilson Alejandro Solarte</v>
      </c>
      <c r="L530" s="26" t="str">
        <f>VLOOKUP(C530,'[1]1.CUADRO RESUMEN DE SITIOS '!$C$5:$L$1052,10,FALSE())</f>
        <v>Terminado</v>
      </c>
      <c r="M530" s="26">
        <v>8828118999</v>
      </c>
      <c r="N530" s="26">
        <f>VLOOKUP(M530,[1]LPU!$A$2:$G$1512,2,FALSE())</f>
        <v>0</v>
      </c>
      <c r="O530" s="26" t="str">
        <f>VLOOKUP(M530,[1]LPU!$A$2:$G$1512,3,FALSE)</f>
        <v>Suministro e instalación de cable UTP Categoría 6, con conectores en sus extremos, certificado</v>
      </c>
      <c r="P530" s="26" t="str">
        <f>VLOOKUP(M530,[1]LPU!$A$2:$G$1512,4,FALSE())</f>
        <v>Item Critico</v>
      </c>
      <c r="Q530" s="26" t="str">
        <f>VLOOKUP(M530,[1]LPU!$A$2:$G$1512,5,FALSE())</f>
        <v>m</v>
      </c>
      <c r="R530" s="27">
        <f>VLOOKUP(M530,[1]LPU!$A$2:$G$1512,6,FALSE())</f>
        <v>5913</v>
      </c>
      <c r="S530" s="27" t="str">
        <f>VLOOKUP(M530,[1]LPU!$A$2:$G$1512,7,FALSE())</f>
        <v>LPU FO Propia</v>
      </c>
      <c r="T530" s="28">
        <v>3</v>
      </c>
      <c r="U530" s="29">
        <f t="shared" si="7"/>
        <v>17739</v>
      </c>
      <c r="V530" s="29" t="s">
        <v>77</v>
      </c>
      <c r="W530" s="30"/>
      <c r="X530" s="29" t="s">
        <v>254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ht="21" customHeight="1" x14ac:dyDescent="0.3">
      <c r="A531" s="22">
        <v>527</v>
      </c>
      <c r="B531" s="23">
        <v>1</v>
      </c>
      <c r="C531" s="23" t="s">
        <v>263</v>
      </c>
      <c r="D531" s="23" t="str">
        <f>VLOOKUP(C531,'[1]1.CUADRO RESUMEN DE SITIOS '!$C$5:$L$1052,2,FALSE())</f>
        <v>NAR_02978</v>
      </c>
      <c r="E531" s="24">
        <f>VLOOKUP(C531,'[1]1.CUADRO RESUMEN DE SITIOS '!$C$5:$L$1052,3,FALSE())</f>
        <v>45940</v>
      </c>
      <c r="F531" s="23">
        <f>VLOOKUP(C531,'[1]1.CUADRO RESUMEN DE SITIOS '!$C$5:$L$1052,4,FALSE())</f>
        <v>1.8080000000000001</v>
      </c>
      <c r="G531" s="23">
        <f>VLOOKUP(C531,'[1]1.CUADRO RESUMEN DE SITIOS '!$C$5:$L$1052,5,FALSE())</f>
        <v>-78.7714</v>
      </c>
      <c r="H531" s="23" t="str">
        <f>VLOOKUP(C531,'[1]1.CUADRO RESUMEN DE SITIOS '!$C$5:$L$1052,6,FALSE())</f>
        <v>Nariño</v>
      </c>
      <c r="I531" s="23" t="str">
        <f>VLOOKUP(C531,'[1]1.CUADRO RESUMEN DE SITIOS '!$C$5:$L$1052,7,FALSE())</f>
        <v>WOM</v>
      </c>
      <c r="J531" s="25" t="str">
        <f>VLOOKUP(C531,'[1]1.CUADRO RESUMEN DE SITIOS '!$C$5:$L$1052,8,FALSE())</f>
        <v>SUROCCIDENTE</v>
      </c>
      <c r="K531" s="23" t="str">
        <f>VLOOKUP(C531,'[1]1.CUADRO RESUMEN DE SITIOS '!$C$5:$L$1052,9,FALSE())</f>
        <v>Wilson Alejandro Solarte</v>
      </c>
      <c r="L531" s="26" t="str">
        <f>VLOOKUP(C531,'[1]1.CUADRO RESUMEN DE SITIOS '!$C$5:$L$1052,10,FALSE())</f>
        <v>Terminado</v>
      </c>
      <c r="M531" s="26">
        <v>8828118925</v>
      </c>
      <c r="N531" s="26">
        <f>VLOOKUP(M531,[1]LPU!$A$2:$G$1512,2,FALSE())</f>
        <v>87</v>
      </c>
      <c r="O531" s="26" t="str">
        <f>VLOOKUP(M531,[1]LPU!$A$2:$G$1512,3,FALSE)</f>
        <v>Suministro e Instalacion de cable multifilar #4 awg tipo soldador.</v>
      </c>
      <c r="P531" s="26" t="str">
        <f>VLOOKUP(M531,[1]LPU!$A$2:$G$1512,4,FALSE())</f>
        <v>ENERGÍA</v>
      </c>
      <c r="Q531" s="26" t="str">
        <f>VLOOKUP(M531,[1]LPU!$A$2:$G$1512,5,FALSE())</f>
        <v>ML</v>
      </c>
      <c r="R531" s="27">
        <f>VLOOKUP(M531,[1]LPU!$A$2:$G$1512,6,FALSE())</f>
        <v>60815.8</v>
      </c>
      <c r="S531" s="27" t="str">
        <f>VLOOKUP(M531,[1]LPU!$A$2:$G$1512,7,FALSE())</f>
        <v>LPU FLM</v>
      </c>
      <c r="T531" s="28">
        <v>6</v>
      </c>
      <c r="U531" s="29">
        <f t="shared" si="7"/>
        <v>364894.80000000005</v>
      </c>
      <c r="V531" s="29" t="s">
        <v>77</v>
      </c>
      <c r="W531" s="30"/>
      <c r="X531" s="29" t="s">
        <v>254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ht="21" customHeight="1" x14ac:dyDescent="0.3">
      <c r="A532" s="22">
        <v>528</v>
      </c>
      <c r="B532" s="23">
        <v>1</v>
      </c>
      <c r="C532" s="23" t="s">
        <v>263</v>
      </c>
      <c r="D532" s="23" t="str">
        <f>VLOOKUP(C532,'[1]1.CUADRO RESUMEN DE SITIOS '!$C$5:$L$1052,2,FALSE())</f>
        <v>NAR_02978</v>
      </c>
      <c r="E532" s="24">
        <f>VLOOKUP(C532,'[1]1.CUADRO RESUMEN DE SITIOS '!$C$5:$L$1052,3,FALSE())</f>
        <v>45940</v>
      </c>
      <c r="F532" s="23">
        <f>VLOOKUP(C532,'[1]1.CUADRO RESUMEN DE SITIOS '!$C$5:$L$1052,4,FALSE())</f>
        <v>1.8080000000000001</v>
      </c>
      <c r="G532" s="23">
        <f>VLOOKUP(C532,'[1]1.CUADRO RESUMEN DE SITIOS '!$C$5:$L$1052,5,FALSE())</f>
        <v>-78.7714</v>
      </c>
      <c r="H532" s="23" t="str">
        <f>VLOOKUP(C532,'[1]1.CUADRO RESUMEN DE SITIOS '!$C$5:$L$1052,6,FALSE())</f>
        <v>Nariño</v>
      </c>
      <c r="I532" s="23" t="str">
        <f>VLOOKUP(C532,'[1]1.CUADRO RESUMEN DE SITIOS '!$C$5:$L$1052,7,FALSE())</f>
        <v>WOM</v>
      </c>
      <c r="J532" s="25" t="str">
        <f>VLOOKUP(C532,'[1]1.CUADRO RESUMEN DE SITIOS '!$C$5:$L$1052,8,FALSE())</f>
        <v>SUROCCIDENTE</v>
      </c>
      <c r="K532" s="23" t="str">
        <f>VLOOKUP(C532,'[1]1.CUADRO RESUMEN DE SITIOS '!$C$5:$L$1052,9,FALSE())</f>
        <v>Wilson Alejandro Solarte</v>
      </c>
      <c r="L532" s="26" t="str">
        <f>VLOOKUP(C532,'[1]1.CUADRO RESUMEN DE SITIOS '!$C$5:$L$1052,10,FALSE())</f>
        <v>Terminado</v>
      </c>
      <c r="M532" s="26">
        <v>8828118868</v>
      </c>
      <c r="N532" s="26">
        <f>VLOOKUP(M532,[1]LPU!$A$2:$G$1512,2,FALSE())</f>
        <v>81</v>
      </c>
      <c r="O532" s="26" t="str">
        <f>VLOOKUP(M532,[1]LPU!$A$2:$G$1512,3,FALSE)</f>
        <v>Suministro e Instalacion de terminal para cable awg # 2 en cobre estañado un ojo</v>
      </c>
      <c r="P532" s="26" t="str">
        <f>VLOOKUP(M532,[1]LPU!$A$2:$G$1512,4,FALSE())</f>
        <v>ENERGÍA</v>
      </c>
      <c r="Q532" s="26" t="str">
        <f>VLOOKUP(M532,[1]LPU!$A$2:$G$1512,5,FALSE())</f>
        <v>U</v>
      </c>
      <c r="R532" s="27">
        <f>VLOOKUP(M532,[1]LPU!$A$2:$G$1512,6,FALSE())</f>
        <v>2347</v>
      </c>
      <c r="S532" s="27" t="str">
        <f>VLOOKUP(M532,[1]LPU!$A$2:$G$1512,7,FALSE())</f>
        <v>LPU FLM</v>
      </c>
      <c r="T532" s="28">
        <v>4</v>
      </c>
      <c r="U532" s="29">
        <f t="shared" si="7"/>
        <v>9388</v>
      </c>
      <c r="V532" s="29" t="s">
        <v>77</v>
      </c>
      <c r="W532" s="30"/>
      <c r="X532" s="29" t="s">
        <v>254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ht="21" customHeight="1" x14ac:dyDescent="0.3">
      <c r="A533" s="22">
        <v>529</v>
      </c>
      <c r="B533" s="23">
        <v>1</v>
      </c>
      <c r="C533" s="23" t="s">
        <v>263</v>
      </c>
      <c r="D533" s="23" t="str">
        <f>VLOOKUP(C533,'[1]1.CUADRO RESUMEN DE SITIOS '!$C$5:$L$1052,2,FALSE())</f>
        <v>NAR_02978</v>
      </c>
      <c r="E533" s="24">
        <f>VLOOKUP(C533,'[1]1.CUADRO RESUMEN DE SITIOS '!$C$5:$L$1052,3,FALSE())</f>
        <v>45940</v>
      </c>
      <c r="F533" s="23">
        <f>VLOOKUP(C533,'[1]1.CUADRO RESUMEN DE SITIOS '!$C$5:$L$1052,4,FALSE())</f>
        <v>1.8080000000000001</v>
      </c>
      <c r="G533" s="23">
        <f>VLOOKUP(C533,'[1]1.CUADRO RESUMEN DE SITIOS '!$C$5:$L$1052,5,FALSE())</f>
        <v>-78.7714</v>
      </c>
      <c r="H533" s="23" t="str">
        <f>VLOOKUP(C533,'[1]1.CUADRO RESUMEN DE SITIOS '!$C$5:$L$1052,6,FALSE())</f>
        <v>Nariño</v>
      </c>
      <c r="I533" s="23" t="str">
        <f>VLOOKUP(C533,'[1]1.CUADRO RESUMEN DE SITIOS '!$C$5:$L$1052,7,FALSE())</f>
        <v>WOM</v>
      </c>
      <c r="J533" s="25" t="str">
        <f>VLOOKUP(C533,'[1]1.CUADRO RESUMEN DE SITIOS '!$C$5:$L$1052,8,FALSE())</f>
        <v>SUROCCIDENTE</v>
      </c>
      <c r="K533" s="23" t="str">
        <f>VLOOKUP(C533,'[1]1.CUADRO RESUMEN DE SITIOS '!$C$5:$L$1052,9,FALSE())</f>
        <v>Wilson Alejandro Solarte</v>
      </c>
      <c r="L533" s="26" t="str">
        <f>VLOOKUP(C533,'[1]1.CUADRO RESUMEN DE SITIOS '!$C$5:$L$1052,10,FALSE())</f>
        <v>Terminado</v>
      </c>
      <c r="M533" s="26">
        <v>8828119980</v>
      </c>
      <c r="N533" s="26">
        <f>VLOOKUP(M533,[1]LPU!$A$2:$G$1512,2,FALSE())</f>
        <v>169</v>
      </c>
      <c r="O533" s="26" t="str">
        <f>VLOOKUP(M533,[1]LPU!$A$2:$G$1512,3,FALSE)</f>
        <v>Reforzamiento Protección Concreto para Rack de Baterías Incluye Materiales</v>
      </c>
      <c r="P533" s="26" t="str">
        <f>VLOOKUP(M533,[1]LPU!$A$2:$G$1512,4,FALSE())</f>
        <v>LOCATIVO</v>
      </c>
      <c r="Q533" s="26" t="str">
        <f>VLOOKUP(M533,[1]LPU!$A$2:$G$1512,5,FALSE())</f>
        <v>U</v>
      </c>
      <c r="R533" s="27">
        <f>VLOOKUP(M533,[1]LPU!$A$2:$G$1512,6,FALSE())</f>
        <v>114750</v>
      </c>
      <c r="S533" s="27" t="str">
        <f>VLOOKUP(M533,[1]LPU!$A$2:$G$1512,7,FALSE())</f>
        <v>LPU FLM</v>
      </c>
      <c r="T533" s="28">
        <v>1</v>
      </c>
      <c r="U533" s="29">
        <f t="shared" si="7"/>
        <v>114750</v>
      </c>
      <c r="V533" s="29" t="s">
        <v>77</v>
      </c>
      <c r="W533" s="30"/>
      <c r="X533" s="29" t="s">
        <v>254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ht="21" customHeight="1" x14ac:dyDescent="0.3">
      <c r="A534" s="22">
        <v>530</v>
      </c>
      <c r="B534" s="23">
        <v>1</v>
      </c>
      <c r="C534" s="23" t="s">
        <v>263</v>
      </c>
      <c r="D534" s="23" t="str">
        <f>VLOOKUP(C534,'[1]1.CUADRO RESUMEN DE SITIOS '!$C$5:$L$1052,2,FALSE())</f>
        <v>NAR_02978</v>
      </c>
      <c r="E534" s="24">
        <f>VLOOKUP(C534,'[1]1.CUADRO RESUMEN DE SITIOS '!$C$5:$L$1052,3,FALSE())</f>
        <v>45940</v>
      </c>
      <c r="F534" s="23">
        <f>VLOOKUP(C534,'[1]1.CUADRO RESUMEN DE SITIOS '!$C$5:$L$1052,4,FALSE())</f>
        <v>1.8080000000000001</v>
      </c>
      <c r="G534" s="23">
        <f>VLOOKUP(C534,'[1]1.CUADRO RESUMEN DE SITIOS '!$C$5:$L$1052,5,FALSE())</f>
        <v>-78.7714</v>
      </c>
      <c r="H534" s="23" t="str">
        <f>VLOOKUP(C534,'[1]1.CUADRO RESUMEN DE SITIOS '!$C$5:$L$1052,6,FALSE())</f>
        <v>Nariño</v>
      </c>
      <c r="I534" s="23" t="str">
        <f>VLOOKUP(C534,'[1]1.CUADRO RESUMEN DE SITIOS '!$C$5:$L$1052,7,FALSE())</f>
        <v>WOM</v>
      </c>
      <c r="J534" s="25" t="str">
        <f>VLOOKUP(C534,'[1]1.CUADRO RESUMEN DE SITIOS '!$C$5:$L$1052,8,FALSE())</f>
        <v>SUROCCIDENTE</v>
      </c>
      <c r="K534" s="23" t="str">
        <f>VLOOKUP(C534,'[1]1.CUADRO RESUMEN DE SITIOS '!$C$5:$L$1052,9,FALSE())</f>
        <v>Wilson Alejandro Solarte</v>
      </c>
      <c r="L534" s="26" t="str">
        <f>VLOOKUP(C534,'[1]1.CUADRO RESUMEN DE SITIOS '!$C$5:$L$1052,10,FALSE())</f>
        <v>Terminado</v>
      </c>
      <c r="M534" s="26">
        <v>8828119867</v>
      </c>
      <c r="N534" s="26">
        <f>VLOOKUP(M534,[1]LPU!$A$2:$G$1512,2,FALSE())</f>
        <v>158</v>
      </c>
      <c r="O534" s="26" t="str">
        <f>VLOOKUP(M534,[1]LPU!$A$2:$G$1512,3,FALSE)</f>
        <v>Reja para equipo cabinet x 4 baterías</v>
      </c>
      <c r="P534" s="26" t="str">
        <f>VLOOKUP(M534,[1]LPU!$A$2:$G$1512,4,FALSE())</f>
        <v>LOCATIVO</v>
      </c>
      <c r="Q534" s="26" t="str">
        <f>VLOOKUP(M534,[1]LPU!$A$2:$G$1512,5,FALSE())</f>
        <v>U</v>
      </c>
      <c r="R534" s="27">
        <f>VLOOKUP(M534,[1]LPU!$A$2:$G$1512,6,FALSE())</f>
        <v>489135</v>
      </c>
      <c r="S534" s="27" t="str">
        <f>VLOOKUP(M534,[1]LPU!$A$2:$G$1512,7,FALSE())</f>
        <v>LPU FLM</v>
      </c>
      <c r="T534" s="28">
        <v>1</v>
      </c>
      <c r="U534" s="29">
        <f t="shared" si="7"/>
        <v>489135</v>
      </c>
      <c r="V534" s="29" t="s">
        <v>77</v>
      </c>
      <c r="W534" s="30"/>
      <c r="X534" s="29" t="s">
        <v>254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ht="21" customHeight="1" x14ac:dyDescent="0.3">
      <c r="A535" s="22">
        <v>531</v>
      </c>
      <c r="B535" s="23">
        <v>1</v>
      </c>
      <c r="C535" s="23" t="s">
        <v>263</v>
      </c>
      <c r="D535" s="23" t="str">
        <f>VLOOKUP(C535,'[1]1.CUADRO RESUMEN DE SITIOS '!$C$5:$L$1052,2,FALSE())</f>
        <v>NAR_02978</v>
      </c>
      <c r="E535" s="24">
        <f>VLOOKUP(C535,'[1]1.CUADRO RESUMEN DE SITIOS '!$C$5:$L$1052,3,FALSE())</f>
        <v>45940</v>
      </c>
      <c r="F535" s="23">
        <f>VLOOKUP(C535,'[1]1.CUADRO RESUMEN DE SITIOS '!$C$5:$L$1052,4,FALSE())</f>
        <v>1.8080000000000001</v>
      </c>
      <c r="G535" s="23">
        <f>VLOOKUP(C535,'[1]1.CUADRO RESUMEN DE SITIOS '!$C$5:$L$1052,5,FALSE())</f>
        <v>-78.7714</v>
      </c>
      <c r="H535" s="23" t="str">
        <f>VLOOKUP(C535,'[1]1.CUADRO RESUMEN DE SITIOS '!$C$5:$L$1052,6,FALSE())</f>
        <v>Nariño</v>
      </c>
      <c r="I535" s="23" t="str">
        <f>VLOOKUP(C535,'[1]1.CUADRO RESUMEN DE SITIOS '!$C$5:$L$1052,7,FALSE())</f>
        <v>WOM</v>
      </c>
      <c r="J535" s="25" t="str">
        <f>VLOOKUP(C535,'[1]1.CUADRO RESUMEN DE SITIOS '!$C$5:$L$1052,8,FALSE())</f>
        <v>SUROCCIDENTE</v>
      </c>
      <c r="K535" s="23" t="str">
        <f>VLOOKUP(C535,'[1]1.CUADRO RESUMEN DE SITIOS '!$C$5:$L$1052,9,FALSE())</f>
        <v>Wilson Alejandro Solarte</v>
      </c>
      <c r="L535" s="26" t="str">
        <f>VLOOKUP(C535,'[1]1.CUADRO RESUMEN DE SITIOS '!$C$5:$L$1052,10,FALSE())</f>
        <v>Terminado</v>
      </c>
      <c r="M535" s="26">
        <v>8828119045</v>
      </c>
      <c r="N535" s="26">
        <f>VLOOKUP(M535,[1]LPU!$A$2:$G$1512,2,FALSE())</f>
        <v>5.29</v>
      </c>
      <c r="O535" s="26" t="str">
        <f>VLOOKUP(M535,[1]LPU!$A$2:$G$1512,3,FALSE)</f>
        <v>Suministro e instalación de estructura metálica en acero galvanizado para refuerzo, soportes, bases y adecuaciones en general.</v>
      </c>
      <c r="P535" s="26" t="str">
        <f>VLOOKUP(M535,[1]LPU!$A$2:$G$1512,4,FALSE())</f>
        <v>Mantenimiento CW</v>
      </c>
      <c r="Q535" s="26" t="str">
        <f>VLOOKUP(M535,[1]LPU!$A$2:$G$1512,5,FALSE())</f>
        <v>Kg</v>
      </c>
      <c r="R535" s="27">
        <f>VLOOKUP(M535,[1]LPU!$A$2:$G$1512,6,FALSE())</f>
        <v>12911.5</v>
      </c>
      <c r="S535" s="27" t="str">
        <f>VLOOKUP(M535,[1]LPU!$A$2:$G$1512,7,FALSE())</f>
        <v>Mantenimiento CW</v>
      </c>
      <c r="T535" s="28">
        <v>30</v>
      </c>
      <c r="U535" s="29">
        <f t="shared" si="7"/>
        <v>387345</v>
      </c>
      <c r="V535" s="29" t="s">
        <v>77</v>
      </c>
      <c r="W535" s="30"/>
      <c r="X535" s="29" t="s">
        <v>254</v>
      </c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ht="21" customHeight="1" x14ac:dyDescent="0.3">
      <c r="A536" s="22">
        <v>532</v>
      </c>
      <c r="B536" s="23">
        <v>1</v>
      </c>
      <c r="C536" s="23" t="s">
        <v>263</v>
      </c>
      <c r="D536" s="23" t="str">
        <f>VLOOKUP(C536,'[1]1.CUADRO RESUMEN DE SITIOS '!$C$5:$L$1052,2,FALSE())</f>
        <v>NAR_02978</v>
      </c>
      <c r="E536" s="24">
        <f>VLOOKUP(C536,'[1]1.CUADRO RESUMEN DE SITIOS '!$C$5:$L$1052,3,FALSE())</f>
        <v>45940</v>
      </c>
      <c r="F536" s="23">
        <f>VLOOKUP(C536,'[1]1.CUADRO RESUMEN DE SITIOS '!$C$5:$L$1052,4,FALSE())</f>
        <v>1.8080000000000001</v>
      </c>
      <c r="G536" s="23">
        <f>VLOOKUP(C536,'[1]1.CUADRO RESUMEN DE SITIOS '!$C$5:$L$1052,5,FALSE())</f>
        <v>-78.7714</v>
      </c>
      <c r="H536" s="23" t="str">
        <f>VLOOKUP(C536,'[1]1.CUADRO RESUMEN DE SITIOS '!$C$5:$L$1052,6,FALSE())</f>
        <v>Nariño</v>
      </c>
      <c r="I536" s="23" t="str">
        <f>VLOOKUP(C536,'[1]1.CUADRO RESUMEN DE SITIOS '!$C$5:$L$1052,7,FALSE())</f>
        <v>WOM</v>
      </c>
      <c r="J536" s="25" t="str">
        <f>VLOOKUP(C536,'[1]1.CUADRO RESUMEN DE SITIOS '!$C$5:$L$1052,8,FALSE())</f>
        <v>SUROCCIDENTE</v>
      </c>
      <c r="K536" s="23" t="str">
        <f>VLOOKUP(C536,'[1]1.CUADRO RESUMEN DE SITIOS '!$C$5:$L$1052,9,FALSE())</f>
        <v>Wilson Alejandro Solarte</v>
      </c>
      <c r="L536" s="26" t="str">
        <f>VLOOKUP(C536,'[1]1.CUADRO RESUMEN DE SITIOS '!$C$5:$L$1052,10,FALSE())</f>
        <v>Terminado</v>
      </c>
      <c r="M536" s="26">
        <v>8828119599</v>
      </c>
      <c r="N536" s="26">
        <f>VLOOKUP(M536,[1]LPU!$A$2:$G$1512,2,FALSE())</f>
        <v>197</v>
      </c>
      <c r="O536" s="26" t="str">
        <f>VLOOKUP(M536,[1]LPU!$A$2:$G$1512,3,FALSE)</f>
        <v>Transporte de Equipos y Materiales, Carga y Descarga, desde y hacía Bodega Regional. Mas de 1 Tonelada. ZONA 2 (Resolución 5078 de 2016)</v>
      </c>
      <c r="P536" s="26" t="str">
        <f>VLOOKUP(M536,[1]LPU!$A$2:$G$1512,4,FALSE())</f>
        <v>LOCATIVO</v>
      </c>
      <c r="Q536" s="26" t="str">
        <f>VLOOKUP(M536,[1]LPU!$A$2:$G$1512,5,FALSE())</f>
        <v>U</v>
      </c>
      <c r="R536" s="27">
        <f>VLOOKUP(M536,[1]LPU!$A$2:$G$1512,6,FALSE())</f>
        <v>680680</v>
      </c>
      <c r="S536" s="27" t="str">
        <f>VLOOKUP(M536,[1]LPU!$A$2:$G$1512,7,FALSE())</f>
        <v>LPU FLM</v>
      </c>
      <c r="T536" s="28">
        <v>1</v>
      </c>
      <c r="U536" s="29">
        <f t="shared" si="7"/>
        <v>680680</v>
      </c>
      <c r="V536" s="29" t="s">
        <v>77</v>
      </c>
      <c r="W536" s="30"/>
      <c r="X536" s="29" t="s">
        <v>254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ht="21" customHeight="1" x14ac:dyDescent="0.3">
      <c r="A537" s="22">
        <v>533</v>
      </c>
      <c r="B537" s="23">
        <v>1</v>
      </c>
      <c r="C537" s="23" t="s">
        <v>263</v>
      </c>
      <c r="D537" s="23" t="str">
        <f>VLOOKUP(C537,'[1]1.CUADRO RESUMEN DE SITIOS '!$C$5:$L$1052,2,FALSE())</f>
        <v>NAR_02978</v>
      </c>
      <c r="E537" s="24">
        <f>VLOOKUP(C537,'[1]1.CUADRO RESUMEN DE SITIOS '!$C$5:$L$1052,3,FALSE())</f>
        <v>45940</v>
      </c>
      <c r="F537" s="23">
        <f>VLOOKUP(C537,'[1]1.CUADRO RESUMEN DE SITIOS '!$C$5:$L$1052,4,FALSE())</f>
        <v>1.8080000000000001</v>
      </c>
      <c r="G537" s="23">
        <f>VLOOKUP(C537,'[1]1.CUADRO RESUMEN DE SITIOS '!$C$5:$L$1052,5,FALSE())</f>
        <v>-78.7714</v>
      </c>
      <c r="H537" s="23" t="str">
        <f>VLOOKUP(C537,'[1]1.CUADRO RESUMEN DE SITIOS '!$C$5:$L$1052,6,FALSE())</f>
        <v>Nariño</v>
      </c>
      <c r="I537" s="23" t="str">
        <f>VLOOKUP(C537,'[1]1.CUADRO RESUMEN DE SITIOS '!$C$5:$L$1052,7,FALSE())</f>
        <v>WOM</v>
      </c>
      <c r="J537" s="25" t="str">
        <f>VLOOKUP(C537,'[1]1.CUADRO RESUMEN DE SITIOS '!$C$5:$L$1052,8,FALSE())</f>
        <v>SUROCCIDENTE</v>
      </c>
      <c r="K537" s="23" t="str">
        <f>VLOOKUP(C537,'[1]1.CUADRO RESUMEN DE SITIOS '!$C$5:$L$1052,9,FALSE())</f>
        <v>Wilson Alejandro Solarte</v>
      </c>
      <c r="L537" s="26" t="str">
        <f>VLOOKUP(C537,'[1]1.CUADRO RESUMEN DE SITIOS '!$C$5:$L$1052,10,FALSE())</f>
        <v>Terminado</v>
      </c>
      <c r="M537" s="26">
        <v>8828119110</v>
      </c>
      <c r="N537" s="26">
        <f>VLOOKUP(M537,[1]LPU!$A$2:$G$1512,2,FALSE())</f>
        <v>107</v>
      </c>
      <c r="O537" s="26" t="str">
        <f>VLOOKUP(M537,[1]LPU!$A$2:$G$1512,3,FALSE)</f>
        <v>Mano de Obra Tecnico Electricista Certficado CONTE</v>
      </c>
      <c r="P537" s="26" t="str">
        <f>VLOOKUP(M537,[1]LPU!$A$2:$G$1512,4,FALSE())</f>
        <v>ENERGÍA</v>
      </c>
      <c r="Q537" s="26" t="str">
        <f>VLOOKUP(M537,[1]LPU!$A$2:$G$1512,5,FALSE())</f>
        <v>DIA</v>
      </c>
      <c r="R537" s="27">
        <f>VLOOKUP(M537,[1]LPU!$A$2:$G$1512,6,FALSE())</f>
        <v>136000</v>
      </c>
      <c r="S537" s="27" t="str">
        <f>VLOOKUP(M537,[1]LPU!$A$2:$G$1512,7,FALSE())</f>
        <v>LPU FLM</v>
      </c>
      <c r="T537" s="28">
        <v>2</v>
      </c>
      <c r="U537" s="29">
        <f t="shared" si="7"/>
        <v>272000</v>
      </c>
      <c r="V537" s="29" t="s">
        <v>77</v>
      </c>
      <c r="W537" s="30"/>
      <c r="X537" s="29" t="s">
        <v>254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ht="21" customHeight="1" x14ac:dyDescent="0.3">
      <c r="A538" s="22">
        <v>534</v>
      </c>
      <c r="B538" s="23">
        <v>1</v>
      </c>
      <c r="C538" s="23" t="s">
        <v>264</v>
      </c>
      <c r="D538" s="23" t="str">
        <f>VLOOKUP(C538,'[1]1.CUADRO RESUMEN DE SITIOS '!$C$5:$L$1052,2,FALSE())</f>
        <v>NAR_02982</v>
      </c>
      <c r="E538" s="24">
        <f>VLOOKUP(C538,'[1]1.CUADRO RESUMEN DE SITIOS '!$C$5:$L$1052,3,FALSE())</f>
        <v>45940</v>
      </c>
      <c r="F538" s="23">
        <f>VLOOKUP(C538,'[1]1.CUADRO RESUMEN DE SITIOS '!$C$5:$L$1052,4,FALSE())</f>
        <v>1.7997799999999999</v>
      </c>
      <c r="G538" s="23">
        <f>VLOOKUP(C538,'[1]1.CUADRO RESUMEN DE SITIOS '!$C$5:$L$1052,5,FALSE())</f>
        <v>-78.783900000000003</v>
      </c>
      <c r="H538" s="23" t="str">
        <f>VLOOKUP(C538,'[1]1.CUADRO RESUMEN DE SITIOS '!$C$5:$L$1052,6,FALSE())</f>
        <v>Nariño</v>
      </c>
      <c r="I538" s="23" t="str">
        <f>VLOOKUP(C538,'[1]1.CUADRO RESUMEN DE SITIOS '!$C$5:$L$1052,7,FALSE())</f>
        <v>WOM</v>
      </c>
      <c r="J538" s="25" t="str">
        <f>VLOOKUP(C538,'[1]1.CUADRO RESUMEN DE SITIOS '!$C$5:$L$1052,8,FALSE())</f>
        <v>SUROCCIDENTE</v>
      </c>
      <c r="K538" s="23" t="str">
        <f>VLOOKUP(C538,'[1]1.CUADRO RESUMEN DE SITIOS '!$C$5:$L$1052,9,FALSE())</f>
        <v>Wilson Alejandro Solarte</v>
      </c>
      <c r="L538" s="26" t="str">
        <f>VLOOKUP(C538,'[1]1.CUADRO RESUMEN DE SITIOS '!$C$5:$L$1052,10,FALSE())</f>
        <v>Terminado</v>
      </c>
      <c r="M538" s="26">
        <v>8828119492</v>
      </c>
      <c r="N538" s="26">
        <f>VLOOKUP(M538,[1]LPU!$A$2:$G$1512,2,FALSE())</f>
        <v>53</v>
      </c>
      <c r="O538" s="26" t="str">
        <f>VLOOKUP(M538,[1]LPU!$A$2:$G$1512,3,FALSE)</f>
        <v>Instalación Banco de Baterias para Rectificadores - Aplica para ampliaciones.</v>
      </c>
      <c r="P538" s="26" t="str">
        <f>VLOOKUP(M538,[1]LPU!$A$2:$G$1512,4,FALSE())</f>
        <v>ENERGÍA</v>
      </c>
      <c r="Q538" s="26" t="str">
        <f>VLOOKUP(M538,[1]LPU!$A$2:$G$1512,5,FALSE())</f>
        <v>U</v>
      </c>
      <c r="R538" s="27">
        <f>VLOOKUP(M538,[1]LPU!$A$2:$G$1512,6,FALSE())</f>
        <v>102340</v>
      </c>
      <c r="S538" s="27" t="str">
        <f>VLOOKUP(M538,[1]LPU!$A$2:$G$1512,7,FALSE())</f>
        <v>LPU FLM</v>
      </c>
      <c r="T538" s="28">
        <v>1</v>
      </c>
      <c r="U538" s="29">
        <f t="shared" si="7"/>
        <v>102340</v>
      </c>
      <c r="V538" s="29" t="s">
        <v>77</v>
      </c>
      <c r="W538" s="30"/>
      <c r="X538" s="29" t="s">
        <v>254</v>
      </c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ht="21" customHeight="1" x14ac:dyDescent="0.3">
      <c r="A539" s="22">
        <v>535</v>
      </c>
      <c r="B539" s="23">
        <v>1</v>
      </c>
      <c r="C539" s="23" t="s">
        <v>264</v>
      </c>
      <c r="D539" s="23" t="str">
        <f>VLOOKUP(C539,'[1]1.CUADRO RESUMEN DE SITIOS '!$C$5:$L$1052,2,FALSE())</f>
        <v>NAR_02982</v>
      </c>
      <c r="E539" s="24">
        <f>VLOOKUP(C539,'[1]1.CUADRO RESUMEN DE SITIOS '!$C$5:$L$1052,3,FALSE())</f>
        <v>45940</v>
      </c>
      <c r="F539" s="23">
        <f>VLOOKUP(C539,'[1]1.CUADRO RESUMEN DE SITIOS '!$C$5:$L$1052,4,FALSE())</f>
        <v>1.7997799999999999</v>
      </c>
      <c r="G539" s="23">
        <f>VLOOKUP(C539,'[1]1.CUADRO RESUMEN DE SITIOS '!$C$5:$L$1052,5,FALSE())</f>
        <v>-78.783900000000003</v>
      </c>
      <c r="H539" s="23" t="str">
        <f>VLOOKUP(C539,'[1]1.CUADRO RESUMEN DE SITIOS '!$C$5:$L$1052,6,FALSE())</f>
        <v>Nariño</v>
      </c>
      <c r="I539" s="23" t="str">
        <f>VLOOKUP(C539,'[1]1.CUADRO RESUMEN DE SITIOS '!$C$5:$L$1052,7,FALSE())</f>
        <v>WOM</v>
      </c>
      <c r="J539" s="25" t="str">
        <f>VLOOKUP(C539,'[1]1.CUADRO RESUMEN DE SITIOS '!$C$5:$L$1052,8,FALSE())</f>
        <v>SUROCCIDENTE</v>
      </c>
      <c r="K539" s="23" t="str">
        <f>VLOOKUP(C539,'[1]1.CUADRO RESUMEN DE SITIOS '!$C$5:$L$1052,9,FALSE())</f>
        <v>Wilson Alejandro Solarte</v>
      </c>
      <c r="L539" s="26" t="str">
        <f>VLOOKUP(C539,'[1]1.CUADRO RESUMEN DE SITIOS '!$C$5:$L$1052,10,FALSE())</f>
        <v>Terminado</v>
      </c>
      <c r="M539" s="26">
        <v>8828119512</v>
      </c>
      <c r="N539" s="26">
        <f>VLOOKUP(M539,[1]LPU!$A$2:$G$1512,2,FALSE())</f>
        <v>55</v>
      </c>
      <c r="O539" s="26" t="str">
        <f>VLOOKUP(M539,[1]LPU!$A$2:$G$1512,3,FALSE)</f>
        <v>Transporte Banco de Baterias</v>
      </c>
      <c r="P539" s="26" t="str">
        <f>VLOOKUP(M539,[1]LPU!$A$2:$G$1512,4,FALSE())</f>
        <v>ENERGÍA</v>
      </c>
      <c r="Q539" s="26" t="str">
        <f>VLOOKUP(M539,[1]LPU!$A$2:$G$1512,5,FALSE())</f>
        <v>U</v>
      </c>
      <c r="R539" s="27">
        <f>VLOOKUP(M539,[1]LPU!$A$2:$G$1512,6,FALSE())</f>
        <v>82212</v>
      </c>
      <c r="S539" s="27" t="str">
        <f>VLOOKUP(M539,[1]LPU!$A$2:$G$1512,7,FALSE())</f>
        <v>LPU FLM</v>
      </c>
      <c r="T539" s="28">
        <v>1</v>
      </c>
      <c r="U539" s="29">
        <f t="shared" si="7"/>
        <v>82212</v>
      </c>
      <c r="V539" s="29" t="s">
        <v>77</v>
      </c>
      <c r="W539" s="30"/>
      <c r="X539" s="29" t="s">
        <v>254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ht="21" customHeight="1" x14ac:dyDescent="0.3">
      <c r="A540" s="22">
        <v>536</v>
      </c>
      <c r="B540" s="23">
        <v>1</v>
      </c>
      <c r="C540" s="23" t="s">
        <v>264</v>
      </c>
      <c r="D540" s="23" t="str">
        <f>VLOOKUP(C540,'[1]1.CUADRO RESUMEN DE SITIOS '!$C$5:$L$1052,2,FALSE())</f>
        <v>NAR_02982</v>
      </c>
      <c r="E540" s="24">
        <f>VLOOKUP(C540,'[1]1.CUADRO RESUMEN DE SITIOS '!$C$5:$L$1052,3,FALSE())</f>
        <v>45940</v>
      </c>
      <c r="F540" s="23">
        <f>VLOOKUP(C540,'[1]1.CUADRO RESUMEN DE SITIOS '!$C$5:$L$1052,4,FALSE())</f>
        <v>1.7997799999999999</v>
      </c>
      <c r="G540" s="23">
        <f>VLOOKUP(C540,'[1]1.CUADRO RESUMEN DE SITIOS '!$C$5:$L$1052,5,FALSE())</f>
        <v>-78.783900000000003</v>
      </c>
      <c r="H540" s="23" t="str">
        <f>VLOOKUP(C540,'[1]1.CUADRO RESUMEN DE SITIOS '!$C$5:$L$1052,6,FALSE())</f>
        <v>Nariño</v>
      </c>
      <c r="I540" s="23" t="str">
        <f>VLOOKUP(C540,'[1]1.CUADRO RESUMEN DE SITIOS '!$C$5:$L$1052,7,FALSE())</f>
        <v>WOM</v>
      </c>
      <c r="J540" s="25" t="str">
        <f>VLOOKUP(C540,'[1]1.CUADRO RESUMEN DE SITIOS '!$C$5:$L$1052,8,FALSE())</f>
        <v>SUROCCIDENTE</v>
      </c>
      <c r="K540" s="23" t="str">
        <f>VLOOKUP(C540,'[1]1.CUADRO RESUMEN DE SITIOS '!$C$5:$L$1052,9,FALSE())</f>
        <v>Wilson Alejandro Solarte</v>
      </c>
      <c r="L540" s="26" t="str">
        <f>VLOOKUP(C540,'[1]1.CUADRO RESUMEN DE SITIOS '!$C$5:$L$1052,10,FALSE())</f>
        <v>Terminado</v>
      </c>
      <c r="M540" s="26">
        <v>8828118999</v>
      </c>
      <c r="N540" s="26">
        <f>VLOOKUP(M540,[1]LPU!$A$2:$G$1512,2,FALSE())</f>
        <v>0</v>
      </c>
      <c r="O540" s="26" t="str">
        <f>VLOOKUP(M540,[1]LPU!$A$2:$G$1512,3,FALSE)</f>
        <v>Suministro e instalación de cable UTP Categoría 6, con conectores en sus extremos, certificado</v>
      </c>
      <c r="P540" s="26" t="str">
        <f>VLOOKUP(M540,[1]LPU!$A$2:$G$1512,4,FALSE())</f>
        <v>Item Critico</v>
      </c>
      <c r="Q540" s="26" t="str">
        <f>VLOOKUP(M540,[1]LPU!$A$2:$G$1512,5,FALSE())</f>
        <v>m</v>
      </c>
      <c r="R540" s="27">
        <f>VLOOKUP(M540,[1]LPU!$A$2:$G$1512,6,FALSE())</f>
        <v>5913</v>
      </c>
      <c r="S540" s="27" t="str">
        <f>VLOOKUP(M540,[1]LPU!$A$2:$G$1512,7,FALSE())</f>
        <v>LPU FO Propia</v>
      </c>
      <c r="T540" s="28">
        <v>3</v>
      </c>
      <c r="U540" s="29">
        <f t="shared" si="7"/>
        <v>17739</v>
      </c>
      <c r="V540" s="29" t="s">
        <v>77</v>
      </c>
      <c r="W540" s="30"/>
      <c r="X540" s="29" t="s">
        <v>254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ht="21" customHeight="1" x14ac:dyDescent="0.3">
      <c r="A541" s="22">
        <v>537</v>
      </c>
      <c r="B541" s="23">
        <v>1</v>
      </c>
      <c r="C541" s="23" t="s">
        <v>264</v>
      </c>
      <c r="D541" s="23" t="str">
        <f>VLOOKUP(C541,'[1]1.CUADRO RESUMEN DE SITIOS '!$C$5:$L$1052,2,FALSE())</f>
        <v>NAR_02982</v>
      </c>
      <c r="E541" s="24">
        <f>VLOOKUP(C541,'[1]1.CUADRO RESUMEN DE SITIOS '!$C$5:$L$1052,3,FALSE())</f>
        <v>45940</v>
      </c>
      <c r="F541" s="23">
        <f>VLOOKUP(C541,'[1]1.CUADRO RESUMEN DE SITIOS '!$C$5:$L$1052,4,FALSE())</f>
        <v>1.7997799999999999</v>
      </c>
      <c r="G541" s="23">
        <f>VLOOKUP(C541,'[1]1.CUADRO RESUMEN DE SITIOS '!$C$5:$L$1052,5,FALSE())</f>
        <v>-78.783900000000003</v>
      </c>
      <c r="H541" s="23" t="str">
        <f>VLOOKUP(C541,'[1]1.CUADRO RESUMEN DE SITIOS '!$C$5:$L$1052,6,FALSE())</f>
        <v>Nariño</v>
      </c>
      <c r="I541" s="23" t="str">
        <f>VLOOKUP(C541,'[1]1.CUADRO RESUMEN DE SITIOS '!$C$5:$L$1052,7,FALSE())</f>
        <v>WOM</v>
      </c>
      <c r="J541" s="25" t="str">
        <f>VLOOKUP(C541,'[1]1.CUADRO RESUMEN DE SITIOS '!$C$5:$L$1052,8,FALSE())</f>
        <v>SUROCCIDENTE</v>
      </c>
      <c r="K541" s="23" t="str">
        <f>VLOOKUP(C541,'[1]1.CUADRO RESUMEN DE SITIOS '!$C$5:$L$1052,9,FALSE())</f>
        <v>Wilson Alejandro Solarte</v>
      </c>
      <c r="L541" s="26" t="str">
        <f>VLOOKUP(C541,'[1]1.CUADRO RESUMEN DE SITIOS '!$C$5:$L$1052,10,FALSE())</f>
        <v>Terminado</v>
      </c>
      <c r="M541" s="26">
        <v>8828118925</v>
      </c>
      <c r="N541" s="26">
        <f>VLOOKUP(M541,[1]LPU!$A$2:$G$1512,2,FALSE())</f>
        <v>87</v>
      </c>
      <c r="O541" s="26" t="str">
        <f>VLOOKUP(M541,[1]LPU!$A$2:$G$1512,3,FALSE)</f>
        <v>Suministro e Instalacion de cable multifilar #4 awg tipo soldador.</v>
      </c>
      <c r="P541" s="26" t="str">
        <f>VLOOKUP(M541,[1]LPU!$A$2:$G$1512,4,FALSE())</f>
        <v>ENERGÍA</v>
      </c>
      <c r="Q541" s="26" t="str">
        <f>VLOOKUP(M541,[1]LPU!$A$2:$G$1512,5,FALSE())</f>
        <v>ML</v>
      </c>
      <c r="R541" s="27">
        <f>VLOOKUP(M541,[1]LPU!$A$2:$G$1512,6,FALSE())</f>
        <v>60815.8</v>
      </c>
      <c r="S541" s="27" t="str">
        <f>VLOOKUP(M541,[1]LPU!$A$2:$G$1512,7,FALSE())</f>
        <v>LPU FLM</v>
      </c>
      <c r="T541" s="28">
        <v>6</v>
      </c>
      <c r="U541" s="29">
        <f t="shared" si="7"/>
        <v>364894.80000000005</v>
      </c>
      <c r="V541" s="29" t="s">
        <v>77</v>
      </c>
      <c r="W541" s="30"/>
      <c r="X541" s="29" t="s">
        <v>254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ht="21" customHeight="1" x14ac:dyDescent="0.3">
      <c r="A542" s="22">
        <v>538</v>
      </c>
      <c r="B542" s="23">
        <v>1</v>
      </c>
      <c r="C542" s="23" t="s">
        <v>264</v>
      </c>
      <c r="D542" s="23" t="str">
        <f>VLOOKUP(C542,'[1]1.CUADRO RESUMEN DE SITIOS '!$C$5:$L$1052,2,FALSE())</f>
        <v>NAR_02982</v>
      </c>
      <c r="E542" s="24">
        <f>VLOOKUP(C542,'[1]1.CUADRO RESUMEN DE SITIOS '!$C$5:$L$1052,3,FALSE())</f>
        <v>45940</v>
      </c>
      <c r="F542" s="23">
        <f>VLOOKUP(C542,'[1]1.CUADRO RESUMEN DE SITIOS '!$C$5:$L$1052,4,FALSE())</f>
        <v>1.7997799999999999</v>
      </c>
      <c r="G542" s="23">
        <f>VLOOKUP(C542,'[1]1.CUADRO RESUMEN DE SITIOS '!$C$5:$L$1052,5,FALSE())</f>
        <v>-78.783900000000003</v>
      </c>
      <c r="H542" s="23" t="str">
        <f>VLOOKUP(C542,'[1]1.CUADRO RESUMEN DE SITIOS '!$C$5:$L$1052,6,FALSE())</f>
        <v>Nariño</v>
      </c>
      <c r="I542" s="23" t="str">
        <f>VLOOKUP(C542,'[1]1.CUADRO RESUMEN DE SITIOS '!$C$5:$L$1052,7,FALSE())</f>
        <v>WOM</v>
      </c>
      <c r="J542" s="25" t="str">
        <f>VLOOKUP(C542,'[1]1.CUADRO RESUMEN DE SITIOS '!$C$5:$L$1052,8,FALSE())</f>
        <v>SUROCCIDENTE</v>
      </c>
      <c r="K542" s="23" t="str">
        <f>VLOOKUP(C542,'[1]1.CUADRO RESUMEN DE SITIOS '!$C$5:$L$1052,9,FALSE())</f>
        <v>Wilson Alejandro Solarte</v>
      </c>
      <c r="L542" s="26" t="str">
        <f>VLOOKUP(C542,'[1]1.CUADRO RESUMEN DE SITIOS '!$C$5:$L$1052,10,FALSE())</f>
        <v>Terminado</v>
      </c>
      <c r="M542" s="26">
        <v>8828118868</v>
      </c>
      <c r="N542" s="26">
        <f>VLOOKUP(M542,[1]LPU!$A$2:$G$1512,2,FALSE())</f>
        <v>81</v>
      </c>
      <c r="O542" s="26" t="str">
        <f>VLOOKUP(M542,[1]LPU!$A$2:$G$1512,3,FALSE)</f>
        <v>Suministro e Instalacion de terminal para cable awg # 2 en cobre estañado un ojo</v>
      </c>
      <c r="P542" s="26" t="str">
        <f>VLOOKUP(M542,[1]LPU!$A$2:$G$1512,4,FALSE())</f>
        <v>ENERGÍA</v>
      </c>
      <c r="Q542" s="26" t="str">
        <f>VLOOKUP(M542,[1]LPU!$A$2:$G$1512,5,FALSE())</f>
        <v>U</v>
      </c>
      <c r="R542" s="27">
        <f>VLOOKUP(M542,[1]LPU!$A$2:$G$1512,6,FALSE())</f>
        <v>2347</v>
      </c>
      <c r="S542" s="27" t="str">
        <f>VLOOKUP(M542,[1]LPU!$A$2:$G$1512,7,FALSE())</f>
        <v>LPU FLM</v>
      </c>
      <c r="T542" s="28">
        <v>4</v>
      </c>
      <c r="U542" s="29">
        <f t="shared" si="7"/>
        <v>9388</v>
      </c>
      <c r="V542" s="29" t="s">
        <v>77</v>
      </c>
      <c r="W542" s="30"/>
      <c r="X542" s="29" t="s">
        <v>254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ht="21" customHeight="1" x14ac:dyDescent="0.3">
      <c r="A543" s="22">
        <v>539</v>
      </c>
      <c r="B543" s="23">
        <v>1</v>
      </c>
      <c r="C543" s="23" t="s">
        <v>264</v>
      </c>
      <c r="D543" s="23" t="str">
        <f>VLOOKUP(C543,'[1]1.CUADRO RESUMEN DE SITIOS '!$C$5:$L$1052,2,FALSE())</f>
        <v>NAR_02982</v>
      </c>
      <c r="E543" s="24">
        <f>VLOOKUP(C543,'[1]1.CUADRO RESUMEN DE SITIOS '!$C$5:$L$1052,3,FALSE())</f>
        <v>45940</v>
      </c>
      <c r="F543" s="23">
        <f>VLOOKUP(C543,'[1]1.CUADRO RESUMEN DE SITIOS '!$C$5:$L$1052,4,FALSE())</f>
        <v>1.7997799999999999</v>
      </c>
      <c r="G543" s="23">
        <f>VLOOKUP(C543,'[1]1.CUADRO RESUMEN DE SITIOS '!$C$5:$L$1052,5,FALSE())</f>
        <v>-78.783900000000003</v>
      </c>
      <c r="H543" s="23" t="str">
        <f>VLOOKUP(C543,'[1]1.CUADRO RESUMEN DE SITIOS '!$C$5:$L$1052,6,FALSE())</f>
        <v>Nariño</v>
      </c>
      <c r="I543" s="23" t="str">
        <f>VLOOKUP(C543,'[1]1.CUADRO RESUMEN DE SITIOS '!$C$5:$L$1052,7,FALSE())</f>
        <v>WOM</v>
      </c>
      <c r="J543" s="25" t="str">
        <f>VLOOKUP(C543,'[1]1.CUADRO RESUMEN DE SITIOS '!$C$5:$L$1052,8,FALSE())</f>
        <v>SUROCCIDENTE</v>
      </c>
      <c r="K543" s="23" t="str">
        <f>VLOOKUP(C543,'[1]1.CUADRO RESUMEN DE SITIOS '!$C$5:$L$1052,9,FALSE())</f>
        <v>Wilson Alejandro Solarte</v>
      </c>
      <c r="L543" s="26" t="str">
        <f>VLOOKUP(C543,'[1]1.CUADRO RESUMEN DE SITIOS '!$C$5:$L$1052,10,FALSE())</f>
        <v>Terminado</v>
      </c>
      <c r="M543" s="26">
        <v>8828119980</v>
      </c>
      <c r="N543" s="26">
        <f>VLOOKUP(M543,[1]LPU!$A$2:$G$1512,2,FALSE())</f>
        <v>169</v>
      </c>
      <c r="O543" s="26" t="str">
        <f>VLOOKUP(M543,[1]LPU!$A$2:$G$1512,3,FALSE)</f>
        <v>Reforzamiento Protección Concreto para Rack de Baterías Incluye Materiales</v>
      </c>
      <c r="P543" s="26" t="str">
        <f>VLOOKUP(M543,[1]LPU!$A$2:$G$1512,4,FALSE())</f>
        <v>LOCATIVO</v>
      </c>
      <c r="Q543" s="26" t="str">
        <f>VLOOKUP(M543,[1]LPU!$A$2:$G$1512,5,FALSE())</f>
        <v>U</v>
      </c>
      <c r="R543" s="27">
        <f>VLOOKUP(M543,[1]LPU!$A$2:$G$1512,6,FALSE())</f>
        <v>114750</v>
      </c>
      <c r="S543" s="27" t="str">
        <f>VLOOKUP(M543,[1]LPU!$A$2:$G$1512,7,FALSE())</f>
        <v>LPU FLM</v>
      </c>
      <c r="T543" s="28">
        <v>1</v>
      </c>
      <c r="U543" s="29">
        <f t="shared" si="7"/>
        <v>114750</v>
      </c>
      <c r="V543" s="29" t="s">
        <v>77</v>
      </c>
      <c r="W543" s="30"/>
      <c r="X543" s="29" t="s">
        <v>254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ht="21" customHeight="1" x14ac:dyDescent="0.3">
      <c r="A544" s="22">
        <v>540</v>
      </c>
      <c r="B544" s="23">
        <v>1</v>
      </c>
      <c r="C544" s="23" t="s">
        <v>264</v>
      </c>
      <c r="D544" s="23" t="str">
        <f>VLOOKUP(C544,'[1]1.CUADRO RESUMEN DE SITIOS '!$C$5:$L$1052,2,FALSE())</f>
        <v>NAR_02982</v>
      </c>
      <c r="E544" s="24">
        <f>VLOOKUP(C544,'[1]1.CUADRO RESUMEN DE SITIOS '!$C$5:$L$1052,3,FALSE())</f>
        <v>45940</v>
      </c>
      <c r="F544" s="23">
        <f>VLOOKUP(C544,'[1]1.CUADRO RESUMEN DE SITIOS '!$C$5:$L$1052,4,FALSE())</f>
        <v>1.7997799999999999</v>
      </c>
      <c r="G544" s="23">
        <f>VLOOKUP(C544,'[1]1.CUADRO RESUMEN DE SITIOS '!$C$5:$L$1052,5,FALSE())</f>
        <v>-78.783900000000003</v>
      </c>
      <c r="H544" s="23" t="str">
        <f>VLOOKUP(C544,'[1]1.CUADRO RESUMEN DE SITIOS '!$C$5:$L$1052,6,FALSE())</f>
        <v>Nariño</v>
      </c>
      <c r="I544" s="23" t="str">
        <f>VLOOKUP(C544,'[1]1.CUADRO RESUMEN DE SITIOS '!$C$5:$L$1052,7,FALSE())</f>
        <v>WOM</v>
      </c>
      <c r="J544" s="25" t="str">
        <f>VLOOKUP(C544,'[1]1.CUADRO RESUMEN DE SITIOS '!$C$5:$L$1052,8,FALSE())</f>
        <v>SUROCCIDENTE</v>
      </c>
      <c r="K544" s="23" t="str">
        <f>VLOOKUP(C544,'[1]1.CUADRO RESUMEN DE SITIOS '!$C$5:$L$1052,9,FALSE())</f>
        <v>Wilson Alejandro Solarte</v>
      </c>
      <c r="L544" s="26" t="str">
        <f>VLOOKUP(C544,'[1]1.CUADRO RESUMEN DE SITIOS '!$C$5:$L$1052,10,FALSE())</f>
        <v>Terminado</v>
      </c>
      <c r="M544" s="26">
        <v>8828119867</v>
      </c>
      <c r="N544" s="26">
        <f>VLOOKUP(M544,[1]LPU!$A$2:$G$1512,2,FALSE())</f>
        <v>158</v>
      </c>
      <c r="O544" s="26" t="str">
        <f>VLOOKUP(M544,[1]LPU!$A$2:$G$1512,3,FALSE)</f>
        <v>Reja para equipo cabinet x 4 baterías</v>
      </c>
      <c r="P544" s="26" t="str">
        <f>VLOOKUP(M544,[1]LPU!$A$2:$G$1512,4,FALSE())</f>
        <v>LOCATIVO</v>
      </c>
      <c r="Q544" s="26" t="str">
        <f>VLOOKUP(M544,[1]LPU!$A$2:$G$1512,5,FALSE())</f>
        <v>U</v>
      </c>
      <c r="R544" s="27">
        <f>VLOOKUP(M544,[1]LPU!$A$2:$G$1512,6,FALSE())</f>
        <v>489135</v>
      </c>
      <c r="S544" s="27" t="str">
        <f>VLOOKUP(M544,[1]LPU!$A$2:$G$1512,7,FALSE())</f>
        <v>LPU FLM</v>
      </c>
      <c r="T544" s="28">
        <v>1</v>
      </c>
      <c r="U544" s="29">
        <f t="shared" si="7"/>
        <v>489135</v>
      </c>
      <c r="V544" s="29" t="s">
        <v>77</v>
      </c>
      <c r="W544" s="30"/>
      <c r="X544" s="29" t="s">
        <v>254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ht="21" customHeight="1" x14ac:dyDescent="0.3">
      <c r="A545" s="22">
        <v>541</v>
      </c>
      <c r="B545" s="23">
        <v>1</v>
      </c>
      <c r="C545" s="23" t="s">
        <v>264</v>
      </c>
      <c r="D545" s="23" t="str">
        <f>VLOOKUP(C545,'[1]1.CUADRO RESUMEN DE SITIOS '!$C$5:$L$1052,2,FALSE())</f>
        <v>NAR_02982</v>
      </c>
      <c r="E545" s="24">
        <f>VLOOKUP(C545,'[1]1.CUADRO RESUMEN DE SITIOS '!$C$5:$L$1052,3,FALSE())</f>
        <v>45940</v>
      </c>
      <c r="F545" s="23">
        <f>VLOOKUP(C545,'[1]1.CUADRO RESUMEN DE SITIOS '!$C$5:$L$1052,4,FALSE())</f>
        <v>1.7997799999999999</v>
      </c>
      <c r="G545" s="23">
        <f>VLOOKUP(C545,'[1]1.CUADRO RESUMEN DE SITIOS '!$C$5:$L$1052,5,FALSE())</f>
        <v>-78.783900000000003</v>
      </c>
      <c r="H545" s="23" t="str">
        <f>VLOOKUP(C545,'[1]1.CUADRO RESUMEN DE SITIOS '!$C$5:$L$1052,6,FALSE())</f>
        <v>Nariño</v>
      </c>
      <c r="I545" s="23" t="str">
        <f>VLOOKUP(C545,'[1]1.CUADRO RESUMEN DE SITIOS '!$C$5:$L$1052,7,FALSE())</f>
        <v>WOM</v>
      </c>
      <c r="J545" s="25" t="str">
        <f>VLOOKUP(C545,'[1]1.CUADRO RESUMEN DE SITIOS '!$C$5:$L$1052,8,FALSE())</f>
        <v>SUROCCIDENTE</v>
      </c>
      <c r="K545" s="23" t="str">
        <f>VLOOKUP(C545,'[1]1.CUADRO RESUMEN DE SITIOS '!$C$5:$L$1052,9,FALSE())</f>
        <v>Wilson Alejandro Solarte</v>
      </c>
      <c r="L545" s="26" t="str">
        <f>VLOOKUP(C545,'[1]1.CUADRO RESUMEN DE SITIOS '!$C$5:$L$1052,10,FALSE())</f>
        <v>Terminado</v>
      </c>
      <c r="M545" s="26">
        <v>8828119045</v>
      </c>
      <c r="N545" s="26">
        <f>VLOOKUP(M545,[1]LPU!$A$2:$G$1512,2,FALSE())</f>
        <v>5.29</v>
      </c>
      <c r="O545" s="26" t="str">
        <f>VLOOKUP(M545,[1]LPU!$A$2:$G$1512,3,FALSE)</f>
        <v>Suministro e instalación de estructura metálica en acero galvanizado para refuerzo, soportes, bases y adecuaciones en general.</v>
      </c>
      <c r="P545" s="26" t="str">
        <f>VLOOKUP(M545,[1]LPU!$A$2:$G$1512,4,FALSE())</f>
        <v>Mantenimiento CW</v>
      </c>
      <c r="Q545" s="26" t="str">
        <f>VLOOKUP(M545,[1]LPU!$A$2:$G$1512,5,FALSE())</f>
        <v>Kg</v>
      </c>
      <c r="R545" s="27">
        <f>VLOOKUP(M545,[1]LPU!$A$2:$G$1512,6,FALSE())</f>
        <v>12911.5</v>
      </c>
      <c r="S545" s="27" t="str">
        <f>VLOOKUP(M545,[1]LPU!$A$2:$G$1512,7,FALSE())</f>
        <v>Mantenimiento CW</v>
      </c>
      <c r="T545" s="28">
        <v>30</v>
      </c>
      <c r="U545" s="29">
        <f t="shared" si="7"/>
        <v>387345</v>
      </c>
      <c r="V545" s="29" t="s">
        <v>77</v>
      </c>
      <c r="W545" s="30"/>
      <c r="X545" s="29" t="s">
        <v>254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ht="21" customHeight="1" x14ac:dyDescent="0.3">
      <c r="A546" s="22">
        <v>542</v>
      </c>
      <c r="B546" s="23">
        <v>1</v>
      </c>
      <c r="C546" s="23" t="s">
        <v>264</v>
      </c>
      <c r="D546" s="23" t="str">
        <f>VLOOKUP(C546,'[1]1.CUADRO RESUMEN DE SITIOS '!$C$5:$L$1052,2,FALSE())</f>
        <v>NAR_02982</v>
      </c>
      <c r="E546" s="24">
        <f>VLOOKUP(C546,'[1]1.CUADRO RESUMEN DE SITIOS '!$C$5:$L$1052,3,FALSE())</f>
        <v>45940</v>
      </c>
      <c r="F546" s="23">
        <f>VLOOKUP(C546,'[1]1.CUADRO RESUMEN DE SITIOS '!$C$5:$L$1052,4,FALSE())</f>
        <v>1.7997799999999999</v>
      </c>
      <c r="G546" s="23">
        <f>VLOOKUP(C546,'[1]1.CUADRO RESUMEN DE SITIOS '!$C$5:$L$1052,5,FALSE())</f>
        <v>-78.783900000000003</v>
      </c>
      <c r="H546" s="23" t="str">
        <f>VLOOKUP(C546,'[1]1.CUADRO RESUMEN DE SITIOS '!$C$5:$L$1052,6,FALSE())</f>
        <v>Nariño</v>
      </c>
      <c r="I546" s="23" t="str">
        <f>VLOOKUP(C546,'[1]1.CUADRO RESUMEN DE SITIOS '!$C$5:$L$1052,7,FALSE())</f>
        <v>WOM</v>
      </c>
      <c r="J546" s="25" t="str">
        <f>VLOOKUP(C546,'[1]1.CUADRO RESUMEN DE SITIOS '!$C$5:$L$1052,8,FALSE())</f>
        <v>SUROCCIDENTE</v>
      </c>
      <c r="K546" s="23" t="str">
        <f>VLOOKUP(C546,'[1]1.CUADRO RESUMEN DE SITIOS '!$C$5:$L$1052,9,FALSE())</f>
        <v>Wilson Alejandro Solarte</v>
      </c>
      <c r="L546" s="26" t="str">
        <f>VLOOKUP(C546,'[1]1.CUADRO RESUMEN DE SITIOS '!$C$5:$L$1052,10,FALSE())</f>
        <v>Terminado</v>
      </c>
      <c r="M546" s="26">
        <v>8828119599</v>
      </c>
      <c r="N546" s="26">
        <f>VLOOKUP(M546,[1]LPU!$A$2:$G$1512,2,FALSE())</f>
        <v>197</v>
      </c>
      <c r="O546" s="26" t="str">
        <f>VLOOKUP(M546,[1]LPU!$A$2:$G$1512,3,FALSE)</f>
        <v>Transporte de Equipos y Materiales, Carga y Descarga, desde y hacía Bodega Regional. Mas de 1 Tonelada. ZONA 2 (Resolución 5078 de 2016)</v>
      </c>
      <c r="P546" s="26" t="str">
        <f>VLOOKUP(M546,[1]LPU!$A$2:$G$1512,4,FALSE())</f>
        <v>LOCATIVO</v>
      </c>
      <c r="Q546" s="26" t="str">
        <f>VLOOKUP(M546,[1]LPU!$A$2:$G$1512,5,FALSE())</f>
        <v>U</v>
      </c>
      <c r="R546" s="27">
        <f>VLOOKUP(M546,[1]LPU!$A$2:$G$1512,6,FALSE())</f>
        <v>680680</v>
      </c>
      <c r="S546" s="27" t="str">
        <f>VLOOKUP(M546,[1]LPU!$A$2:$G$1512,7,FALSE())</f>
        <v>LPU FLM</v>
      </c>
      <c r="T546" s="28">
        <v>1</v>
      </c>
      <c r="U546" s="29">
        <f t="shared" si="7"/>
        <v>680680</v>
      </c>
      <c r="V546" s="29" t="s">
        <v>77</v>
      </c>
      <c r="W546" s="30"/>
      <c r="X546" s="29" t="s">
        <v>254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ht="21" customHeight="1" x14ac:dyDescent="0.3">
      <c r="A547" s="22">
        <v>543</v>
      </c>
      <c r="B547" s="23">
        <v>1</v>
      </c>
      <c r="C547" s="23" t="s">
        <v>264</v>
      </c>
      <c r="D547" s="23" t="str">
        <f>VLOOKUP(C547,'[1]1.CUADRO RESUMEN DE SITIOS '!$C$5:$L$1052,2,FALSE())</f>
        <v>NAR_02982</v>
      </c>
      <c r="E547" s="24">
        <f>VLOOKUP(C547,'[1]1.CUADRO RESUMEN DE SITIOS '!$C$5:$L$1052,3,FALSE())</f>
        <v>45940</v>
      </c>
      <c r="F547" s="23">
        <f>VLOOKUP(C547,'[1]1.CUADRO RESUMEN DE SITIOS '!$C$5:$L$1052,4,FALSE())</f>
        <v>1.7997799999999999</v>
      </c>
      <c r="G547" s="23">
        <f>VLOOKUP(C547,'[1]1.CUADRO RESUMEN DE SITIOS '!$C$5:$L$1052,5,FALSE())</f>
        <v>-78.783900000000003</v>
      </c>
      <c r="H547" s="23" t="str">
        <f>VLOOKUP(C547,'[1]1.CUADRO RESUMEN DE SITIOS '!$C$5:$L$1052,6,FALSE())</f>
        <v>Nariño</v>
      </c>
      <c r="I547" s="23" t="str">
        <f>VLOOKUP(C547,'[1]1.CUADRO RESUMEN DE SITIOS '!$C$5:$L$1052,7,FALSE())</f>
        <v>WOM</v>
      </c>
      <c r="J547" s="25" t="str">
        <f>VLOOKUP(C547,'[1]1.CUADRO RESUMEN DE SITIOS '!$C$5:$L$1052,8,FALSE())</f>
        <v>SUROCCIDENTE</v>
      </c>
      <c r="K547" s="23" t="str">
        <f>VLOOKUP(C547,'[1]1.CUADRO RESUMEN DE SITIOS '!$C$5:$L$1052,9,FALSE())</f>
        <v>Wilson Alejandro Solarte</v>
      </c>
      <c r="L547" s="26" t="str">
        <f>VLOOKUP(C547,'[1]1.CUADRO RESUMEN DE SITIOS '!$C$5:$L$1052,10,FALSE())</f>
        <v>Terminado</v>
      </c>
      <c r="M547" s="26">
        <v>8828119110</v>
      </c>
      <c r="N547" s="26">
        <f>VLOOKUP(M547,[1]LPU!$A$2:$G$1512,2,FALSE())</f>
        <v>107</v>
      </c>
      <c r="O547" s="26" t="str">
        <f>VLOOKUP(M547,[1]LPU!$A$2:$G$1512,3,FALSE)</f>
        <v>Mano de Obra Tecnico Electricista Certficado CONTE</v>
      </c>
      <c r="P547" s="26" t="str">
        <f>VLOOKUP(M547,[1]LPU!$A$2:$G$1512,4,FALSE())</f>
        <v>ENERGÍA</v>
      </c>
      <c r="Q547" s="26" t="str">
        <f>VLOOKUP(M547,[1]LPU!$A$2:$G$1512,5,FALSE())</f>
        <v>DIA</v>
      </c>
      <c r="R547" s="27">
        <f>VLOOKUP(M547,[1]LPU!$A$2:$G$1512,6,FALSE())</f>
        <v>136000</v>
      </c>
      <c r="S547" s="27" t="str">
        <f>VLOOKUP(M547,[1]LPU!$A$2:$G$1512,7,FALSE())</f>
        <v>LPU FLM</v>
      </c>
      <c r="T547" s="28">
        <v>2</v>
      </c>
      <c r="U547" s="29">
        <f t="shared" si="7"/>
        <v>272000</v>
      </c>
      <c r="V547" s="29" t="s">
        <v>77</v>
      </c>
      <c r="W547" s="30"/>
      <c r="X547" s="29" t="s">
        <v>254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ht="21" customHeight="1" x14ac:dyDescent="0.3">
      <c r="A548" s="22">
        <v>544</v>
      </c>
      <c r="B548" s="23">
        <v>1</v>
      </c>
      <c r="C548" s="23" t="s">
        <v>265</v>
      </c>
      <c r="D548" s="23" t="str">
        <f>VLOOKUP(C548,'[1]1.CUADRO RESUMEN DE SITIOS '!$C$5:$L$1052,2,FALSE())</f>
        <v>NAR_02977</v>
      </c>
      <c r="E548" s="24">
        <f>VLOOKUP(C548,'[1]1.CUADRO RESUMEN DE SITIOS '!$C$5:$L$1052,3,FALSE())</f>
        <v>45943</v>
      </c>
      <c r="F548" s="23">
        <f>VLOOKUP(C548,'[1]1.CUADRO RESUMEN DE SITIOS '!$C$5:$L$1052,4,FALSE())</f>
        <v>1.8075600000000001</v>
      </c>
      <c r="G548" s="23">
        <f>VLOOKUP(C548,'[1]1.CUADRO RESUMEN DE SITIOS '!$C$5:$L$1052,5,FALSE())</f>
        <v>-78.765199999999993</v>
      </c>
      <c r="H548" s="23" t="str">
        <f>VLOOKUP(C548,'[1]1.CUADRO RESUMEN DE SITIOS '!$C$5:$L$1052,6,FALSE())</f>
        <v>Nariño</v>
      </c>
      <c r="I548" s="23" t="str">
        <f>VLOOKUP(C548,'[1]1.CUADRO RESUMEN DE SITIOS '!$C$5:$L$1052,7,FALSE())</f>
        <v>WOM</v>
      </c>
      <c r="J548" s="25" t="str">
        <f>VLOOKUP(C548,'[1]1.CUADRO RESUMEN DE SITIOS '!$C$5:$L$1052,8,FALSE())</f>
        <v>SUROCCIDENTE</v>
      </c>
      <c r="K548" s="23" t="str">
        <f>VLOOKUP(C548,'[1]1.CUADRO RESUMEN DE SITIOS '!$C$5:$L$1052,9,FALSE())</f>
        <v>Wilson Alejandro Solarte</v>
      </c>
      <c r="L548" s="26" t="str">
        <f>VLOOKUP(C548,'[1]1.CUADRO RESUMEN DE SITIOS '!$C$5:$L$1052,10,FALSE())</f>
        <v>Terminado</v>
      </c>
      <c r="M548" s="26">
        <v>8828119492</v>
      </c>
      <c r="N548" s="26">
        <f>VLOOKUP(M548,[1]LPU!$A$2:$G$1512,2,FALSE())</f>
        <v>53</v>
      </c>
      <c r="O548" s="26" t="str">
        <f>VLOOKUP(M548,[1]LPU!$A$2:$G$1512,3,FALSE)</f>
        <v>Instalación Banco de Baterias para Rectificadores - Aplica para ampliaciones.</v>
      </c>
      <c r="P548" s="26" t="str">
        <f>VLOOKUP(M548,[1]LPU!$A$2:$G$1512,4,FALSE())</f>
        <v>ENERGÍA</v>
      </c>
      <c r="Q548" s="26" t="str">
        <f>VLOOKUP(M548,[1]LPU!$A$2:$G$1512,5,FALSE())</f>
        <v>U</v>
      </c>
      <c r="R548" s="27">
        <f>VLOOKUP(M548,[1]LPU!$A$2:$G$1512,6,FALSE())</f>
        <v>102340</v>
      </c>
      <c r="S548" s="27" t="str">
        <f>VLOOKUP(M548,[1]LPU!$A$2:$G$1512,7,FALSE())</f>
        <v>LPU FLM</v>
      </c>
      <c r="T548" s="28">
        <v>1</v>
      </c>
      <c r="U548" s="29">
        <f t="shared" si="7"/>
        <v>102340</v>
      </c>
      <c r="V548" s="29" t="s">
        <v>77</v>
      </c>
      <c r="W548" s="30"/>
      <c r="X548" s="29" t="s">
        <v>254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ht="21" customHeight="1" x14ac:dyDescent="0.3">
      <c r="A549" s="22">
        <v>545</v>
      </c>
      <c r="B549" s="23">
        <v>1</v>
      </c>
      <c r="C549" s="23" t="s">
        <v>265</v>
      </c>
      <c r="D549" s="23" t="str">
        <f>VLOOKUP(C549,'[1]1.CUADRO RESUMEN DE SITIOS '!$C$5:$L$1052,2,FALSE())</f>
        <v>NAR_02977</v>
      </c>
      <c r="E549" s="24">
        <f>VLOOKUP(C549,'[1]1.CUADRO RESUMEN DE SITIOS '!$C$5:$L$1052,3,FALSE())</f>
        <v>45943</v>
      </c>
      <c r="F549" s="23">
        <f>VLOOKUP(C549,'[1]1.CUADRO RESUMEN DE SITIOS '!$C$5:$L$1052,4,FALSE())</f>
        <v>1.8075600000000001</v>
      </c>
      <c r="G549" s="23">
        <f>VLOOKUP(C549,'[1]1.CUADRO RESUMEN DE SITIOS '!$C$5:$L$1052,5,FALSE())</f>
        <v>-78.765199999999993</v>
      </c>
      <c r="H549" s="23" t="str">
        <f>VLOOKUP(C549,'[1]1.CUADRO RESUMEN DE SITIOS '!$C$5:$L$1052,6,FALSE())</f>
        <v>Nariño</v>
      </c>
      <c r="I549" s="23" t="str">
        <f>VLOOKUP(C549,'[1]1.CUADRO RESUMEN DE SITIOS '!$C$5:$L$1052,7,FALSE())</f>
        <v>WOM</v>
      </c>
      <c r="J549" s="25" t="str">
        <f>VLOOKUP(C549,'[1]1.CUADRO RESUMEN DE SITIOS '!$C$5:$L$1052,8,FALSE())</f>
        <v>SUROCCIDENTE</v>
      </c>
      <c r="K549" s="23" t="str">
        <f>VLOOKUP(C549,'[1]1.CUADRO RESUMEN DE SITIOS '!$C$5:$L$1052,9,FALSE())</f>
        <v>Wilson Alejandro Solarte</v>
      </c>
      <c r="L549" s="26" t="str">
        <f>VLOOKUP(C549,'[1]1.CUADRO RESUMEN DE SITIOS '!$C$5:$L$1052,10,FALSE())</f>
        <v>Terminado</v>
      </c>
      <c r="M549" s="26">
        <v>8828119512</v>
      </c>
      <c r="N549" s="26">
        <f>VLOOKUP(M549,[1]LPU!$A$2:$G$1512,2,FALSE())</f>
        <v>55</v>
      </c>
      <c r="O549" s="26" t="str">
        <f>VLOOKUP(M549,[1]LPU!$A$2:$G$1512,3,FALSE)</f>
        <v>Transporte Banco de Baterias</v>
      </c>
      <c r="P549" s="26" t="str">
        <f>VLOOKUP(M549,[1]LPU!$A$2:$G$1512,4,FALSE())</f>
        <v>ENERGÍA</v>
      </c>
      <c r="Q549" s="26" t="str">
        <f>VLOOKUP(M549,[1]LPU!$A$2:$G$1512,5,FALSE())</f>
        <v>U</v>
      </c>
      <c r="R549" s="27">
        <f>VLOOKUP(M549,[1]LPU!$A$2:$G$1512,6,FALSE())</f>
        <v>82212</v>
      </c>
      <c r="S549" s="27" t="str">
        <f>VLOOKUP(M549,[1]LPU!$A$2:$G$1512,7,FALSE())</f>
        <v>LPU FLM</v>
      </c>
      <c r="T549" s="28">
        <v>1</v>
      </c>
      <c r="U549" s="29">
        <f t="shared" si="7"/>
        <v>82212</v>
      </c>
      <c r="V549" s="29" t="s">
        <v>77</v>
      </c>
      <c r="W549" s="30"/>
      <c r="X549" s="29" t="s">
        <v>254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ht="21" customHeight="1" x14ac:dyDescent="0.3">
      <c r="A550" s="22">
        <v>546</v>
      </c>
      <c r="B550" s="23">
        <v>1</v>
      </c>
      <c r="C550" s="23" t="s">
        <v>265</v>
      </c>
      <c r="D550" s="23" t="str">
        <f>VLOOKUP(C550,'[1]1.CUADRO RESUMEN DE SITIOS '!$C$5:$L$1052,2,FALSE())</f>
        <v>NAR_02977</v>
      </c>
      <c r="E550" s="24">
        <f>VLOOKUP(C550,'[1]1.CUADRO RESUMEN DE SITIOS '!$C$5:$L$1052,3,FALSE())</f>
        <v>45943</v>
      </c>
      <c r="F550" s="23">
        <f>VLOOKUP(C550,'[1]1.CUADRO RESUMEN DE SITIOS '!$C$5:$L$1052,4,FALSE())</f>
        <v>1.8075600000000001</v>
      </c>
      <c r="G550" s="23">
        <f>VLOOKUP(C550,'[1]1.CUADRO RESUMEN DE SITIOS '!$C$5:$L$1052,5,FALSE())</f>
        <v>-78.765199999999993</v>
      </c>
      <c r="H550" s="23" t="str">
        <f>VLOOKUP(C550,'[1]1.CUADRO RESUMEN DE SITIOS '!$C$5:$L$1052,6,FALSE())</f>
        <v>Nariño</v>
      </c>
      <c r="I550" s="23" t="str">
        <f>VLOOKUP(C550,'[1]1.CUADRO RESUMEN DE SITIOS '!$C$5:$L$1052,7,FALSE())</f>
        <v>WOM</v>
      </c>
      <c r="J550" s="25" t="str">
        <f>VLOOKUP(C550,'[1]1.CUADRO RESUMEN DE SITIOS '!$C$5:$L$1052,8,FALSE())</f>
        <v>SUROCCIDENTE</v>
      </c>
      <c r="K550" s="23" t="str">
        <f>VLOOKUP(C550,'[1]1.CUADRO RESUMEN DE SITIOS '!$C$5:$L$1052,9,FALSE())</f>
        <v>Wilson Alejandro Solarte</v>
      </c>
      <c r="L550" s="26" t="str">
        <f>VLOOKUP(C550,'[1]1.CUADRO RESUMEN DE SITIOS '!$C$5:$L$1052,10,FALSE())</f>
        <v>Terminado</v>
      </c>
      <c r="M550" s="26">
        <v>8828118999</v>
      </c>
      <c r="N550" s="26">
        <f>VLOOKUP(M550,[1]LPU!$A$2:$G$1512,2,FALSE())</f>
        <v>0</v>
      </c>
      <c r="O550" s="26" t="str">
        <f>VLOOKUP(M550,[1]LPU!$A$2:$G$1512,3,FALSE)</f>
        <v>Suministro e instalación de cable UTP Categoría 6, con conectores en sus extremos, certificado</v>
      </c>
      <c r="P550" s="26" t="str">
        <f>VLOOKUP(M550,[1]LPU!$A$2:$G$1512,4,FALSE())</f>
        <v>Item Critico</v>
      </c>
      <c r="Q550" s="26" t="str">
        <f>VLOOKUP(M550,[1]LPU!$A$2:$G$1512,5,FALSE())</f>
        <v>m</v>
      </c>
      <c r="R550" s="27">
        <f>VLOOKUP(M550,[1]LPU!$A$2:$G$1512,6,FALSE())</f>
        <v>5913</v>
      </c>
      <c r="S550" s="27" t="str">
        <f>VLOOKUP(M550,[1]LPU!$A$2:$G$1512,7,FALSE())</f>
        <v>LPU FO Propia</v>
      </c>
      <c r="T550" s="28">
        <v>3</v>
      </c>
      <c r="U550" s="29">
        <f t="shared" si="7"/>
        <v>17739</v>
      </c>
      <c r="V550" s="29" t="s">
        <v>77</v>
      </c>
      <c r="W550" s="30"/>
      <c r="X550" s="29" t="s">
        <v>254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ht="21" customHeight="1" x14ac:dyDescent="0.3">
      <c r="A551" s="22">
        <v>547</v>
      </c>
      <c r="B551" s="23">
        <v>1</v>
      </c>
      <c r="C551" s="23" t="s">
        <v>265</v>
      </c>
      <c r="D551" s="23" t="str">
        <f>VLOOKUP(C551,'[1]1.CUADRO RESUMEN DE SITIOS '!$C$5:$L$1052,2,FALSE())</f>
        <v>NAR_02977</v>
      </c>
      <c r="E551" s="24">
        <f>VLOOKUP(C551,'[1]1.CUADRO RESUMEN DE SITIOS '!$C$5:$L$1052,3,FALSE())</f>
        <v>45943</v>
      </c>
      <c r="F551" s="23">
        <f>VLOOKUP(C551,'[1]1.CUADRO RESUMEN DE SITIOS '!$C$5:$L$1052,4,FALSE())</f>
        <v>1.8075600000000001</v>
      </c>
      <c r="G551" s="23">
        <f>VLOOKUP(C551,'[1]1.CUADRO RESUMEN DE SITIOS '!$C$5:$L$1052,5,FALSE())</f>
        <v>-78.765199999999993</v>
      </c>
      <c r="H551" s="23" t="str">
        <f>VLOOKUP(C551,'[1]1.CUADRO RESUMEN DE SITIOS '!$C$5:$L$1052,6,FALSE())</f>
        <v>Nariño</v>
      </c>
      <c r="I551" s="23" t="str">
        <f>VLOOKUP(C551,'[1]1.CUADRO RESUMEN DE SITIOS '!$C$5:$L$1052,7,FALSE())</f>
        <v>WOM</v>
      </c>
      <c r="J551" s="25" t="str">
        <f>VLOOKUP(C551,'[1]1.CUADRO RESUMEN DE SITIOS '!$C$5:$L$1052,8,FALSE())</f>
        <v>SUROCCIDENTE</v>
      </c>
      <c r="K551" s="23" t="str">
        <f>VLOOKUP(C551,'[1]1.CUADRO RESUMEN DE SITIOS '!$C$5:$L$1052,9,FALSE())</f>
        <v>Wilson Alejandro Solarte</v>
      </c>
      <c r="L551" s="26" t="str">
        <f>VLOOKUP(C551,'[1]1.CUADRO RESUMEN DE SITIOS '!$C$5:$L$1052,10,FALSE())</f>
        <v>Terminado</v>
      </c>
      <c r="M551" s="26">
        <v>8828118925</v>
      </c>
      <c r="N551" s="26">
        <f>VLOOKUP(M551,[1]LPU!$A$2:$G$1512,2,FALSE())</f>
        <v>87</v>
      </c>
      <c r="O551" s="26" t="str">
        <f>VLOOKUP(M551,[1]LPU!$A$2:$G$1512,3,FALSE)</f>
        <v>Suministro e Instalacion de cable multifilar #4 awg tipo soldador.</v>
      </c>
      <c r="P551" s="26" t="str">
        <f>VLOOKUP(M551,[1]LPU!$A$2:$G$1512,4,FALSE())</f>
        <v>ENERGÍA</v>
      </c>
      <c r="Q551" s="26" t="str">
        <f>VLOOKUP(M551,[1]LPU!$A$2:$G$1512,5,FALSE())</f>
        <v>ML</v>
      </c>
      <c r="R551" s="27">
        <f>VLOOKUP(M551,[1]LPU!$A$2:$G$1512,6,FALSE())</f>
        <v>60815.8</v>
      </c>
      <c r="S551" s="27" t="str">
        <f>VLOOKUP(M551,[1]LPU!$A$2:$G$1512,7,FALSE())</f>
        <v>LPU FLM</v>
      </c>
      <c r="T551" s="28">
        <v>6</v>
      </c>
      <c r="U551" s="29">
        <f t="shared" si="7"/>
        <v>364894.80000000005</v>
      </c>
      <c r="V551" s="29" t="s">
        <v>77</v>
      </c>
      <c r="W551" s="30"/>
      <c r="X551" s="29" t="s">
        <v>254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ht="21" customHeight="1" x14ac:dyDescent="0.3">
      <c r="A552" s="22">
        <v>548</v>
      </c>
      <c r="B552" s="23">
        <v>1</v>
      </c>
      <c r="C552" s="23" t="s">
        <v>265</v>
      </c>
      <c r="D552" s="23" t="str">
        <f>VLOOKUP(C552,'[1]1.CUADRO RESUMEN DE SITIOS '!$C$5:$L$1052,2,FALSE())</f>
        <v>NAR_02977</v>
      </c>
      <c r="E552" s="24">
        <f>VLOOKUP(C552,'[1]1.CUADRO RESUMEN DE SITIOS '!$C$5:$L$1052,3,FALSE())</f>
        <v>45943</v>
      </c>
      <c r="F552" s="23">
        <f>VLOOKUP(C552,'[1]1.CUADRO RESUMEN DE SITIOS '!$C$5:$L$1052,4,FALSE())</f>
        <v>1.8075600000000001</v>
      </c>
      <c r="G552" s="23">
        <f>VLOOKUP(C552,'[1]1.CUADRO RESUMEN DE SITIOS '!$C$5:$L$1052,5,FALSE())</f>
        <v>-78.765199999999993</v>
      </c>
      <c r="H552" s="23" t="str">
        <f>VLOOKUP(C552,'[1]1.CUADRO RESUMEN DE SITIOS '!$C$5:$L$1052,6,FALSE())</f>
        <v>Nariño</v>
      </c>
      <c r="I552" s="23" t="str">
        <f>VLOOKUP(C552,'[1]1.CUADRO RESUMEN DE SITIOS '!$C$5:$L$1052,7,FALSE())</f>
        <v>WOM</v>
      </c>
      <c r="J552" s="25" t="str">
        <f>VLOOKUP(C552,'[1]1.CUADRO RESUMEN DE SITIOS '!$C$5:$L$1052,8,FALSE())</f>
        <v>SUROCCIDENTE</v>
      </c>
      <c r="K552" s="23" t="str">
        <f>VLOOKUP(C552,'[1]1.CUADRO RESUMEN DE SITIOS '!$C$5:$L$1052,9,FALSE())</f>
        <v>Wilson Alejandro Solarte</v>
      </c>
      <c r="L552" s="26" t="str">
        <f>VLOOKUP(C552,'[1]1.CUADRO RESUMEN DE SITIOS '!$C$5:$L$1052,10,FALSE())</f>
        <v>Terminado</v>
      </c>
      <c r="M552" s="26">
        <v>8828118868</v>
      </c>
      <c r="N552" s="26">
        <f>VLOOKUP(M552,[1]LPU!$A$2:$G$1512,2,FALSE())</f>
        <v>81</v>
      </c>
      <c r="O552" s="26" t="str">
        <f>VLOOKUP(M552,[1]LPU!$A$2:$G$1512,3,FALSE)</f>
        <v>Suministro e Instalacion de terminal para cable awg # 2 en cobre estañado un ojo</v>
      </c>
      <c r="P552" s="26" t="str">
        <f>VLOOKUP(M552,[1]LPU!$A$2:$G$1512,4,FALSE())</f>
        <v>ENERGÍA</v>
      </c>
      <c r="Q552" s="26" t="str">
        <f>VLOOKUP(M552,[1]LPU!$A$2:$G$1512,5,FALSE())</f>
        <v>U</v>
      </c>
      <c r="R552" s="27">
        <f>VLOOKUP(M552,[1]LPU!$A$2:$G$1512,6,FALSE())</f>
        <v>2347</v>
      </c>
      <c r="S552" s="27" t="str">
        <f>VLOOKUP(M552,[1]LPU!$A$2:$G$1512,7,FALSE())</f>
        <v>LPU FLM</v>
      </c>
      <c r="T552" s="28">
        <v>4</v>
      </c>
      <c r="U552" s="29">
        <f t="shared" si="7"/>
        <v>9388</v>
      </c>
      <c r="V552" s="29" t="s">
        <v>77</v>
      </c>
      <c r="W552" s="30"/>
      <c r="X552" s="29" t="s">
        <v>254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ht="21" customHeight="1" x14ac:dyDescent="0.3">
      <c r="A553" s="22">
        <v>549</v>
      </c>
      <c r="B553" s="23">
        <v>1</v>
      </c>
      <c r="C553" s="23" t="s">
        <v>265</v>
      </c>
      <c r="D553" s="23" t="str">
        <f>VLOOKUP(C553,'[1]1.CUADRO RESUMEN DE SITIOS '!$C$5:$L$1052,2,FALSE())</f>
        <v>NAR_02977</v>
      </c>
      <c r="E553" s="24">
        <f>VLOOKUP(C553,'[1]1.CUADRO RESUMEN DE SITIOS '!$C$5:$L$1052,3,FALSE())</f>
        <v>45943</v>
      </c>
      <c r="F553" s="23">
        <f>VLOOKUP(C553,'[1]1.CUADRO RESUMEN DE SITIOS '!$C$5:$L$1052,4,FALSE())</f>
        <v>1.8075600000000001</v>
      </c>
      <c r="G553" s="23">
        <f>VLOOKUP(C553,'[1]1.CUADRO RESUMEN DE SITIOS '!$C$5:$L$1052,5,FALSE())</f>
        <v>-78.765199999999993</v>
      </c>
      <c r="H553" s="23" t="str">
        <f>VLOOKUP(C553,'[1]1.CUADRO RESUMEN DE SITIOS '!$C$5:$L$1052,6,FALSE())</f>
        <v>Nariño</v>
      </c>
      <c r="I553" s="23" t="str">
        <f>VLOOKUP(C553,'[1]1.CUADRO RESUMEN DE SITIOS '!$C$5:$L$1052,7,FALSE())</f>
        <v>WOM</v>
      </c>
      <c r="J553" s="25" t="str">
        <f>VLOOKUP(C553,'[1]1.CUADRO RESUMEN DE SITIOS '!$C$5:$L$1052,8,FALSE())</f>
        <v>SUROCCIDENTE</v>
      </c>
      <c r="K553" s="23" t="str">
        <f>VLOOKUP(C553,'[1]1.CUADRO RESUMEN DE SITIOS '!$C$5:$L$1052,9,FALSE())</f>
        <v>Wilson Alejandro Solarte</v>
      </c>
      <c r="L553" s="26" t="str">
        <f>VLOOKUP(C553,'[1]1.CUADRO RESUMEN DE SITIOS '!$C$5:$L$1052,10,FALSE())</f>
        <v>Terminado</v>
      </c>
      <c r="M553" s="26">
        <v>8828119980</v>
      </c>
      <c r="N553" s="26">
        <f>VLOOKUP(M553,[1]LPU!$A$2:$G$1512,2,FALSE())</f>
        <v>169</v>
      </c>
      <c r="O553" s="26" t="str">
        <f>VLOOKUP(M553,[1]LPU!$A$2:$G$1512,3,FALSE)</f>
        <v>Reforzamiento Protección Concreto para Rack de Baterías Incluye Materiales</v>
      </c>
      <c r="P553" s="26" t="str">
        <f>VLOOKUP(M553,[1]LPU!$A$2:$G$1512,4,FALSE())</f>
        <v>LOCATIVO</v>
      </c>
      <c r="Q553" s="26" t="str">
        <f>VLOOKUP(M553,[1]LPU!$A$2:$G$1512,5,FALSE())</f>
        <v>U</v>
      </c>
      <c r="R553" s="27">
        <f>VLOOKUP(M553,[1]LPU!$A$2:$G$1512,6,FALSE())</f>
        <v>114750</v>
      </c>
      <c r="S553" s="27" t="str">
        <f>VLOOKUP(M553,[1]LPU!$A$2:$G$1512,7,FALSE())</f>
        <v>LPU FLM</v>
      </c>
      <c r="T553" s="28">
        <v>1</v>
      </c>
      <c r="U553" s="29">
        <f t="shared" si="7"/>
        <v>114750</v>
      </c>
      <c r="V553" s="29" t="s">
        <v>77</v>
      </c>
      <c r="W553" s="30"/>
      <c r="X553" s="29" t="s">
        <v>254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ht="21" customHeight="1" x14ac:dyDescent="0.3">
      <c r="A554" s="22">
        <v>550</v>
      </c>
      <c r="B554" s="23">
        <v>1</v>
      </c>
      <c r="C554" s="23" t="s">
        <v>265</v>
      </c>
      <c r="D554" s="23" t="str">
        <f>VLOOKUP(C554,'[1]1.CUADRO RESUMEN DE SITIOS '!$C$5:$L$1052,2,FALSE())</f>
        <v>NAR_02977</v>
      </c>
      <c r="E554" s="24">
        <f>VLOOKUP(C554,'[1]1.CUADRO RESUMEN DE SITIOS '!$C$5:$L$1052,3,FALSE())</f>
        <v>45943</v>
      </c>
      <c r="F554" s="23">
        <f>VLOOKUP(C554,'[1]1.CUADRO RESUMEN DE SITIOS '!$C$5:$L$1052,4,FALSE())</f>
        <v>1.8075600000000001</v>
      </c>
      <c r="G554" s="23">
        <f>VLOOKUP(C554,'[1]1.CUADRO RESUMEN DE SITIOS '!$C$5:$L$1052,5,FALSE())</f>
        <v>-78.765199999999993</v>
      </c>
      <c r="H554" s="23" t="str">
        <f>VLOOKUP(C554,'[1]1.CUADRO RESUMEN DE SITIOS '!$C$5:$L$1052,6,FALSE())</f>
        <v>Nariño</v>
      </c>
      <c r="I554" s="23" t="str">
        <f>VLOOKUP(C554,'[1]1.CUADRO RESUMEN DE SITIOS '!$C$5:$L$1052,7,FALSE())</f>
        <v>WOM</v>
      </c>
      <c r="J554" s="25" t="str">
        <f>VLOOKUP(C554,'[1]1.CUADRO RESUMEN DE SITIOS '!$C$5:$L$1052,8,FALSE())</f>
        <v>SUROCCIDENTE</v>
      </c>
      <c r="K554" s="23" t="str">
        <f>VLOOKUP(C554,'[1]1.CUADRO RESUMEN DE SITIOS '!$C$5:$L$1052,9,FALSE())</f>
        <v>Wilson Alejandro Solarte</v>
      </c>
      <c r="L554" s="26" t="str">
        <f>VLOOKUP(C554,'[1]1.CUADRO RESUMEN DE SITIOS '!$C$5:$L$1052,10,FALSE())</f>
        <v>Terminado</v>
      </c>
      <c r="M554" s="26">
        <v>8828119867</v>
      </c>
      <c r="N554" s="26">
        <f>VLOOKUP(M554,[1]LPU!$A$2:$G$1512,2,FALSE())</f>
        <v>158</v>
      </c>
      <c r="O554" s="26" t="str">
        <f>VLOOKUP(M554,[1]LPU!$A$2:$G$1512,3,FALSE)</f>
        <v>Reja para equipo cabinet x 4 baterías</v>
      </c>
      <c r="P554" s="26" t="str">
        <f>VLOOKUP(M554,[1]LPU!$A$2:$G$1512,4,FALSE())</f>
        <v>LOCATIVO</v>
      </c>
      <c r="Q554" s="26" t="str">
        <f>VLOOKUP(M554,[1]LPU!$A$2:$G$1512,5,FALSE())</f>
        <v>U</v>
      </c>
      <c r="R554" s="27">
        <f>VLOOKUP(M554,[1]LPU!$A$2:$G$1512,6,FALSE())</f>
        <v>489135</v>
      </c>
      <c r="S554" s="27" t="str">
        <f>VLOOKUP(M554,[1]LPU!$A$2:$G$1512,7,FALSE())</f>
        <v>LPU FLM</v>
      </c>
      <c r="T554" s="28">
        <v>1</v>
      </c>
      <c r="U554" s="29">
        <f t="shared" si="7"/>
        <v>489135</v>
      </c>
      <c r="V554" s="29" t="s">
        <v>77</v>
      </c>
      <c r="W554" s="30"/>
      <c r="X554" s="29" t="s">
        <v>254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ht="21" customHeight="1" x14ac:dyDescent="0.3">
      <c r="A555" s="22">
        <v>551</v>
      </c>
      <c r="B555" s="23">
        <v>1</v>
      </c>
      <c r="C555" s="23" t="s">
        <v>265</v>
      </c>
      <c r="D555" s="23" t="str">
        <f>VLOOKUP(C555,'[1]1.CUADRO RESUMEN DE SITIOS '!$C$5:$L$1052,2,FALSE())</f>
        <v>NAR_02977</v>
      </c>
      <c r="E555" s="24">
        <f>VLOOKUP(C555,'[1]1.CUADRO RESUMEN DE SITIOS '!$C$5:$L$1052,3,FALSE())</f>
        <v>45943</v>
      </c>
      <c r="F555" s="23">
        <f>VLOOKUP(C555,'[1]1.CUADRO RESUMEN DE SITIOS '!$C$5:$L$1052,4,FALSE())</f>
        <v>1.8075600000000001</v>
      </c>
      <c r="G555" s="23">
        <f>VLOOKUP(C555,'[1]1.CUADRO RESUMEN DE SITIOS '!$C$5:$L$1052,5,FALSE())</f>
        <v>-78.765199999999993</v>
      </c>
      <c r="H555" s="23" t="str">
        <f>VLOOKUP(C555,'[1]1.CUADRO RESUMEN DE SITIOS '!$C$5:$L$1052,6,FALSE())</f>
        <v>Nariño</v>
      </c>
      <c r="I555" s="23" t="str">
        <f>VLOOKUP(C555,'[1]1.CUADRO RESUMEN DE SITIOS '!$C$5:$L$1052,7,FALSE())</f>
        <v>WOM</v>
      </c>
      <c r="J555" s="25" t="str">
        <f>VLOOKUP(C555,'[1]1.CUADRO RESUMEN DE SITIOS '!$C$5:$L$1052,8,FALSE())</f>
        <v>SUROCCIDENTE</v>
      </c>
      <c r="K555" s="23" t="str">
        <f>VLOOKUP(C555,'[1]1.CUADRO RESUMEN DE SITIOS '!$C$5:$L$1052,9,FALSE())</f>
        <v>Wilson Alejandro Solarte</v>
      </c>
      <c r="L555" s="26" t="str">
        <f>VLOOKUP(C555,'[1]1.CUADRO RESUMEN DE SITIOS '!$C$5:$L$1052,10,FALSE())</f>
        <v>Terminado</v>
      </c>
      <c r="M555" s="26">
        <v>8828119045</v>
      </c>
      <c r="N555" s="26">
        <f>VLOOKUP(M555,[1]LPU!$A$2:$G$1512,2,FALSE())</f>
        <v>5.29</v>
      </c>
      <c r="O555" s="26" t="str">
        <f>VLOOKUP(M555,[1]LPU!$A$2:$G$1512,3,FALSE)</f>
        <v>Suministro e instalación de estructura metálica en acero galvanizado para refuerzo, soportes, bases y adecuaciones en general.</v>
      </c>
      <c r="P555" s="26" t="str">
        <f>VLOOKUP(M555,[1]LPU!$A$2:$G$1512,4,FALSE())</f>
        <v>Mantenimiento CW</v>
      </c>
      <c r="Q555" s="26" t="str">
        <f>VLOOKUP(M555,[1]LPU!$A$2:$G$1512,5,FALSE())</f>
        <v>Kg</v>
      </c>
      <c r="R555" s="27">
        <f>VLOOKUP(M555,[1]LPU!$A$2:$G$1512,6,FALSE())</f>
        <v>12911.5</v>
      </c>
      <c r="S555" s="27" t="str">
        <f>VLOOKUP(M555,[1]LPU!$A$2:$G$1512,7,FALSE())</f>
        <v>Mantenimiento CW</v>
      </c>
      <c r="T555" s="28">
        <v>30</v>
      </c>
      <c r="U555" s="29">
        <f t="shared" si="7"/>
        <v>387345</v>
      </c>
      <c r="V555" s="29" t="s">
        <v>77</v>
      </c>
      <c r="W555" s="30"/>
      <c r="X555" s="29" t="s">
        <v>254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ht="21" customHeight="1" x14ac:dyDescent="0.3">
      <c r="A556" s="22">
        <v>552</v>
      </c>
      <c r="B556" s="23">
        <v>1</v>
      </c>
      <c r="C556" s="23" t="s">
        <v>265</v>
      </c>
      <c r="D556" s="23" t="str">
        <f>VLOOKUP(C556,'[1]1.CUADRO RESUMEN DE SITIOS '!$C$5:$L$1052,2,FALSE())</f>
        <v>NAR_02977</v>
      </c>
      <c r="E556" s="24">
        <f>VLOOKUP(C556,'[1]1.CUADRO RESUMEN DE SITIOS '!$C$5:$L$1052,3,FALSE())</f>
        <v>45943</v>
      </c>
      <c r="F556" s="23">
        <f>VLOOKUP(C556,'[1]1.CUADRO RESUMEN DE SITIOS '!$C$5:$L$1052,4,FALSE())</f>
        <v>1.8075600000000001</v>
      </c>
      <c r="G556" s="23">
        <f>VLOOKUP(C556,'[1]1.CUADRO RESUMEN DE SITIOS '!$C$5:$L$1052,5,FALSE())</f>
        <v>-78.765199999999993</v>
      </c>
      <c r="H556" s="23" t="str">
        <f>VLOOKUP(C556,'[1]1.CUADRO RESUMEN DE SITIOS '!$C$5:$L$1052,6,FALSE())</f>
        <v>Nariño</v>
      </c>
      <c r="I556" s="23" t="str">
        <f>VLOOKUP(C556,'[1]1.CUADRO RESUMEN DE SITIOS '!$C$5:$L$1052,7,FALSE())</f>
        <v>WOM</v>
      </c>
      <c r="J556" s="25" t="str">
        <f>VLOOKUP(C556,'[1]1.CUADRO RESUMEN DE SITIOS '!$C$5:$L$1052,8,FALSE())</f>
        <v>SUROCCIDENTE</v>
      </c>
      <c r="K556" s="23" t="str">
        <f>VLOOKUP(C556,'[1]1.CUADRO RESUMEN DE SITIOS '!$C$5:$L$1052,9,FALSE())</f>
        <v>Wilson Alejandro Solarte</v>
      </c>
      <c r="L556" s="26" t="str">
        <f>VLOOKUP(C556,'[1]1.CUADRO RESUMEN DE SITIOS '!$C$5:$L$1052,10,FALSE())</f>
        <v>Terminado</v>
      </c>
      <c r="M556" s="26">
        <v>8828119599</v>
      </c>
      <c r="N556" s="26">
        <f>VLOOKUP(M556,[1]LPU!$A$2:$G$1512,2,FALSE())</f>
        <v>197</v>
      </c>
      <c r="O556" s="26" t="str">
        <f>VLOOKUP(M556,[1]LPU!$A$2:$G$1512,3,FALSE)</f>
        <v>Transporte de Equipos y Materiales, Carga y Descarga, desde y hacía Bodega Regional. Mas de 1 Tonelada. ZONA 2 (Resolución 5078 de 2016)</v>
      </c>
      <c r="P556" s="26" t="str">
        <f>VLOOKUP(M556,[1]LPU!$A$2:$G$1512,4,FALSE())</f>
        <v>LOCATIVO</v>
      </c>
      <c r="Q556" s="26" t="str">
        <f>VLOOKUP(M556,[1]LPU!$A$2:$G$1512,5,FALSE())</f>
        <v>U</v>
      </c>
      <c r="R556" s="27">
        <f>VLOOKUP(M556,[1]LPU!$A$2:$G$1512,6,FALSE())</f>
        <v>680680</v>
      </c>
      <c r="S556" s="27" t="str">
        <f>VLOOKUP(M556,[1]LPU!$A$2:$G$1512,7,FALSE())</f>
        <v>LPU FLM</v>
      </c>
      <c r="T556" s="28">
        <v>1</v>
      </c>
      <c r="U556" s="29">
        <f t="shared" si="7"/>
        <v>680680</v>
      </c>
      <c r="V556" s="29" t="s">
        <v>77</v>
      </c>
      <c r="W556" s="30"/>
      <c r="X556" s="29" t="s">
        <v>254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ht="21" customHeight="1" x14ac:dyDescent="0.3">
      <c r="A557" s="22">
        <v>553</v>
      </c>
      <c r="B557" s="23">
        <v>1</v>
      </c>
      <c r="C557" s="23" t="s">
        <v>265</v>
      </c>
      <c r="D557" s="23" t="str">
        <f>VLOOKUP(C557,'[1]1.CUADRO RESUMEN DE SITIOS '!$C$5:$L$1052,2,FALSE())</f>
        <v>NAR_02977</v>
      </c>
      <c r="E557" s="24">
        <f>VLOOKUP(C557,'[1]1.CUADRO RESUMEN DE SITIOS '!$C$5:$L$1052,3,FALSE())</f>
        <v>45943</v>
      </c>
      <c r="F557" s="23">
        <f>VLOOKUP(C557,'[1]1.CUADRO RESUMEN DE SITIOS '!$C$5:$L$1052,4,FALSE())</f>
        <v>1.8075600000000001</v>
      </c>
      <c r="G557" s="23">
        <f>VLOOKUP(C557,'[1]1.CUADRO RESUMEN DE SITIOS '!$C$5:$L$1052,5,FALSE())</f>
        <v>-78.765199999999993</v>
      </c>
      <c r="H557" s="23" t="str">
        <f>VLOOKUP(C557,'[1]1.CUADRO RESUMEN DE SITIOS '!$C$5:$L$1052,6,FALSE())</f>
        <v>Nariño</v>
      </c>
      <c r="I557" s="23" t="str">
        <f>VLOOKUP(C557,'[1]1.CUADRO RESUMEN DE SITIOS '!$C$5:$L$1052,7,FALSE())</f>
        <v>WOM</v>
      </c>
      <c r="J557" s="25" t="str">
        <f>VLOOKUP(C557,'[1]1.CUADRO RESUMEN DE SITIOS '!$C$5:$L$1052,8,FALSE())</f>
        <v>SUROCCIDENTE</v>
      </c>
      <c r="K557" s="23" t="str">
        <f>VLOOKUP(C557,'[1]1.CUADRO RESUMEN DE SITIOS '!$C$5:$L$1052,9,FALSE())</f>
        <v>Wilson Alejandro Solarte</v>
      </c>
      <c r="L557" s="26" t="str">
        <f>VLOOKUP(C557,'[1]1.CUADRO RESUMEN DE SITIOS '!$C$5:$L$1052,10,FALSE())</f>
        <v>Terminado</v>
      </c>
      <c r="M557" s="26">
        <v>8828119110</v>
      </c>
      <c r="N557" s="26">
        <f>VLOOKUP(M557,[1]LPU!$A$2:$G$1512,2,FALSE())</f>
        <v>107</v>
      </c>
      <c r="O557" s="26" t="str">
        <f>VLOOKUP(M557,[1]LPU!$A$2:$G$1512,3,FALSE)</f>
        <v>Mano de Obra Tecnico Electricista Certficado CONTE</v>
      </c>
      <c r="P557" s="26" t="str">
        <f>VLOOKUP(M557,[1]LPU!$A$2:$G$1512,4,FALSE())</f>
        <v>ENERGÍA</v>
      </c>
      <c r="Q557" s="26" t="str">
        <f>VLOOKUP(M557,[1]LPU!$A$2:$G$1512,5,FALSE())</f>
        <v>DIA</v>
      </c>
      <c r="R557" s="27">
        <f>VLOOKUP(M557,[1]LPU!$A$2:$G$1512,6,FALSE())</f>
        <v>136000</v>
      </c>
      <c r="S557" s="27" t="str">
        <f>VLOOKUP(M557,[1]LPU!$A$2:$G$1512,7,FALSE())</f>
        <v>LPU FLM</v>
      </c>
      <c r="T557" s="28">
        <v>2</v>
      </c>
      <c r="U557" s="29">
        <f t="shared" si="7"/>
        <v>272000</v>
      </c>
      <c r="V557" s="29" t="s">
        <v>77</v>
      </c>
      <c r="W557" s="30"/>
      <c r="X557" s="29" t="s">
        <v>254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ht="21" customHeight="1" x14ac:dyDescent="0.3">
      <c r="A558" s="22">
        <v>554</v>
      </c>
      <c r="B558" s="23">
        <v>1</v>
      </c>
      <c r="C558" s="23" t="s">
        <v>266</v>
      </c>
      <c r="D558" s="23" t="str">
        <f>VLOOKUP(C558,'[1]1.CUADRO RESUMEN DE SITIOS '!$C$5:$L$1052,2,FALSE())</f>
        <v>JSUC_00204</v>
      </c>
      <c r="E558" s="24">
        <f>VLOOKUP(C558,'[1]1.CUADRO RESUMEN DE SITIOS '!$C$5:$L$1052,3,FALSE())</f>
        <v>45933</v>
      </c>
      <c r="F558" s="23">
        <f>VLOOKUP(C558,'[1]1.CUADRO RESUMEN DE SITIOS '!$C$5:$L$1052,4,FALSE())</f>
        <v>9.1402479999999997</v>
      </c>
      <c r="G558" s="23">
        <f>VLOOKUP(C558,'[1]1.CUADRO RESUMEN DE SITIOS '!$C$5:$L$1052,5,FALSE())</f>
        <v>-75.141874000000001</v>
      </c>
      <c r="H558" s="23" t="str">
        <f>VLOOKUP(C558,'[1]1.CUADRO RESUMEN DE SITIOS '!$C$5:$L$1052,6,FALSE())</f>
        <v>Sucre</v>
      </c>
      <c r="I558" s="23" t="str">
        <f>VLOOKUP(C558,'[1]1.CUADRO RESUMEN DE SITIOS '!$C$5:$L$1052,7,FALSE())</f>
        <v>WOM</v>
      </c>
      <c r="J558" s="25" t="str">
        <f>VLOOKUP(C558,'[1]1.CUADRO RESUMEN DE SITIOS '!$C$5:$L$1052,8,FALSE())</f>
        <v>COSTA</v>
      </c>
      <c r="K558" s="23" t="str">
        <f>VLOOKUP(C558,'[1]1.CUADRO RESUMEN DE SITIOS '!$C$5:$L$1052,9,FALSE())</f>
        <v>Alfredo de la Cruz</v>
      </c>
      <c r="L558" s="26" t="str">
        <f>VLOOKUP(C558,'[1]1.CUADRO RESUMEN DE SITIOS '!$C$5:$L$1052,10,FALSE())</f>
        <v>Terminado</v>
      </c>
      <c r="M558" s="26">
        <v>8828119492</v>
      </c>
      <c r="N558" s="26">
        <f>VLOOKUP(M558,[1]LPU!$A$2:$G$1512,2,FALSE())</f>
        <v>53</v>
      </c>
      <c r="O558" s="26" t="str">
        <f>VLOOKUP(M558,[1]LPU!$A$2:$G$1512,3,FALSE)</f>
        <v>Instalación Banco de Baterias para Rectificadores - Aplica para ampliaciones.</v>
      </c>
      <c r="P558" s="26" t="str">
        <f>VLOOKUP(M558,[1]LPU!$A$2:$G$1512,4,FALSE())</f>
        <v>ENERGÍA</v>
      </c>
      <c r="Q558" s="26" t="str">
        <f>VLOOKUP(M558,[1]LPU!$A$2:$G$1512,5,FALSE())</f>
        <v>U</v>
      </c>
      <c r="R558" s="27">
        <f>VLOOKUP(M558,[1]LPU!$A$2:$G$1512,6,FALSE())</f>
        <v>102340</v>
      </c>
      <c r="S558" s="27" t="str">
        <f>VLOOKUP(M558,[1]LPU!$A$2:$G$1512,7,FALSE())</f>
        <v>LPU FLM</v>
      </c>
      <c r="T558" s="28">
        <v>1</v>
      </c>
      <c r="U558" s="29">
        <f t="shared" si="7"/>
        <v>102340</v>
      </c>
      <c r="V558" s="29" t="s">
        <v>77</v>
      </c>
      <c r="W558" s="30"/>
      <c r="X558" s="29" t="s">
        <v>254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ht="21" customHeight="1" x14ac:dyDescent="0.3">
      <c r="A559" s="22">
        <v>555</v>
      </c>
      <c r="B559" s="23">
        <v>1</v>
      </c>
      <c r="C559" s="23" t="s">
        <v>266</v>
      </c>
      <c r="D559" s="23" t="str">
        <f>VLOOKUP(C559,'[1]1.CUADRO RESUMEN DE SITIOS '!$C$5:$L$1052,2,FALSE())</f>
        <v>JSUC_00204</v>
      </c>
      <c r="E559" s="24">
        <f>VLOOKUP(C559,'[1]1.CUADRO RESUMEN DE SITIOS '!$C$5:$L$1052,3,FALSE())</f>
        <v>45933</v>
      </c>
      <c r="F559" s="23">
        <f>VLOOKUP(C559,'[1]1.CUADRO RESUMEN DE SITIOS '!$C$5:$L$1052,4,FALSE())</f>
        <v>9.1402479999999997</v>
      </c>
      <c r="G559" s="23">
        <f>VLOOKUP(C559,'[1]1.CUADRO RESUMEN DE SITIOS '!$C$5:$L$1052,5,FALSE())</f>
        <v>-75.141874000000001</v>
      </c>
      <c r="H559" s="23" t="str">
        <f>VLOOKUP(C559,'[1]1.CUADRO RESUMEN DE SITIOS '!$C$5:$L$1052,6,FALSE())</f>
        <v>Sucre</v>
      </c>
      <c r="I559" s="23" t="str">
        <f>VLOOKUP(C559,'[1]1.CUADRO RESUMEN DE SITIOS '!$C$5:$L$1052,7,FALSE())</f>
        <v>WOM</v>
      </c>
      <c r="J559" s="25" t="str">
        <f>VLOOKUP(C559,'[1]1.CUADRO RESUMEN DE SITIOS '!$C$5:$L$1052,8,FALSE())</f>
        <v>COSTA</v>
      </c>
      <c r="K559" s="23" t="str">
        <f>VLOOKUP(C559,'[1]1.CUADRO RESUMEN DE SITIOS '!$C$5:$L$1052,9,FALSE())</f>
        <v>Alfredo de la Cruz</v>
      </c>
      <c r="L559" s="26" t="str">
        <f>VLOOKUP(C559,'[1]1.CUADRO RESUMEN DE SITIOS '!$C$5:$L$1052,10,FALSE())</f>
        <v>Terminado</v>
      </c>
      <c r="M559" s="26">
        <v>8828119512</v>
      </c>
      <c r="N559" s="26">
        <f>VLOOKUP(M559,[1]LPU!$A$2:$G$1512,2,FALSE())</f>
        <v>55</v>
      </c>
      <c r="O559" s="26" t="str">
        <f>VLOOKUP(M559,[1]LPU!$A$2:$G$1512,3,FALSE)</f>
        <v>Transporte Banco de Baterias</v>
      </c>
      <c r="P559" s="26" t="str">
        <f>VLOOKUP(M559,[1]LPU!$A$2:$G$1512,4,FALSE())</f>
        <v>ENERGÍA</v>
      </c>
      <c r="Q559" s="26" t="str">
        <f>VLOOKUP(M559,[1]LPU!$A$2:$G$1512,5,FALSE())</f>
        <v>U</v>
      </c>
      <c r="R559" s="27">
        <f>VLOOKUP(M559,[1]LPU!$A$2:$G$1512,6,FALSE())</f>
        <v>82212</v>
      </c>
      <c r="S559" s="27" t="str">
        <f>VLOOKUP(M559,[1]LPU!$A$2:$G$1512,7,FALSE())</f>
        <v>LPU FLM</v>
      </c>
      <c r="T559" s="28">
        <v>1</v>
      </c>
      <c r="U559" s="29">
        <f t="shared" si="7"/>
        <v>82212</v>
      </c>
      <c r="V559" s="29" t="s">
        <v>77</v>
      </c>
      <c r="W559" s="30"/>
      <c r="X559" s="29" t="s">
        <v>254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ht="21" customHeight="1" x14ac:dyDescent="0.3">
      <c r="A560" s="22">
        <v>556</v>
      </c>
      <c r="B560" s="23">
        <v>1</v>
      </c>
      <c r="C560" s="23" t="s">
        <v>266</v>
      </c>
      <c r="D560" s="23" t="str">
        <f>VLOOKUP(C560,'[1]1.CUADRO RESUMEN DE SITIOS '!$C$5:$L$1052,2,FALSE())</f>
        <v>JSUC_00204</v>
      </c>
      <c r="E560" s="24">
        <f>VLOOKUP(C560,'[1]1.CUADRO RESUMEN DE SITIOS '!$C$5:$L$1052,3,FALSE())</f>
        <v>45933</v>
      </c>
      <c r="F560" s="23">
        <f>VLOOKUP(C560,'[1]1.CUADRO RESUMEN DE SITIOS '!$C$5:$L$1052,4,FALSE())</f>
        <v>9.1402479999999997</v>
      </c>
      <c r="G560" s="23">
        <f>VLOOKUP(C560,'[1]1.CUADRO RESUMEN DE SITIOS '!$C$5:$L$1052,5,FALSE())</f>
        <v>-75.141874000000001</v>
      </c>
      <c r="H560" s="23" t="str">
        <f>VLOOKUP(C560,'[1]1.CUADRO RESUMEN DE SITIOS '!$C$5:$L$1052,6,FALSE())</f>
        <v>Sucre</v>
      </c>
      <c r="I560" s="23" t="str">
        <f>VLOOKUP(C560,'[1]1.CUADRO RESUMEN DE SITIOS '!$C$5:$L$1052,7,FALSE())</f>
        <v>WOM</v>
      </c>
      <c r="J560" s="25" t="str">
        <f>VLOOKUP(C560,'[1]1.CUADRO RESUMEN DE SITIOS '!$C$5:$L$1052,8,FALSE())</f>
        <v>COSTA</v>
      </c>
      <c r="K560" s="23" t="str">
        <f>VLOOKUP(C560,'[1]1.CUADRO RESUMEN DE SITIOS '!$C$5:$L$1052,9,FALSE())</f>
        <v>Alfredo de la Cruz</v>
      </c>
      <c r="L560" s="26" t="str">
        <f>VLOOKUP(C560,'[1]1.CUADRO RESUMEN DE SITIOS '!$C$5:$L$1052,10,FALSE())</f>
        <v>Terminado</v>
      </c>
      <c r="M560" s="26">
        <v>8828118999</v>
      </c>
      <c r="N560" s="26">
        <f>VLOOKUP(M560,[1]LPU!$A$2:$G$1512,2,FALSE())</f>
        <v>0</v>
      </c>
      <c r="O560" s="26" t="str">
        <f>VLOOKUP(M560,[1]LPU!$A$2:$G$1512,3,FALSE)</f>
        <v>Suministro e instalación de cable UTP Categoría 6, con conectores en sus extremos, certificado</v>
      </c>
      <c r="P560" s="26" t="str">
        <f>VLOOKUP(M560,[1]LPU!$A$2:$G$1512,4,FALSE())</f>
        <v>Item Critico</v>
      </c>
      <c r="Q560" s="26" t="str">
        <f>VLOOKUP(M560,[1]LPU!$A$2:$G$1512,5,FALSE())</f>
        <v>m</v>
      </c>
      <c r="R560" s="27">
        <f>VLOOKUP(M560,[1]LPU!$A$2:$G$1512,6,FALSE())</f>
        <v>5913</v>
      </c>
      <c r="S560" s="27" t="str">
        <f>VLOOKUP(M560,[1]LPU!$A$2:$G$1512,7,FALSE())</f>
        <v>LPU FO Propia</v>
      </c>
      <c r="T560" s="28">
        <v>3</v>
      </c>
      <c r="U560" s="29">
        <f t="shared" si="7"/>
        <v>17739</v>
      </c>
      <c r="V560" s="29" t="s">
        <v>77</v>
      </c>
      <c r="W560" s="30"/>
      <c r="X560" s="29" t="s">
        <v>254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ht="21" customHeight="1" x14ac:dyDescent="0.3">
      <c r="A561" s="22">
        <v>557</v>
      </c>
      <c r="B561" s="23">
        <v>1</v>
      </c>
      <c r="C561" s="23" t="s">
        <v>266</v>
      </c>
      <c r="D561" s="23" t="str">
        <f>VLOOKUP(C561,'[1]1.CUADRO RESUMEN DE SITIOS '!$C$5:$L$1052,2,FALSE())</f>
        <v>JSUC_00204</v>
      </c>
      <c r="E561" s="24">
        <f>VLOOKUP(C561,'[1]1.CUADRO RESUMEN DE SITIOS '!$C$5:$L$1052,3,FALSE())</f>
        <v>45933</v>
      </c>
      <c r="F561" s="23">
        <f>VLOOKUP(C561,'[1]1.CUADRO RESUMEN DE SITIOS '!$C$5:$L$1052,4,FALSE())</f>
        <v>9.1402479999999997</v>
      </c>
      <c r="G561" s="23">
        <f>VLOOKUP(C561,'[1]1.CUADRO RESUMEN DE SITIOS '!$C$5:$L$1052,5,FALSE())</f>
        <v>-75.141874000000001</v>
      </c>
      <c r="H561" s="23" t="str">
        <f>VLOOKUP(C561,'[1]1.CUADRO RESUMEN DE SITIOS '!$C$5:$L$1052,6,FALSE())</f>
        <v>Sucre</v>
      </c>
      <c r="I561" s="23" t="str">
        <f>VLOOKUP(C561,'[1]1.CUADRO RESUMEN DE SITIOS '!$C$5:$L$1052,7,FALSE())</f>
        <v>WOM</v>
      </c>
      <c r="J561" s="25" t="str">
        <f>VLOOKUP(C561,'[1]1.CUADRO RESUMEN DE SITIOS '!$C$5:$L$1052,8,FALSE())</f>
        <v>COSTA</v>
      </c>
      <c r="K561" s="23" t="str">
        <f>VLOOKUP(C561,'[1]1.CUADRO RESUMEN DE SITIOS '!$C$5:$L$1052,9,FALSE())</f>
        <v>Alfredo de la Cruz</v>
      </c>
      <c r="L561" s="26" t="str">
        <f>VLOOKUP(C561,'[1]1.CUADRO RESUMEN DE SITIOS '!$C$5:$L$1052,10,FALSE())</f>
        <v>Terminado</v>
      </c>
      <c r="M561" s="26">
        <v>8828118925</v>
      </c>
      <c r="N561" s="26">
        <f>VLOOKUP(M561,[1]LPU!$A$2:$G$1512,2,FALSE())</f>
        <v>87</v>
      </c>
      <c r="O561" s="26" t="str">
        <f>VLOOKUP(M561,[1]LPU!$A$2:$G$1512,3,FALSE)</f>
        <v>Suministro e Instalacion de cable multifilar #4 awg tipo soldador.</v>
      </c>
      <c r="P561" s="26" t="str">
        <f>VLOOKUP(M561,[1]LPU!$A$2:$G$1512,4,FALSE())</f>
        <v>ENERGÍA</v>
      </c>
      <c r="Q561" s="26" t="str">
        <f>VLOOKUP(M561,[1]LPU!$A$2:$G$1512,5,FALSE())</f>
        <v>ML</v>
      </c>
      <c r="R561" s="27">
        <f>VLOOKUP(M561,[1]LPU!$A$2:$G$1512,6,FALSE())</f>
        <v>60815.8</v>
      </c>
      <c r="S561" s="27" t="str">
        <f>VLOOKUP(M561,[1]LPU!$A$2:$G$1512,7,FALSE())</f>
        <v>LPU FLM</v>
      </c>
      <c r="T561" s="28">
        <v>6</v>
      </c>
      <c r="U561" s="29">
        <f t="shared" si="7"/>
        <v>364894.80000000005</v>
      </c>
      <c r="V561" s="29" t="s">
        <v>77</v>
      </c>
      <c r="W561" s="30"/>
      <c r="X561" s="29" t="s">
        <v>254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ht="21" customHeight="1" x14ac:dyDescent="0.3">
      <c r="A562" s="22">
        <v>558</v>
      </c>
      <c r="B562" s="23">
        <v>1</v>
      </c>
      <c r="C562" s="23" t="s">
        <v>266</v>
      </c>
      <c r="D562" s="23" t="str">
        <f>VLOOKUP(C562,'[1]1.CUADRO RESUMEN DE SITIOS '!$C$5:$L$1052,2,FALSE())</f>
        <v>JSUC_00204</v>
      </c>
      <c r="E562" s="24">
        <f>VLOOKUP(C562,'[1]1.CUADRO RESUMEN DE SITIOS '!$C$5:$L$1052,3,FALSE())</f>
        <v>45933</v>
      </c>
      <c r="F562" s="23">
        <f>VLOOKUP(C562,'[1]1.CUADRO RESUMEN DE SITIOS '!$C$5:$L$1052,4,FALSE())</f>
        <v>9.1402479999999997</v>
      </c>
      <c r="G562" s="23">
        <f>VLOOKUP(C562,'[1]1.CUADRO RESUMEN DE SITIOS '!$C$5:$L$1052,5,FALSE())</f>
        <v>-75.141874000000001</v>
      </c>
      <c r="H562" s="23" t="str">
        <f>VLOOKUP(C562,'[1]1.CUADRO RESUMEN DE SITIOS '!$C$5:$L$1052,6,FALSE())</f>
        <v>Sucre</v>
      </c>
      <c r="I562" s="23" t="str">
        <f>VLOOKUP(C562,'[1]1.CUADRO RESUMEN DE SITIOS '!$C$5:$L$1052,7,FALSE())</f>
        <v>WOM</v>
      </c>
      <c r="J562" s="25" t="str">
        <f>VLOOKUP(C562,'[1]1.CUADRO RESUMEN DE SITIOS '!$C$5:$L$1052,8,FALSE())</f>
        <v>COSTA</v>
      </c>
      <c r="K562" s="23" t="str">
        <f>VLOOKUP(C562,'[1]1.CUADRO RESUMEN DE SITIOS '!$C$5:$L$1052,9,FALSE())</f>
        <v>Alfredo de la Cruz</v>
      </c>
      <c r="L562" s="26" t="str">
        <f>VLOOKUP(C562,'[1]1.CUADRO RESUMEN DE SITIOS '!$C$5:$L$1052,10,FALSE())</f>
        <v>Terminado</v>
      </c>
      <c r="M562" s="26">
        <v>8828118868</v>
      </c>
      <c r="N562" s="26">
        <f>VLOOKUP(M562,[1]LPU!$A$2:$G$1512,2,FALSE())</f>
        <v>81</v>
      </c>
      <c r="O562" s="26" t="str">
        <f>VLOOKUP(M562,[1]LPU!$A$2:$G$1512,3,FALSE)</f>
        <v>Suministro e Instalacion de terminal para cable awg # 2 en cobre estañado un ojo</v>
      </c>
      <c r="P562" s="26" t="str">
        <f>VLOOKUP(M562,[1]LPU!$A$2:$G$1512,4,FALSE())</f>
        <v>ENERGÍA</v>
      </c>
      <c r="Q562" s="26" t="str">
        <f>VLOOKUP(M562,[1]LPU!$A$2:$G$1512,5,FALSE())</f>
        <v>U</v>
      </c>
      <c r="R562" s="27">
        <f>VLOOKUP(M562,[1]LPU!$A$2:$G$1512,6,FALSE())</f>
        <v>2347</v>
      </c>
      <c r="S562" s="27" t="str">
        <f>VLOOKUP(M562,[1]LPU!$A$2:$G$1512,7,FALSE())</f>
        <v>LPU FLM</v>
      </c>
      <c r="T562" s="28">
        <v>4</v>
      </c>
      <c r="U562" s="29">
        <f t="shared" si="7"/>
        <v>9388</v>
      </c>
      <c r="V562" s="29" t="s">
        <v>77</v>
      </c>
      <c r="W562" s="30"/>
      <c r="X562" s="29" t="s">
        <v>254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ht="21" customHeight="1" x14ac:dyDescent="0.3">
      <c r="A563" s="22">
        <v>559</v>
      </c>
      <c r="B563" s="23">
        <v>1</v>
      </c>
      <c r="C563" s="23" t="s">
        <v>266</v>
      </c>
      <c r="D563" s="23" t="str">
        <f>VLOOKUP(C563,'[1]1.CUADRO RESUMEN DE SITIOS '!$C$5:$L$1052,2,FALSE())</f>
        <v>JSUC_00204</v>
      </c>
      <c r="E563" s="24">
        <f>VLOOKUP(C563,'[1]1.CUADRO RESUMEN DE SITIOS '!$C$5:$L$1052,3,FALSE())</f>
        <v>45933</v>
      </c>
      <c r="F563" s="23">
        <f>VLOOKUP(C563,'[1]1.CUADRO RESUMEN DE SITIOS '!$C$5:$L$1052,4,FALSE())</f>
        <v>9.1402479999999997</v>
      </c>
      <c r="G563" s="23">
        <f>VLOOKUP(C563,'[1]1.CUADRO RESUMEN DE SITIOS '!$C$5:$L$1052,5,FALSE())</f>
        <v>-75.141874000000001</v>
      </c>
      <c r="H563" s="23" t="str">
        <f>VLOOKUP(C563,'[1]1.CUADRO RESUMEN DE SITIOS '!$C$5:$L$1052,6,FALSE())</f>
        <v>Sucre</v>
      </c>
      <c r="I563" s="23" t="str">
        <f>VLOOKUP(C563,'[1]1.CUADRO RESUMEN DE SITIOS '!$C$5:$L$1052,7,FALSE())</f>
        <v>WOM</v>
      </c>
      <c r="J563" s="25" t="str">
        <f>VLOOKUP(C563,'[1]1.CUADRO RESUMEN DE SITIOS '!$C$5:$L$1052,8,FALSE())</f>
        <v>COSTA</v>
      </c>
      <c r="K563" s="23" t="str">
        <f>VLOOKUP(C563,'[1]1.CUADRO RESUMEN DE SITIOS '!$C$5:$L$1052,9,FALSE())</f>
        <v>Alfredo de la Cruz</v>
      </c>
      <c r="L563" s="26" t="str">
        <f>VLOOKUP(C563,'[1]1.CUADRO RESUMEN DE SITIOS '!$C$5:$L$1052,10,FALSE())</f>
        <v>Terminado</v>
      </c>
      <c r="M563" s="26">
        <v>8828119980</v>
      </c>
      <c r="N563" s="26">
        <f>VLOOKUP(M563,[1]LPU!$A$2:$G$1512,2,FALSE())</f>
        <v>169</v>
      </c>
      <c r="O563" s="26" t="str">
        <f>VLOOKUP(M563,[1]LPU!$A$2:$G$1512,3,FALSE)</f>
        <v>Reforzamiento Protección Concreto para Rack de Baterías Incluye Materiales</v>
      </c>
      <c r="P563" s="26" t="str">
        <f>VLOOKUP(M563,[1]LPU!$A$2:$G$1512,4,FALSE())</f>
        <v>LOCATIVO</v>
      </c>
      <c r="Q563" s="26" t="str">
        <f>VLOOKUP(M563,[1]LPU!$A$2:$G$1512,5,FALSE())</f>
        <v>U</v>
      </c>
      <c r="R563" s="27">
        <f>VLOOKUP(M563,[1]LPU!$A$2:$G$1512,6,FALSE())</f>
        <v>114750</v>
      </c>
      <c r="S563" s="27" t="str">
        <f>VLOOKUP(M563,[1]LPU!$A$2:$G$1512,7,FALSE())</f>
        <v>LPU FLM</v>
      </c>
      <c r="T563" s="28">
        <v>1</v>
      </c>
      <c r="U563" s="29">
        <f t="shared" si="7"/>
        <v>114750</v>
      </c>
      <c r="V563" s="29" t="s">
        <v>77</v>
      </c>
      <c r="W563" s="30"/>
      <c r="X563" s="29" t="s">
        <v>254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ht="21" customHeight="1" x14ac:dyDescent="0.3">
      <c r="A564" s="22">
        <v>560</v>
      </c>
      <c r="B564" s="23">
        <v>1</v>
      </c>
      <c r="C564" s="23" t="s">
        <v>266</v>
      </c>
      <c r="D564" s="23" t="str">
        <f>VLOOKUP(C564,'[1]1.CUADRO RESUMEN DE SITIOS '!$C$5:$L$1052,2,FALSE())</f>
        <v>JSUC_00204</v>
      </c>
      <c r="E564" s="24">
        <f>VLOOKUP(C564,'[1]1.CUADRO RESUMEN DE SITIOS '!$C$5:$L$1052,3,FALSE())</f>
        <v>45933</v>
      </c>
      <c r="F564" s="23">
        <f>VLOOKUP(C564,'[1]1.CUADRO RESUMEN DE SITIOS '!$C$5:$L$1052,4,FALSE())</f>
        <v>9.1402479999999997</v>
      </c>
      <c r="G564" s="23">
        <f>VLOOKUP(C564,'[1]1.CUADRO RESUMEN DE SITIOS '!$C$5:$L$1052,5,FALSE())</f>
        <v>-75.141874000000001</v>
      </c>
      <c r="H564" s="23" t="str">
        <f>VLOOKUP(C564,'[1]1.CUADRO RESUMEN DE SITIOS '!$C$5:$L$1052,6,FALSE())</f>
        <v>Sucre</v>
      </c>
      <c r="I564" s="23" t="str">
        <f>VLOOKUP(C564,'[1]1.CUADRO RESUMEN DE SITIOS '!$C$5:$L$1052,7,FALSE())</f>
        <v>WOM</v>
      </c>
      <c r="J564" s="25" t="str">
        <f>VLOOKUP(C564,'[1]1.CUADRO RESUMEN DE SITIOS '!$C$5:$L$1052,8,FALSE())</f>
        <v>COSTA</v>
      </c>
      <c r="K564" s="23" t="str">
        <f>VLOOKUP(C564,'[1]1.CUADRO RESUMEN DE SITIOS '!$C$5:$L$1052,9,FALSE())</f>
        <v>Alfredo de la Cruz</v>
      </c>
      <c r="L564" s="26" t="str">
        <f>VLOOKUP(C564,'[1]1.CUADRO RESUMEN DE SITIOS '!$C$5:$L$1052,10,FALSE())</f>
        <v>Terminado</v>
      </c>
      <c r="M564" s="26">
        <v>8828119848</v>
      </c>
      <c r="N564" s="26">
        <f>VLOOKUP(M564,[1]LPU!$A$2:$G$1512,2,FALSE())</f>
        <v>157</v>
      </c>
      <c r="O564" s="26" t="str">
        <f>VLOOKUP(M564,[1]LPU!$A$2:$G$1512,3,FALSE)</f>
        <v>Reja para equipo cabinet x 2 baterías</v>
      </c>
      <c r="P564" s="26" t="str">
        <f>VLOOKUP(M564,[1]LPU!$A$2:$G$1512,4,FALSE())</f>
        <v>LOCATIVO</v>
      </c>
      <c r="Q564" s="26" t="str">
        <f>VLOOKUP(M564,[1]LPU!$A$2:$G$1512,5,FALSE())</f>
        <v>U</v>
      </c>
      <c r="R564" s="27">
        <f>VLOOKUP(M564,[1]LPU!$A$2:$G$1512,6,FALSE())</f>
        <v>415303</v>
      </c>
      <c r="S564" s="27" t="str">
        <f>VLOOKUP(M564,[1]LPU!$A$2:$G$1512,7,FALSE())</f>
        <v>LPU FLM</v>
      </c>
      <c r="T564" s="28">
        <v>1</v>
      </c>
      <c r="U564" s="29">
        <f t="shared" si="7"/>
        <v>415303</v>
      </c>
      <c r="V564" s="29" t="s">
        <v>77</v>
      </c>
      <c r="W564" s="30"/>
      <c r="X564" s="29" t="s">
        <v>254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ht="21" customHeight="1" x14ac:dyDescent="0.3">
      <c r="A565" s="22">
        <v>561</v>
      </c>
      <c r="B565" s="23">
        <v>1</v>
      </c>
      <c r="C565" s="23" t="s">
        <v>266</v>
      </c>
      <c r="D565" s="23" t="str">
        <f>VLOOKUP(C565,'[1]1.CUADRO RESUMEN DE SITIOS '!$C$5:$L$1052,2,FALSE())</f>
        <v>JSUC_00204</v>
      </c>
      <c r="E565" s="24">
        <f>VLOOKUP(C565,'[1]1.CUADRO RESUMEN DE SITIOS '!$C$5:$L$1052,3,FALSE())</f>
        <v>45933</v>
      </c>
      <c r="F565" s="23">
        <f>VLOOKUP(C565,'[1]1.CUADRO RESUMEN DE SITIOS '!$C$5:$L$1052,4,FALSE())</f>
        <v>9.1402479999999997</v>
      </c>
      <c r="G565" s="23">
        <f>VLOOKUP(C565,'[1]1.CUADRO RESUMEN DE SITIOS '!$C$5:$L$1052,5,FALSE())</f>
        <v>-75.141874000000001</v>
      </c>
      <c r="H565" s="23" t="str">
        <f>VLOOKUP(C565,'[1]1.CUADRO RESUMEN DE SITIOS '!$C$5:$L$1052,6,FALSE())</f>
        <v>Sucre</v>
      </c>
      <c r="I565" s="23" t="str">
        <f>VLOOKUP(C565,'[1]1.CUADRO RESUMEN DE SITIOS '!$C$5:$L$1052,7,FALSE())</f>
        <v>WOM</v>
      </c>
      <c r="J565" s="25" t="str">
        <f>VLOOKUP(C565,'[1]1.CUADRO RESUMEN DE SITIOS '!$C$5:$L$1052,8,FALSE())</f>
        <v>COSTA</v>
      </c>
      <c r="K565" s="23" t="str">
        <f>VLOOKUP(C565,'[1]1.CUADRO RESUMEN DE SITIOS '!$C$5:$L$1052,9,FALSE())</f>
        <v>Alfredo de la Cruz</v>
      </c>
      <c r="L565" s="26" t="str">
        <f>VLOOKUP(C565,'[1]1.CUADRO RESUMEN DE SITIOS '!$C$5:$L$1052,10,FALSE())</f>
        <v>Terminado</v>
      </c>
      <c r="M565" s="26">
        <v>8828119045</v>
      </c>
      <c r="N565" s="26">
        <f>VLOOKUP(M565,[1]LPU!$A$2:$G$1512,2,FALSE())</f>
        <v>5.29</v>
      </c>
      <c r="O565" s="26" t="str">
        <f>VLOOKUP(M565,[1]LPU!$A$2:$G$1512,3,FALSE)</f>
        <v>Suministro e instalación de estructura metálica en acero galvanizado para refuerzo, soportes, bases y adecuaciones en general.</v>
      </c>
      <c r="P565" s="26" t="str">
        <f>VLOOKUP(M565,[1]LPU!$A$2:$G$1512,4,FALSE())</f>
        <v>Mantenimiento CW</v>
      </c>
      <c r="Q565" s="26" t="str">
        <f>VLOOKUP(M565,[1]LPU!$A$2:$G$1512,5,FALSE())</f>
        <v>Kg</v>
      </c>
      <c r="R565" s="27">
        <f>VLOOKUP(M565,[1]LPU!$A$2:$G$1512,6,FALSE())</f>
        <v>12911.5</v>
      </c>
      <c r="S565" s="27" t="str">
        <f>VLOOKUP(M565,[1]LPU!$A$2:$G$1512,7,FALSE())</f>
        <v>Mantenimiento CW</v>
      </c>
      <c r="T565" s="28">
        <v>20</v>
      </c>
      <c r="U565" s="29">
        <f t="shared" si="7"/>
        <v>258230</v>
      </c>
      <c r="V565" s="29" t="s">
        <v>77</v>
      </c>
      <c r="W565" s="30"/>
      <c r="X565" s="29" t="s">
        <v>254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ht="21" customHeight="1" x14ac:dyDescent="0.3">
      <c r="A566" s="22">
        <v>562</v>
      </c>
      <c r="B566" s="23">
        <v>1</v>
      </c>
      <c r="C566" s="23" t="s">
        <v>266</v>
      </c>
      <c r="D566" s="23" t="str">
        <f>VLOOKUP(C566,'[1]1.CUADRO RESUMEN DE SITIOS '!$C$5:$L$1052,2,FALSE())</f>
        <v>JSUC_00204</v>
      </c>
      <c r="E566" s="24">
        <f>VLOOKUP(C566,'[1]1.CUADRO RESUMEN DE SITIOS '!$C$5:$L$1052,3,FALSE())</f>
        <v>45933</v>
      </c>
      <c r="F566" s="23">
        <f>VLOOKUP(C566,'[1]1.CUADRO RESUMEN DE SITIOS '!$C$5:$L$1052,4,FALSE())</f>
        <v>9.1402479999999997</v>
      </c>
      <c r="G566" s="23">
        <f>VLOOKUP(C566,'[1]1.CUADRO RESUMEN DE SITIOS '!$C$5:$L$1052,5,FALSE())</f>
        <v>-75.141874000000001</v>
      </c>
      <c r="H566" s="23" t="str">
        <f>VLOOKUP(C566,'[1]1.CUADRO RESUMEN DE SITIOS '!$C$5:$L$1052,6,FALSE())</f>
        <v>Sucre</v>
      </c>
      <c r="I566" s="23" t="str">
        <f>VLOOKUP(C566,'[1]1.CUADRO RESUMEN DE SITIOS '!$C$5:$L$1052,7,FALSE())</f>
        <v>WOM</v>
      </c>
      <c r="J566" s="25" t="str">
        <f>VLOOKUP(C566,'[1]1.CUADRO RESUMEN DE SITIOS '!$C$5:$L$1052,8,FALSE())</f>
        <v>COSTA</v>
      </c>
      <c r="K566" s="23" t="str">
        <f>VLOOKUP(C566,'[1]1.CUADRO RESUMEN DE SITIOS '!$C$5:$L$1052,9,FALSE())</f>
        <v>Alfredo de la Cruz</v>
      </c>
      <c r="L566" s="26" t="str">
        <f>VLOOKUP(C566,'[1]1.CUADRO RESUMEN DE SITIOS '!$C$5:$L$1052,10,FALSE())</f>
        <v>Terminado</v>
      </c>
      <c r="M566" s="26">
        <v>8828119599</v>
      </c>
      <c r="N566" s="26">
        <f>VLOOKUP(M566,[1]LPU!$A$2:$G$1512,2,FALSE())</f>
        <v>197</v>
      </c>
      <c r="O566" s="26" t="str">
        <f>VLOOKUP(M566,[1]LPU!$A$2:$G$1512,3,FALSE)</f>
        <v>Transporte de Equipos y Materiales, Carga y Descarga, desde y hacía Bodega Regional. Mas de 1 Tonelada. ZONA 2 (Resolución 5078 de 2016)</v>
      </c>
      <c r="P566" s="26" t="str">
        <f>VLOOKUP(M566,[1]LPU!$A$2:$G$1512,4,FALSE())</f>
        <v>LOCATIVO</v>
      </c>
      <c r="Q566" s="26" t="str">
        <f>VLOOKUP(M566,[1]LPU!$A$2:$G$1512,5,FALSE())</f>
        <v>U</v>
      </c>
      <c r="R566" s="27">
        <f>VLOOKUP(M566,[1]LPU!$A$2:$G$1512,6,FALSE())</f>
        <v>680680</v>
      </c>
      <c r="S566" s="27" t="str">
        <f>VLOOKUP(M566,[1]LPU!$A$2:$G$1512,7,FALSE())</f>
        <v>LPU FLM</v>
      </c>
      <c r="T566" s="28">
        <v>1</v>
      </c>
      <c r="U566" s="29">
        <f t="shared" si="7"/>
        <v>680680</v>
      </c>
      <c r="V566" s="29" t="s">
        <v>77</v>
      </c>
      <c r="W566" s="30"/>
      <c r="X566" s="29" t="s">
        <v>254</v>
      </c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ht="21" customHeight="1" x14ac:dyDescent="0.3">
      <c r="A567" s="22">
        <v>563</v>
      </c>
      <c r="B567" s="23">
        <v>1</v>
      </c>
      <c r="C567" s="23" t="s">
        <v>266</v>
      </c>
      <c r="D567" s="23" t="str">
        <f>VLOOKUP(C567,'[1]1.CUADRO RESUMEN DE SITIOS '!$C$5:$L$1052,2,FALSE())</f>
        <v>JSUC_00204</v>
      </c>
      <c r="E567" s="24">
        <f>VLOOKUP(C567,'[1]1.CUADRO RESUMEN DE SITIOS '!$C$5:$L$1052,3,FALSE())</f>
        <v>45933</v>
      </c>
      <c r="F567" s="23">
        <f>VLOOKUP(C567,'[1]1.CUADRO RESUMEN DE SITIOS '!$C$5:$L$1052,4,FALSE())</f>
        <v>9.1402479999999997</v>
      </c>
      <c r="G567" s="23">
        <f>VLOOKUP(C567,'[1]1.CUADRO RESUMEN DE SITIOS '!$C$5:$L$1052,5,FALSE())</f>
        <v>-75.141874000000001</v>
      </c>
      <c r="H567" s="23" t="str">
        <f>VLOOKUP(C567,'[1]1.CUADRO RESUMEN DE SITIOS '!$C$5:$L$1052,6,FALSE())</f>
        <v>Sucre</v>
      </c>
      <c r="I567" s="23" t="str">
        <f>VLOOKUP(C567,'[1]1.CUADRO RESUMEN DE SITIOS '!$C$5:$L$1052,7,FALSE())</f>
        <v>WOM</v>
      </c>
      <c r="J567" s="25" t="str">
        <f>VLOOKUP(C567,'[1]1.CUADRO RESUMEN DE SITIOS '!$C$5:$L$1052,8,FALSE())</f>
        <v>COSTA</v>
      </c>
      <c r="K567" s="23" t="str">
        <f>VLOOKUP(C567,'[1]1.CUADRO RESUMEN DE SITIOS '!$C$5:$L$1052,9,FALSE())</f>
        <v>Alfredo de la Cruz</v>
      </c>
      <c r="L567" s="26" t="str">
        <f>VLOOKUP(C567,'[1]1.CUADRO RESUMEN DE SITIOS '!$C$5:$L$1052,10,FALSE())</f>
        <v>Terminado</v>
      </c>
      <c r="M567" s="26">
        <v>8828119110</v>
      </c>
      <c r="N567" s="26">
        <f>VLOOKUP(M567,[1]LPU!$A$2:$G$1512,2,FALSE())</f>
        <v>107</v>
      </c>
      <c r="O567" s="26" t="str">
        <f>VLOOKUP(M567,[1]LPU!$A$2:$G$1512,3,FALSE)</f>
        <v>Mano de Obra Tecnico Electricista Certficado CONTE</v>
      </c>
      <c r="P567" s="26" t="str">
        <f>VLOOKUP(M567,[1]LPU!$A$2:$G$1512,4,FALSE())</f>
        <v>ENERGÍA</v>
      </c>
      <c r="Q567" s="26" t="str">
        <f>VLOOKUP(M567,[1]LPU!$A$2:$G$1512,5,FALSE())</f>
        <v>DIA</v>
      </c>
      <c r="R567" s="27">
        <f>VLOOKUP(M567,[1]LPU!$A$2:$G$1512,6,FALSE())</f>
        <v>136000</v>
      </c>
      <c r="S567" s="27" t="str">
        <f>VLOOKUP(M567,[1]LPU!$A$2:$G$1512,7,FALSE())</f>
        <v>LPU FLM</v>
      </c>
      <c r="T567" s="28">
        <v>1</v>
      </c>
      <c r="U567" s="29">
        <f t="shared" si="7"/>
        <v>136000</v>
      </c>
      <c r="V567" s="29" t="s">
        <v>77</v>
      </c>
      <c r="W567" s="30"/>
      <c r="X567" s="29" t="s">
        <v>254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ht="21" customHeight="1" x14ac:dyDescent="0.3">
      <c r="A568" s="22">
        <v>564</v>
      </c>
      <c r="B568" s="23">
        <v>1</v>
      </c>
      <c r="C568" s="23" t="s">
        <v>266</v>
      </c>
      <c r="D568" s="23" t="str">
        <f>VLOOKUP(C568,'[1]1.CUADRO RESUMEN DE SITIOS '!$C$5:$L$1052,2,FALSE())</f>
        <v>JSUC_00204</v>
      </c>
      <c r="E568" s="24">
        <f>VLOOKUP(C568,'[1]1.CUADRO RESUMEN DE SITIOS '!$C$5:$L$1052,3,FALSE())</f>
        <v>45933</v>
      </c>
      <c r="F568" s="23">
        <f>VLOOKUP(C568,'[1]1.CUADRO RESUMEN DE SITIOS '!$C$5:$L$1052,4,FALSE())</f>
        <v>9.1402479999999997</v>
      </c>
      <c r="G568" s="23">
        <f>VLOOKUP(C568,'[1]1.CUADRO RESUMEN DE SITIOS '!$C$5:$L$1052,5,FALSE())</f>
        <v>-75.141874000000001</v>
      </c>
      <c r="H568" s="23" t="str">
        <f>VLOOKUP(C568,'[1]1.CUADRO RESUMEN DE SITIOS '!$C$5:$L$1052,6,FALSE())</f>
        <v>Sucre</v>
      </c>
      <c r="I568" s="23" t="str">
        <f>VLOOKUP(C568,'[1]1.CUADRO RESUMEN DE SITIOS '!$C$5:$L$1052,7,FALSE())</f>
        <v>WOM</v>
      </c>
      <c r="J568" s="25" t="str">
        <f>VLOOKUP(C568,'[1]1.CUADRO RESUMEN DE SITIOS '!$C$5:$L$1052,8,FALSE())</f>
        <v>COSTA</v>
      </c>
      <c r="K568" s="23" t="str">
        <f>VLOOKUP(C568,'[1]1.CUADRO RESUMEN DE SITIOS '!$C$5:$L$1052,9,FALSE())</f>
        <v>Alfredo de la Cruz</v>
      </c>
      <c r="L568" s="26" t="str">
        <f>VLOOKUP(C568,'[1]1.CUADRO RESUMEN DE SITIOS '!$C$5:$L$1052,10,FALSE())</f>
        <v>Terminado</v>
      </c>
      <c r="M568" s="26">
        <v>8828119938</v>
      </c>
      <c r="N568" s="26">
        <f>VLOOKUP(M568,[1]LPU!$A$2:$G$1512,2,FALSE())</f>
        <v>23</v>
      </c>
      <c r="O568" s="26" t="str">
        <f>VLOOKUP(M568,[1]LPU!$A$2:$G$1512,3,FALSE)</f>
        <v>Reubicación de 01 BBU desde gabinete existente hacia nuevo gabinete, incluye conexión de alimentación en ambos planos y etiquetado</v>
      </c>
      <c r="P568" s="26" t="str">
        <f>VLOOKUP(M568,[1]LPU!$A$2:$G$1512,4,FALSE())</f>
        <v>ACCESO</v>
      </c>
      <c r="Q568" s="26" t="str">
        <f>VLOOKUP(M568,[1]LPU!$A$2:$G$1512,5,FALSE())</f>
        <v>Por sector</v>
      </c>
      <c r="R568" s="27">
        <f>VLOOKUP(M568,[1]LPU!$A$2:$G$1512,6,FALSE())</f>
        <v>217413</v>
      </c>
      <c r="S568" s="27" t="str">
        <f>VLOOKUP(M568,[1]LPU!$A$2:$G$1512,7,FALSE())</f>
        <v>LPU FLM</v>
      </c>
      <c r="T568" s="28">
        <v>1</v>
      </c>
      <c r="U568" s="29">
        <f t="shared" si="7"/>
        <v>217413</v>
      </c>
      <c r="V568" s="29" t="s">
        <v>77</v>
      </c>
      <c r="W568" s="30"/>
      <c r="X568" s="29" t="s">
        <v>254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ht="21" customHeight="1" x14ac:dyDescent="0.3">
      <c r="A569" s="22">
        <v>565</v>
      </c>
      <c r="B569" s="23">
        <v>1</v>
      </c>
      <c r="C569" s="23" t="s">
        <v>266</v>
      </c>
      <c r="D569" s="23" t="str">
        <f>VLOOKUP(C569,'[1]1.CUADRO RESUMEN DE SITIOS '!$C$5:$L$1052,2,FALSE())</f>
        <v>JSUC_00204</v>
      </c>
      <c r="E569" s="24">
        <f>VLOOKUP(C569,'[1]1.CUADRO RESUMEN DE SITIOS '!$C$5:$L$1052,3,FALSE())</f>
        <v>45933</v>
      </c>
      <c r="F569" s="23">
        <f>VLOOKUP(C569,'[1]1.CUADRO RESUMEN DE SITIOS '!$C$5:$L$1052,4,FALSE())</f>
        <v>9.1402479999999997</v>
      </c>
      <c r="G569" s="23">
        <f>VLOOKUP(C569,'[1]1.CUADRO RESUMEN DE SITIOS '!$C$5:$L$1052,5,FALSE())</f>
        <v>-75.141874000000001</v>
      </c>
      <c r="H569" s="23" t="str">
        <f>VLOOKUP(C569,'[1]1.CUADRO RESUMEN DE SITIOS '!$C$5:$L$1052,6,FALSE())</f>
        <v>Sucre</v>
      </c>
      <c r="I569" s="23" t="str">
        <f>VLOOKUP(C569,'[1]1.CUADRO RESUMEN DE SITIOS '!$C$5:$L$1052,7,FALSE())</f>
        <v>WOM</v>
      </c>
      <c r="J569" s="25" t="str">
        <f>VLOOKUP(C569,'[1]1.CUADRO RESUMEN DE SITIOS '!$C$5:$L$1052,8,FALSE())</f>
        <v>COSTA</v>
      </c>
      <c r="K569" s="23" t="str">
        <f>VLOOKUP(C569,'[1]1.CUADRO RESUMEN DE SITIOS '!$C$5:$L$1052,9,FALSE())</f>
        <v>Alfredo de la Cruz</v>
      </c>
      <c r="L569" s="26" t="str">
        <f>VLOOKUP(C569,'[1]1.CUADRO RESUMEN DE SITIOS '!$C$5:$L$1052,10,FALSE())</f>
        <v>Terminado</v>
      </c>
      <c r="M569" s="26">
        <v>8828119402</v>
      </c>
      <c r="N569" s="26">
        <f>VLOOKUP(M569,[1]LPU!$A$2:$G$1512,2,FALSE())</f>
        <v>4</v>
      </c>
      <c r="O569" s="26" t="str">
        <f>VLOOKUP(M569,[1]LPU!$A$2:$G$1512,3,FALSE)</f>
        <v>Apertura y Cierre de Reja de Seguridad para Revisión de Baterías</v>
      </c>
      <c r="P569" s="26" t="str">
        <f>VLOOKUP(M569,[1]LPU!$A$2:$G$1512,4,FALSE())</f>
        <v>ACCESO</v>
      </c>
      <c r="Q569" s="26" t="str">
        <f>VLOOKUP(M569,[1]LPU!$A$2:$G$1512,5,FALSE())</f>
        <v>U</v>
      </c>
      <c r="R569" s="27">
        <f>VLOOKUP(M569,[1]LPU!$A$2:$G$1512,6,FALSE())</f>
        <v>96900</v>
      </c>
      <c r="S569" s="27" t="str">
        <f>VLOOKUP(M569,[1]LPU!$A$2:$G$1512,7,FALSE())</f>
        <v>LPU FLM</v>
      </c>
      <c r="T569" s="28">
        <v>1</v>
      </c>
      <c r="U569" s="29">
        <f t="shared" si="7"/>
        <v>96900</v>
      </c>
      <c r="V569" s="29" t="s">
        <v>77</v>
      </c>
      <c r="W569" s="30"/>
      <c r="X569" s="29" t="s">
        <v>254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ht="21" customHeight="1" x14ac:dyDescent="0.3">
      <c r="A570" s="22">
        <v>566</v>
      </c>
      <c r="B570" s="23">
        <v>1</v>
      </c>
      <c r="C570" s="23" t="s">
        <v>266</v>
      </c>
      <c r="D570" s="23" t="str">
        <f>VLOOKUP(C570,'[1]1.CUADRO RESUMEN DE SITIOS '!$C$5:$L$1052,2,FALSE())</f>
        <v>JSUC_00204</v>
      </c>
      <c r="E570" s="24">
        <f>VLOOKUP(C570,'[1]1.CUADRO RESUMEN DE SITIOS '!$C$5:$L$1052,3,FALSE())</f>
        <v>45933</v>
      </c>
      <c r="F570" s="23">
        <f>VLOOKUP(C570,'[1]1.CUADRO RESUMEN DE SITIOS '!$C$5:$L$1052,4,FALSE())</f>
        <v>9.1402479999999997</v>
      </c>
      <c r="G570" s="23">
        <f>VLOOKUP(C570,'[1]1.CUADRO RESUMEN DE SITIOS '!$C$5:$L$1052,5,FALSE())</f>
        <v>-75.141874000000001</v>
      </c>
      <c r="H570" s="23" t="str">
        <f>VLOOKUP(C570,'[1]1.CUADRO RESUMEN DE SITIOS '!$C$5:$L$1052,6,FALSE())</f>
        <v>Sucre</v>
      </c>
      <c r="I570" s="23" t="str">
        <f>VLOOKUP(C570,'[1]1.CUADRO RESUMEN DE SITIOS '!$C$5:$L$1052,7,FALSE())</f>
        <v>WOM</v>
      </c>
      <c r="J570" s="25" t="str">
        <f>VLOOKUP(C570,'[1]1.CUADRO RESUMEN DE SITIOS '!$C$5:$L$1052,8,FALSE())</f>
        <v>COSTA</v>
      </c>
      <c r="K570" s="23" t="str">
        <f>VLOOKUP(C570,'[1]1.CUADRO RESUMEN DE SITIOS '!$C$5:$L$1052,9,FALSE())</f>
        <v>Alfredo de la Cruz</v>
      </c>
      <c r="L570" s="26" t="str">
        <f>VLOOKUP(C570,'[1]1.CUADRO RESUMEN DE SITIOS '!$C$5:$L$1052,10,FALSE())</f>
        <v>Terminado</v>
      </c>
      <c r="M570" s="26">
        <v>8828119250</v>
      </c>
      <c r="N570" s="26">
        <f>VLOOKUP(M570,[1]LPU!$A$2:$G$1512,2,FALSE())</f>
        <v>0</v>
      </c>
      <c r="O570" s="26" t="str">
        <f>VLOOKUP(M570,[1]LPU!$A$2:$G$1512,3,FALSE)</f>
        <v>Suministro e instalación coraza americana de 1 1/2" - Incluye 100% accesorios</v>
      </c>
      <c r="P570" s="26" t="str">
        <f>VLOOKUP(M570,[1]LPU!$A$2:$G$1512,4,FALSE())</f>
        <v>Variables</v>
      </c>
      <c r="Q570" s="26" t="str">
        <f>VLOOKUP(M570,[1]LPU!$A$2:$G$1512,5,FALSE())</f>
        <v>ml</v>
      </c>
      <c r="R570" s="27">
        <f>VLOOKUP(M570,[1]LPU!$A$2:$G$1512,6,FALSE())</f>
        <v>12410</v>
      </c>
      <c r="S570" s="27" t="str">
        <f>VLOOKUP(M570,[1]LPU!$A$2:$G$1512,7,FALSE())</f>
        <v>LPU FO</v>
      </c>
      <c r="T570" s="28">
        <v>8</v>
      </c>
      <c r="U570" s="29">
        <f t="shared" si="7"/>
        <v>99280</v>
      </c>
      <c r="V570" s="29" t="s">
        <v>77</v>
      </c>
      <c r="W570" s="30"/>
      <c r="X570" s="29" t="s">
        <v>254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ht="21" customHeight="1" x14ac:dyDescent="0.3">
      <c r="A571" s="22">
        <v>567</v>
      </c>
      <c r="B571" s="23">
        <v>1</v>
      </c>
      <c r="C571" s="23" t="s">
        <v>267</v>
      </c>
      <c r="D571" s="23" t="str">
        <f>VLOOKUP(C571,'[1]1.CUADRO RESUMEN DE SITIOS '!$C$5:$L$1052,2,FALSE())</f>
        <v>JSUC_00026</v>
      </c>
      <c r="E571" s="24">
        <f>VLOOKUP(C571,'[1]1.CUADRO RESUMEN DE SITIOS '!$C$5:$L$1052,3,FALSE())</f>
        <v>45934</v>
      </c>
      <c r="F571" s="23">
        <f>VLOOKUP(C571,'[1]1.CUADRO RESUMEN DE SITIOS '!$C$5:$L$1052,4,FALSE())</f>
        <v>9.3669539999999998</v>
      </c>
      <c r="G571" s="23">
        <f>VLOOKUP(C571,'[1]1.CUADRO RESUMEN DE SITIOS '!$C$5:$L$1052,5,FALSE())</f>
        <v>-74.968976999999995</v>
      </c>
      <c r="H571" s="23" t="str">
        <f>VLOOKUP(C571,'[1]1.CUADRO RESUMEN DE SITIOS '!$C$5:$L$1052,6,FALSE())</f>
        <v>Sucre</v>
      </c>
      <c r="I571" s="23" t="str">
        <f>VLOOKUP(C571,'[1]1.CUADRO RESUMEN DE SITIOS '!$C$5:$L$1052,7,FALSE())</f>
        <v>WOM</v>
      </c>
      <c r="J571" s="25" t="str">
        <f>VLOOKUP(C571,'[1]1.CUADRO RESUMEN DE SITIOS '!$C$5:$L$1052,8,FALSE())</f>
        <v>COSTA</v>
      </c>
      <c r="K571" s="23" t="str">
        <f>VLOOKUP(C571,'[1]1.CUADRO RESUMEN DE SITIOS '!$C$5:$L$1052,9,FALSE())</f>
        <v>Alfredo de la Cruz</v>
      </c>
      <c r="L571" s="26" t="str">
        <f>VLOOKUP(C571,'[1]1.CUADRO RESUMEN DE SITIOS '!$C$5:$L$1052,10,FALSE())</f>
        <v>Terminado</v>
      </c>
      <c r="M571" s="26">
        <v>8828119492</v>
      </c>
      <c r="N571" s="26">
        <f>VLOOKUP(M571,[1]LPU!$A$2:$G$1512,2,FALSE())</f>
        <v>53</v>
      </c>
      <c r="O571" s="26" t="str">
        <f>VLOOKUP(M571,[1]LPU!$A$2:$G$1512,3,FALSE)</f>
        <v>Instalación Banco de Baterias para Rectificadores - Aplica para ampliaciones.</v>
      </c>
      <c r="P571" s="26" t="str">
        <f>VLOOKUP(M571,[1]LPU!$A$2:$G$1512,4,FALSE())</f>
        <v>ENERGÍA</v>
      </c>
      <c r="Q571" s="26" t="str">
        <f>VLOOKUP(M571,[1]LPU!$A$2:$G$1512,5,FALSE())</f>
        <v>U</v>
      </c>
      <c r="R571" s="27">
        <f>VLOOKUP(M571,[1]LPU!$A$2:$G$1512,6,FALSE())</f>
        <v>102340</v>
      </c>
      <c r="S571" s="27" t="str">
        <f>VLOOKUP(M571,[1]LPU!$A$2:$G$1512,7,FALSE())</f>
        <v>LPU FLM</v>
      </c>
      <c r="T571" s="28">
        <v>1</v>
      </c>
      <c r="U571" s="29">
        <f t="shared" si="7"/>
        <v>102340</v>
      </c>
      <c r="V571" s="29" t="s">
        <v>77</v>
      </c>
      <c r="W571" s="30"/>
      <c r="X571" s="29" t="s">
        <v>254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ht="21" customHeight="1" x14ac:dyDescent="0.3">
      <c r="A572" s="22">
        <v>568</v>
      </c>
      <c r="B572" s="23">
        <v>1</v>
      </c>
      <c r="C572" s="23" t="s">
        <v>267</v>
      </c>
      <c r="D572" s="23" t="str">
        <f>VLOOKUP(C572,'[1]1.CUADRO RESUMEN DE SITIOS '!$C$5:$L$1052,2,FALSE())</f>
        <v>JSUC_00026</v>
      </c>
      <c r="E572" s="24">
        <f>VLOOKUP(C572,'[1]1.CUADRO RESUMEN DE SITIOS '!$C$5:$L$1052,3,FALSE())</f>
        <v>45934</v>
      </c>
      <c r="F572" s="23">
        <f>VLOOKUP(C572,'[1]1.CUADRO RESUMEN DE SITIOS '!$C$5:$L$1052,4,FALSE())</f>
        <v>9.3669539999999998</v>
      </c>
      <c r="G572" s="23">
        <f>VLOOKUP(C572,'[1]1.CUADRO RESUMEN DE SITIOS '!$C$5:$L$1052,5,FALSE())</f>
        <v>-74.968976999999995</v>
      </c>
      <c r="H572" s="23" t="str">
        <f>VLOOKUP(C572,'[1]1.CUADRO RESUMEN DE SITIOS '!$C$5:$L$1052,6,FALSE())</f>
        <v>Sucre</v>
      </c>
      <c r="I572" s="23" t="str">
        <f>VLOOKUP(C572,'[1]1.CUADRO RESUMEN DE SITIOS '!$C$5:$L$1052,7,FALSE())</f>
        <v>WOM</v>
      </c>
      <c r="J572" s="25" t="str">
        <f>VLOOKUP(C572,'[1]1.CUADRO RESUMEN DE SITIOS '!$C$5:$L$1052,8,FALSE())</f>
        <v>COSTA</v>
      </c>
      <c r="K572" s="23" t="str">
        <f>VLOOKUP(C572,'[1]1.CUADRO RESUMEN DE SITIOS '!$C$5:$L$1052,9,FALSE())</f>
        <v>Alfredo de la Cruz</v>
      </c>
      <c r="L572" s="26" t="str">
        <f>VLOOKUP(C572,'[1]1.CUADRO RESUMEN DE SITIOS '!$C$5:$L$1052,10,FALSE())</f>
        <v>Terminado</v>
      </c>
      <c r="M572" s="26">
        <v>8828119512</v>
      </c>
      <c r="N572" s="26">
        <f>VLOOKUP(M572,[1]LPU!$A$2:$G$1512,2,FALSE())</f>
        <v>55</v>
      </c>
      <c r="O572" s="26" t="str">
        <f>VLOOKUP(M572,[1]LPU!$A$2:$G$1512,3,FALSE)</f>
        <v>Transporte Banco de Baterias</v>
      </c>
      <c r="P572" s="26" t="str">
        <f>VLOOKUP(M572,[1]LPU!$A$2:$G$1512,4,FALSE())</f>
        <v>ENERGÍA</v>
      </c>
      <c r="Q572" s="26" t="str">
        <f>VLOOKUP(M572,[1]LPU!$A$2:$G$1512,5,FALSE())</f>
        <v>U</v>
      </c>
      <c r="R572" s="27">
        <f>VLOOKUP(M572,[1]LPU!$A$2:$G$1512,6,FALSE())</f>
        <v>82212</v>
      </c>
      <c r="S572" s="27" t="str">
        <f>VLOOKUP(M572,[1]LPU!$A$2:$G$1512,7,FALSE())</f>
        <v>LPU FLM</v>
      </c>
      <c r="T572" s="28">
        <v>1</v>
      </c>
      <c r="U572" s="29">
        <f t="shared" si="7"/>
        <v>82212</v>
      </c>
      <c r="V572" s="29" t="s">
        <v>77</v>
      </c>
      <c r="W572" s="30"/>
      <c r="X572" s="29" t="s">
        <v>254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ht="21" customHeight="1" x14ac:dyDescent="0.3">
      <c r="A573" s="22">
        <v>569</v>
      </c>
      <c r="B573" s="23">
        <v>1</v>
      </c>
      <c r="C573" s="23" t="s">
        <v>267</v>
      </c>
      <c r="D573" s="23" t="str">
        <f>VLOOKUP(C573,'[1]1.CUADRO RESUMEN DE SITIOS '!$C$5:$L$1052,2,FALSE())</f>
        <v>JSUC_00026</v>
      </c>
      <c r="E573" s="24">
        <f>VLOOKUP(C573,'[1]1.CUADRO RESUMEN DE SITIOS '!$C$5:$L$1052,3,FALSE())</f>
        <v>45934</v>
      </c>
      <c r="F573" s="23">
        <f>VLOOKUP(C573,'[1]1.CUADRO RESUMEN DE SITIOS '!$C$5:$L$1052,4,FALSE())</f>
        <v>9.3669539999999998</v>
      </c>
      <c r="G573" s="23">
        <f>VLOOKUP(C573,'[1]1.CUADRO RESUMEN DE SITIOS '!$C$5:$L$1052,5,FALSE())</f>
        <v>-74.968976999999995</v>
      </c>
      <c r="H573" s="23" t="str">
        <f>VLOOKUP(C573,'[1]1.CUADRO RESUMEN DE SITIOS '!$C$5:$L$1052,6,FALSE())</f>
        <v>Sucre</v>
      </c>
      <c r="I573" s="23" t="str">
        <f>VLOOKUP(C573,'[1]1.CUADRO RESUMEN DE SITIOS '!$C$5:$L$1052,7,FALSE())</f>
        <v>WOM</v>
      </c>
      <c r="J573" s="25" t="str">
        <f>VLOOKUP(C573,'[1]1.CUADRO RESUMEN DE SITIOS '!$C$5:$L$1052,8,FALSE())</f>
        <v>COSTA</v>
      </c>
      <c r="K573" s="23" t="str">
        <f>VLOOKUP(C573,'[1]1.CUADRO RESUMEN DE SITIOS '!$C$5:$L$1052,9,FALSE())</f>
        <v>Alfredo de la Cruz</v>
      </c>
      <c r="L573" s="26" t="str">
        <f>VLOOKUP(C573,'[1]1.CUADRO RESUMEN DE SITIOS '!$C$5:$L$1052,10,FALSE())</f>
        <v>Terminado</v>
      </c>
      <c r="M573" s="26">
        <v>8828118999</v>
      </c>
      <c r="N573" s="26">
        <f>VLOOKUP(M573,[1]LPU!$A$2:$G$1512,2,FALSE())</f>
        <v>0</v>
      </c>
      <c r="O573" s="26" t="str">
        <f>VLOOKUP(M573,[1]LPU!$A$2:$G$1512,3,FALSE)</f>
        <v>Suministro e instalación de cable UTP Categoría 6, con conectores en sus extremos, certificado</v>
      </c>
      <c r="P573" s="26" t="str">
        <f>VLOOKUP(M573,[1]LPU!$A$2:$G$1512,4,FALSE())</f>
        <v>Item Critico</v>
      </c>
      <c r="Q573" s="26" t="str">
        <f>VLOOKUP(M573,[1]LPU!$A$2:$G$1512,5,FALSE())</f>
        <v>m</v>
      </c>
      <c r="R573" s="27">
        <f>VLOOKUP(M573,[1]LPU!$A$2:$G$1512,6,FALSE())</f>
        <v>5913</v>
      </c>
      <c r="S573" s="27" t="str">
        <f>VLOOKUP(M573,[1]LPU!$A$2:$G$1512,7,FALSE())</f>
        <v>LPU FO Propia</v>
      </c>
      <c r="T573" s="28">
        <v>3</v>
      </c>
      <c r="U573" s="29">
        <f t="shared" si="7"/>
        <v>17739</v>
      </c>
      <c r="V573" s="29" t="s">
        <v>77</v>
      </c>
      <c r="W573" s="30"/>
      <c r="X573" s="29" t="s">
        <v>254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ht="21" customHeight="1" x14ac:dyDescent="0.3">
      <c r="A574" s="22">
        <v>570</v>
      </c>
      <c r="B574" s="23">
        <v>1</v>
      </c>
      <c r="C574" s="23" t="s">
        <v>267</v>
      </c>
      <c r="D574" s="23" t="str">
        <f>VLOOKUP(C574,'[1]1.CUADRO RESUMEN DE SITIOS '!$C$5:$L$1052,2,FALSE())</f>
        <v>JSUC_00026</v>
      </c>
      <c r="E574" s="24">
        <f>VLOOKUP(C574,'[1]1.CUADRO RESUMEN DE SITIOS '!$C$5:$L$1052,3,FALSE())</f>
        <v>45934</v>
      </c>
      <c r="F574" s="23">
        <f>VLOOKUP(C574,'[1]1.CUADRO RESUMEN DE SITIOS '!$C$5:$L$1052,4,FALSE())</f>
        <v>9.3669539999999998</v>
      </c>
      <c r="G574" s="23">
        <f>VLOOKUP(C574,'[1]1.CUADRO RESUMEN DE SITIOS '!$C$5:$L$1052,5,FALSE())</f>
        <v>-74.968976999999995</v>
      </c>
      <c r="H574" s="23" t="str">
        <f>VLOOKUP(C574,'[1]1.CUADRO RESUMEN DE SITIOS '!$C$5:$L$1052,6,FALSE())</f>
        <v>Sucre</v>
      </c>
      <c r="I574" s="23" t="str">
        <f>VLOOKUP(C574,'[1]1.CUADRO RESUMEN DE SITIOS '!$C$5:$L$1052,7,FALSE())</f>
        <v>WOM</v>
      </c>
      <c r="J574" s="25" t="str">
        <f>VLOOKUP(C574,'[1]1.CUADRO RESUMEN DE SITIOS '!$C$5:$L$1052,8,FALSE())</f>
        <v>COSTA</v>
      </c>
      <c r="K574" s="23" t="str">
        <f>VLOOKUP(C574,'[1]1.CUADRO RESUMEN DE SITIOS '!$C$5:$L$1052,9,FALSE())</f>
        <v>Alfredo de la Cruz</v>
      </c>
      <c r="L574" s="26" t="str">
        <f>VLOOKUP(C574,'[1]1.CUADRO RESUMEN DE SITIOS '!$C$5:$L$1052,10,FALSE())</f>
        <v>Terminado</v>
      </c>
      <c r="M574" s="26">
        <v>8828118925</v>
      </c>
      <c r="N574" s="26">
        <f>VLOOKUP(M574,[1]LPU!$A$2:$G$1512,2,FALSE())</f>
        <v>87</v>
      </c>
      <c r="O574" s="26" t="str">
        <f>VLOOKUP(M574,[1]LPU!$A$2:$G$1512,3,FALSE)</f>
        <v>Suministro e Instalacion de cable multifilar #4 awg tipo soldador.</v>
      </c>
      <c r="P574" s="26" t="str">
        <f>VLOOKUP(M574,[1]LPU!$A$2:$G$1512,4,FALSE())</f>
        <v>ENERGÍA</v>
      </c>
      <c r="Q574" s="26" t="str">
        <f>VLOOKUP(M574,[1]LPU!$A$2:$G$1512,5,FALSE())</f>
        <v>ML</v>
      </c>
      <c r="R574" s="27">
        <f>VLOOKUP(M574,[1]LPU!$A$2:$G$1512,6,FALSE())</f>
        <v>60815.8</v>
      </c>
      <c r="S574" s="27" t="str">
        <f>VLOOKUP(M574,[1]LPU!$A$2:$G$1512,7,FALSE())</f>
        <v>LPU FLM</v>
      </c>
      <c r="T574" s="28">
        <v>10</v>
      </c>
      <c r="U574" s="29">
        <f t="shared" si="7"/>
        <v>608158</v>
      </c>
      <c r="V574" s="29" t="s">
        <v>77</v>
      </c>
      <c r="W574" s="30"/>
      <c r="X574" s="29" t="s">
        <v>254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ht="21" customHeight="1" x14ac:dyDescent="0.3">
      <c r="A575" s="22">
        <v>571</v>
      </c>
      <c r="B575" s="23">
        <v>1</v>
      </c>
      <c r="C575" s="23" t="s">
        <v>267</v>
      </c>
      <c r="D575" s="23" t="str">
        <f>VLOOKUP(C575,'[1]1.CUADRO RESUMEN DE SITIOS '!$C$5:$L$1052,2,FALSE())</f>
        <v>JSUC_00026</v>
      </c>
      <c r="E575" s="24">
        <f>VLOOKUP(C575,'[1]1.CUADRO RESUMEN DE SITIOS '!$C$5:$L$1052,3,FALSE())</f>
        <v>45934</v>
      </c>
      <c r="F575" s="23">
        <f>VLOOKUP(C575,'[1]1.CUADRO RESUMEN DE SITIOS '!$C$5:$L$1052,4,FALSE())</f>
        <v>9.3669539999999998</v>
      </c>
      <c r="G575" s="23">
        <f>VLOOKUP(C575,'[1]1.CUADRO RESUMEN DE SITIOS '!$C$5:$L$1052,5,FALSE())</f>
        <v>-74.968976999999995</v>
      </c>
      <c r="H575" s="23" t="str">
        <f>VLOOKUP(C575,'[1]1.CUADRO RESUMEN DE SITIOS '!$C$5:$L$1052,6,FALSE())</f>
        <v>Sucre</v>
      </c>
      <c r="I575" s="23" t="str">
        <f>VLOOKUP(C575,'[1]1.CUADRO RESUMEN DE SITIOS '!$C$5:$L$1052,7,FALSE())</f>
        <v>WOM</v>
      </c>
      <c r="J575" s="25" t="str">
        <f>VLOOKUP(C575,'[1]1.CUADRO RESUMEN DE SITIOS '!$C$5:$L$1052,8,FALSE())</f>
        <v>COSTA</v>
      </c>
      <c r="K575" s="23" t="str">
        <f>VLOOKUP(C575,'[1]1.CUADRO RESUMEN DE SITIOS '!$C$5:$L$1052,9,FALSE())</f>
        <v>Alfredo de la Cruz</v>
      </c>
      <c r="L575" s="26" t="str">
        <f>VLOOKUP(C575,'[1]1.CUADRO RESUMEN DE SITIOS '!$C$5:$L$1052,10,FALSE())</f>
        <v>Terminado</v>
      </c>
      <c r="M575" s="26">
        <v>8828118868</v>
      </c>
      <c r="N575" s="26">
        <f>VLOOKUP(M575,[1]LPU!$A$2:$G$1512,2,FALSE())</f>
        <v>81</v>
      </c>
      <c r="O575" s="26" t="str">
        <f>VLOOKUP(M575,[1]LPU!$A$2:$G$1512,3,FALSE)</f>
        <v>Suministro e Instalacion de terminal para cable awg # 2 en cobre estañado un ojo</v>
      </c>
      <c r="P575" s="26" t="str">
        <f>VLOOKUP(M575,[1]LPU!$A$2:$G$1512,4,FALSE())</f>
        <v>ENERGÍA</v>
      </c>
      <c r="Q575" s="26" t="str">
        <f>VLOOKUP(M575,[1]LPU!$A$2:$G$1512,5,FALSE())</f>
        <v>U</v>
      </c>
      <c r="R575" s="27">
        <f>VLOOKUP(M575,[1]LPU!$A$2:$G$1512,6,FALSE())</f>
        <v>2347</v>
      </c>
      <c r="S575" s="27" t="str">
        <f>VLOOKUP(M575,[1]LPU!$A$2:$G$1512,7,FALSE())</f>
        <v>LPU FLM</v>
      </c>
      <c r="T575" s="28">
        <v>4</v>
      </c>
      <c r="U575" s="29">
        <f t="shared" si="7"/>
        <v>9388</v>
      </c>
      <c r="V575" s="29" t="s">
        <v>77</v>
      </c>
      <c r="W575" s="30"/>
      <c r="X575" s="29" t="s">
        <v>254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ht="21" customHeight="1" x14ac:dyDescent="0.3">
      <c r="A576" s="22">
        <v>572</v>
      </c>
      <c r="B576" s="23">
        <v>1</v>
      </c>
      <c r="C576" s="23" t="s">
        <v>267</v>
      </c>
      <c r="D576" s="23" t="str">
        <f>VLOOKUP(C576,'[1]1.CUADRO RESUMEN DE SITIOS '!$C$5:$L$1052,2,FALSE())</f>
        <v>JSUC_00026</v>
      </c>
      <c r="E576" s="24">
        <f>VLOOKUP(C576,'[1]1.CUADRO RESUMEN DE SITIOS '!$C$5:$L$1052,3,FALSE())</f>
        <v>45934</v>
      </c>
      <c r="F576" s="23">
        <f>VLOOKUP(C576,'[1]1.CUADRO RESUMEN DE SITIOS '!$C$5:$L$1052,4,FALSE())</f>
        <v>9.3669539999999998</v>
      </c>
      <c r="G576" s="23">
        <f>VLOOKUP(C576,'[1]1.CUADRO RESUMEN DE SITIOS '!$C$5:$L$1052,5,FALSE())</f>
        <v>-74.968976999999995</v>
      </c>
      <c r="H576" s="23" t="str">
        <f>VLOOKUP(C576,'[1]1.CUADRO RESUMEN DE SITIOS '!$C$5:$L$1052,6,FALSE())</f>
        <v>Sucre</v>
      </c>
      <c r="I576" s="23" t="str">
        <f>VLOOKUP(C576,'[1]1.CUADRO RESUMEN DE SITIOS '!$C$5:$L$1052,7,FALSE())</f>
        <v>WOM</v>
      </c>
      <c r="J576" s="25" t="str">
        <f>VLOOKUP(C576,'[1]1.CUADRO RESUMEN DE SITIOS '!$C$5:$L$1052,8,FALSE())</f>
        <v>COSTA</v>
      </c>
      <c r="K576" s="23" t="str">
        <f>VLOOKUP(C576,'[1]1.CUADRO RESUMEN DE SITIOS '!$C$5:$L$1052,9,FALSE())</f>
        <v>Alfredo de la Cruz</v>
      </c>
      <c r="L576" s="26" t="str">
        <f>VLOOKUP(C576,'[1]1.CUADRO RESUMEN DE SITIOS '!$C$5:$L$1052,10,FALSE())</f>
        <v>Terminado</v>
      </c>
      <c r="M576" s="26">
        <v>8828119980</v>
      </c>
      <c r="N576" s="26">
        <f>VLOOKUP(M576,[1]LPU!$A$2:$G$1512,2,FALSE())</f>
        <v>169</v>
      </c>
      <c r="O576" s="26" t="str">
        <f>VLOOKUP(M576,[1]LPU!$A$2:$G$1512,3,FALSE)</f>
        <v>Reforzamiento Protección Concreto para Rack de Baterías Incluye Materiales</v>
      </c>
      <c r="P576" s="26" t="str">
        <f>VLOOKUP(M576,[1]LPU!$A$2:$G$1512,4,FALSE())</f>
        <v>LOCATIVO</v>
      </c>
      <c r="Q576" s="26" t="str">
        <f>VLOOKUP(M576,[1]LPU!$A$2:$G$1512,5,FALSE())</f>
        <v>U</v>
      </c>
      <c r="R576" s="27">
        <f>VLOOKUP(M576,[1]LPU!$A$2:$G$1512,6,FALSE())</f>
        <v>114750</v>
      </c>
      <c r="S576" s="27" t="str">
        <f>VLOOKUP(M576,[1]LPU!$A$2:$G$1512,7,FALSE())</f>
        <v>LPU FLM</v>
      </c>
      <c r="T576" s="28">
        <v>1</v>
      </c>
      <c r="U576" s="29">
        <f t="shared" si="7"/>
        <v>114750</v>
      </c>
      <c r="V576" s="29" t="s">
        <v>77</v>
      </c>
      <c r="W576" s="30"/>
      <c r="X576" s="29" t="s">
        <v>254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ht="21" customHeight="1" x14ac:dyDescent="0.3">
      <c r="A577" s="22">
        <v>573</v>
      </c>
      <c r="B577" s="23">
        <v>1</v>
      </c>
      <c r="C577" s="23" t="s">
        <v>267</v>
      </c>
      <c r="D577" s="23" t="str">
        <f>VLOOKUP(C577,'[1]1.CUADRO RESUMEN DE SITIOS '!$C$5:$L$1052,2,FALSE())</f>
        <v>JSUC_00026</v>
      </c>
      <c r="E577" s="24">
        <f>VLOOKUP(C577,'[1]1.CUADRO RESUMEN DE SITIOS '!$C$5:$L$1052,3,FALSE())</f>
        <v>45934</v>
      </c>
      <c r="F577" s="23">
        <f>VLOOKUP(C577,'[1]1.CUADRO RESUMEN DE SITIOS '!$C$5:$L$1052,4,FALSE())</f>
        <v>9.3669539999999998</v>
      </c>
      <c r="G577" s="23">
        <f>VLOOKUP(C577,'[1]1.CUADRO RESUMEN DE SITIOS '!$C$5:$L$1052,5,FALSE())</f>
        <v>-74.968976999999995</v>
      </c>
      <c r="H577" s="23" t="str">
        <f>VLOOKUP(C577,'[1]1.CUADRO RESUMEN DE SITIOS '!$C$5:$L$1052,6,FALSE())</f>
        <v>Sucre</v>
      </c>
      <c r="I577" s="23" t="str">
        <f>VLOOKUP(C577,'[1]1.CUADRO RESUMEN DE SITIOS '!$C$5:$L$1052,7,FALSE())</f>
        <v>WOM</v>
      </c>
      <c r="J577" s="25" t="str">
        <f>VLOOKUP(C577,'[1]1.CUADRO RESUMEN DE SITIOS '!$C$5:$L$1052,8,FALSE())</f>
        <v>COSTA</v>
      </c>
      <c r="K577" s="23" t="str">
        <f>VLOOKUP(C577,'[1]1.CUADRO RESUMEN DE SITIOS '!$C$5:$L$1052,9,FALSE())</f>
        <v>Alfredo de la Cruz</v>
      </c>
      <c r="L577" s="26" t="str">
        <f>VLOOKUP(C577,'[1]1.CUADRO RESUMEN DE SITIOS '!$C$5:$L$1052,10,FALSE())</f>
        <v>Terminado</v>
      </c>
      <c r="M577" s="26">
        <v>8828119848</v>
      </c>
      <c r="N577" s="26">
        <f>VLOOKUP(M577,[1]LPU!$A$2:$G$1512,2,FALSE())</f>
        <v>157</v>
      </c>
      <c r="O577" s="26" t="str">
        <f>VLOOKUP(M577,[1]LPU!$A$2:$G$1512,3,FALSE)</f>
        <v>Reja para equipo cabinet x 2 baterías</v>
      </c>
      <c r="P577" s="26" t="str">
        <f>VLOOKUP(M577,[1]LPU!$A$2:$G$1512,4,FALSE())</f>
        <v>LOCATIVO</v>
      </c>
      <c r="Q577" s="26" t="str">
        <f>VLOOKUP(M577,[1]LPU!$A$2:$G$1512,5,FALSE())</f>
        <v>U</v>
      </c>
      <c r="R577" s="27">
        <f>VLOOKUP(M577,[1]LPU!$A$2:$G$1512,6,FALSE())</f>
        <v>415303</v>
      </c>
      <c r="S577" s="27" t="str">
        <f>VLOOKUP(M577,[1]LPU!$A$2:$G$1512,7,FALSE())</f>
        <v>LPU FLM</v>
      </c>
      <c r="T577" s="28">
        <v>1</v>
      </c>
      <c r="U577" s="29">
        <f t="shared" si="7"/>
        <v>415303</v>
      </c>
      <c r="V577" s="29" t="s">
        <v>77</v>
      </c>
      <c r="W577" s="30"/>
      <c r="X577" s="29" t="s">
        <v>254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ht="21" customHeight="1" x14ac:dyDescent="0.3">
      <c r="A578" s="22">
        <v>574</v>
      </c>
      <c r="B578" s="23">
        <v>1</v>
      </c>
      <c r="C578" s="23" t="s">
        <v>267</v>
      </c>
      <c r="D578" s="23" t="str">
        <f>VLOOKUP(C578,'[1]1.CUADRO RESUMEN DE SITIOS '!$C$5:$L$1052,2,FALSE())</f>
        <v>JSUC_00026</v>
      </c>
      <c r="E578" s="24">
        <f>VLOOKUP(C578,'[1]1.CUADRO RESUMEN DE SITIOS '!$C$5:$L$1052,3,FALSE())</f>
        <v>45934</v>
      </c>
      <c r="F578" s="23">
        <f>VLOOKUP(C578,'[1]1.CUADRO RESUMEN DE SITIOS '!$C$5:$L$1052,4,FALSE())</f>
        <v>9.3669539999999998</v>
      </c>
      <c r="G578" s="23">
        <f>VLOOKUP(C578,'[1]1.CUADRO RESUMEN DE SITIOS '!$C$5:$L$1052,5,FALSE())</f>
        <v>-74.968976999999995</v>
      </c>
      <c r="H578" s="23" t="str">
        <f>VLOOKUP(C578,'[1]1.CUADRO RESUMEN DE SITIOS '!$C$5:$L$1052,6,FALSE())</f>
        <v>Sucre</v>
      </c>
      <c r="I578" s="23" t="str">
        <f>VLOOKUP(C578,'[1]1.CUADRO RESUMEN DE SITIOS '!$C$5:$L$1052,7,FALSE())</f>
        <v>WOM</v>
      </c>
      <c r="J578" s="25" t="str">
        <f>VLOOKUP(C578,'[1]1.CUADRO RESUMEN DE SITIOS '!$C$5:$L$1052,8,FALSE())</f>
        <v>COSTA</v>
      </c>
      <c r="K578" s="23" t="str">
        <f>VLOOKUP(C578,'[1]1.CUADRO RESUMEN DE SITIOS '!$C$5:$L$1052,9,FALSE())</f>
        <v>Alfredo de la Cruz</v>
      </c>
      <c r="L578" s="26" t="str">
        <f>VLOOKUP(C578,'[1]1.CUADRO RESUMEN DE SITIOS '!$C$5:$L$1052,10,FALSE())</f>
        <v>Terminado</v>
      </c>
      <c r="M578" s="26">
        <v>8828119045</v>
      </c>
      <c r="N578" s="26">
        <f>VLOOKUP(M578,[1]LPU!$A$2:$G$1512,2,FALSE())</f>
        <v>5.29</v>
      </c>
      <c r="O578" s="26" t="str">
        <f>VLOOKUP(M578,[1]LPU!$A$2:$G$1512,3,FALSE)</f>
        <v>Suministro e instalación de estructura metálica en acero galvanizado para refuerzo, soportes, bases y adecuaciones en general.</v>
      </c>
      <c r="P578" s="26" t="str">
        <f>VLOOKUP(M578,[1]LPU!$A$2:$G$1512,4,FALSE())</f>
        <v>Mantenimiento CW</v>
      </c>
      <c r="Q578" s="26" t="str">
        <f>VLOOKUP(M578,[1]LPU!$A$2:$G$1512,5,FALSE())</f>
        <v>Kg</v>
      </c>
      <c r="R578" s="27">
        <f>VLOOKUP(M578,[1]LPU!$A$2:$G$1512,6,FALSE())</f>
        <v>12911.5</v>
      </c>
      <c r="S578" s="27" t="str">
        <f>VLOOKUP(M578,[1]LPU!$A$2:$G$1512,7,FALSE())</f>
        <v>Mantenimiento CW</v>
      </c>
      <c r="T578" s="28">
        <v>22</v>
      </c>
      <c r="U578" s="29">
        <f t="shared" si="7"/>
        <v>284053</v>
      </c>
      <c r="V578" s="29" t="s">
        <v>77</v>
      </c>
      <c r="W578" s="30"/>
      <c r="X578" s="29" t="s">
        <v>254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ht="21" customHeight="1" x14ac:dyDescent="0.3">
      <c r="A579" s="22">
        <v>575</v>
      </c>
      <c r="B579" s="23">
        <v>1</v>
      </c>
      <c r="C579" s="23" t="s">
        <v>267</v>
      </c>
      <c r="D579" s="23" t="str">
        <f>VLOOKUP(C579,'[1]1.CUADRO RESUMEN DE SITIOS '!$C$5:$L$1052,2,FALSE())</f>
        <v>JSUC_00026</v>
      </c>
      <c r="E579" s="24">
        <f>VLOOKUP(C579,'[1]1.CUADRO RESUMEN DE SITIOS '!$C$5:$L$1052,3,FALSE())</f>
        <v>45934</v>
      </c>
      <c r="F579" s="23">
        <f>VLOOKUP(C579,'[1]1.CUADRO RESUMEN DE SITIOS '!$C$5:$L$1052,4,FALSE())</f>
        <v>9.3669539999999998</v>
      </c>
      <c r="G579" s="23">
        <f>VLOOKUP(C579,'[1]1.CUADRO RESUMEN DE SITIOS '!$C$5:$L$1052,5,FALSE())</f>
        <v>-74.968976999999995</v>
      </c>
      <c r="H579" s="23" t="str">
        <f>VLOOKUP(C579,'[1]1.CUADRO RESUMEN DE SITIOS '!$C$5:$L$1052,6,FALSE())</f>
        <v>Sucre</v>
      </c>
      <c r="I579" s="23" t="str">
        <f>VLOOKUP(C579,'[1]1.CUADRO RESUMEN DE SITIOS '!$C$5:$L$1052,7,FALSE())</f>
        <v>WOM</v>
      </c>
      <c r="J579" s="25" t="str">
        <f>VLOOKUP(C579,'[1]1.CUADRO RESUMEN DE SITIOS '!$C$5:$L$1052,8,FALSE())</f>
        <v>COSTA</v>
      </c>
      <c r="K579" s="23" t="str">
        <f>VLOOKUP(C579,'[1]1.CUADRO RESUMEN DE SITIOS '!$C$5:$L$1052,9,FALSE())</f>
        <v>Alfredo de la Cruz</v>
      </c>
      <c r="L579" s="26" t="str">
        <f>VLOOKUP(C579,'[1]1.CUADRO RESUMEN DE SITIOS '!$C$5:$L$1052,10,FALSE())</f>
        <v>Terminado</v>
      </c>
      <c r="M579" s="26">
        <v>8828119599</v>
      </c>
      <c r="N579" s="26">
        <f>VLOOKUP(M579,[1]LPU!$A$2:$G$1512,2,FALSE())</f>
        <v>197</v>
      </c>
      <c r="O579" s="26" t="str">
        <f>VLOOKUP(M579,[1]LPU!$A$2:$G$1512,3,FALSE)</f>
        <v>Transporte de Equipos y Materiales, Carga y Descarga, desde y hacía Bodega Regional. Mas de 1 Tonelada. ZONA 2 (Resolución 5078 de 2016)</v>
      </c>
      <c r="P579" s="26" t="str">
        <f>VLOOKUP(M579,[1]LPU!$A$2:$G$1512,4,FALSE())</f>
        <v>LOCATIVO</v>
      </c>
      <c r="Q579" s="26" t="str">
        <f>VLOOKUP(M579,[1]LPU!$A$2:$G$1512,5,FALSE())</f>
        <v>U</v>
      </c>
      <c r="R579" s="27">
        <f>VLOOKUP(M579,[1]LPU!$A$2:$G$1512,6,FALSE())</f>
        <v>680680</v>
      </c>
      <c r="S579" s="27" t="str">
        <f>VLOOKUP(M579,[1]LPU!$A$2:$G$1512,7,FALSE())</f>
        <v>LPU FLM</v>
      </c>
      <c r="T579" s="28">
        <v>1</v>
      </c>
      <c r="U579" s="29">
        <f t="shared" si="7"/>
        <v>680680</v>
      </c>
      <c r="V579" s="29" t="s">
        <v>77</v>
      </c>
      <c r="W579" s="30"/>
      <c r="X579" s="29" t="s">
        <v>254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ht="21" customHeight="1" x14ac:dyDescent="0.3">
      <c r="A580" s="22">
        <v>576</v>
      </c>
      <c r="B580" s="23">
        <v>1</v>
      </c>
      <c r="C580" s="23" t="s">
        <v>267</v>
      </c>
      <c r="D580" s="23" t="str">
        <f>VLOOKUP(C580,'[1]1.CUADRO RESUMEN DE SITIOS '!$C$5:$L$1052,2,FALSE())</f>
        <v>JSUC_00026</v>
      </c>
      <c r="E580" s="24">
        <f>VLOOKUP(C580,'[1]1.CUADRO RESUMEN DE SITIOS '!$C$5:$L$1052,3,FALSE())</f>
        <v>45934</v>
      </c>
      <c r="F580" s="23">
        <f>VLOOKUP(C580,'[1]1.CUADRO RESUMEN DE SITIOS '!$C$5:$L$1052,4,FALSE())</f>
        <v>9.3669539999999998</v>
      </c>
      <c r="G580" s="23">
        <f>VLOOKUP(C580,'[1]1.CUADRO RESUMEN DE SITIOS '!$C$5:$L$1052,5,FALSE())</f>
        <v>-74.968976999999995</v>
      </c>
      <c r="H580" s="23" t="str">
        <f>VLOOKUP(C580,'[1]1.CUADRO RESUMEN DE SITIOS '!$C$5:$L$1052,6,FALSE())</f>
        <v>Sucre</v>
      </c>
      <c r="I580" s="23" t="str">
        <f>VLOOKUP(C580,'[1]1.CUADRO RESUMEN DE SITIOS '!$C$5:$L$1052,7,FALSE())</f>
        <v>WOM</v>
      </c>
      <c r="J580" s="25" t="str">
        <f>VLOOKUP(C580,'[1]1.CUADRO RESUMEN DE SITIOS '!$C$5:$L$1052,8,FALSE())</f>
        <v>COSTA</v>
      </c>
      <c r="K580" s="23" t="str">
        <f>VLOOKUP(C580,'[1]1.CUADRO RESUMEN DE SITIOS '!$C$5:$L$1052,9,FALSE())</f>
        <v>Alfredo de la Cruz</v>
      </c>
      <c r="L580" s="26" t="str">
        <f>VLOOKUP(C580,'[1]1.CUADRO RESUMEN DE SITIOS '!$C$5:$L$1052,10,FALSE())</f>
        <v>Terminado</v>
      </c>
      <c r="M580" s="26">
        <v>8828119110</v>
      </c>
      <c r="N580" s="26">
        <f>VLOOKUP(M580,[1]LPU!$A$2:$G$1512,2,FALSE())</f>
        <v>107</v>
      </c>
      <c r="O580" s="26" t="str">
        <f>VLOOKUP(M580,[1]LPU!$A$2:$G$1512,3,FALSE)</f>
        <v>Mano de Obra Tecnico Electricista Certficado CONTE</v>
      </c>
      <c r="P580" s="26" t="str">
        <f>VLOOKUP(M580,[1]LPU!$A$2:$G$1512,4,FALSE())</f>
        <v>ENERGÍA</v>
      </c>
      <c r="Q580" s="26" t="str">
        <f>VLOOKUP(M580,[1]LPU!$A$2:$G$1512,5,FALSE())</f>
        <v>DIA</v>
      </c>
      <c r="R580" s="27">
        <f>VLOOKUP(M580,[1]LPU!$A$2:$G$1512,6,FALSE())</f>
        <v>136000</v>
      </c>
      <c r="S580" s="27" t="str">
        <f>VLOOKUP(M580,[1]LPU!$A$2:$G$1512,7,FALSE())</f>
        <v>LPU FLM</v>
      </c>
      <c r="T580" s="28">
        <v>1</v>
      </c>
      <c r="U580" s="29">
        <f t="shared" si="7"/>
        <v>136000</v>
      </c>
      <c r="V580" s="29" t="s">
        <v>77</v>
      </c>
      <c r="W580" s="30"/>
      <c r="X580" s="29" t="s">
        <v>254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ht="21" customHeight="1" x14ac:dyDescent="0.3">
      <c r="A581" s="22">
        <v>577</v>
      </c>
      <c r="B581" s="23">
        <v>1</v>
      </c>
      <c r="C581" s="23" t="s">
        <v>267</v>
      </c>
      <c r="D581" s="23" t="str">
        <f>VLOOKUP(C581,'[1]1.CUADRO RESUMEN DE SITIOS '!$C$5:$L$1052,2,FALSE())</f>
        <v>JSUC_00026</v>
      </c>
      <c r="E581" s="24">
        <f>VLOOKUP(C581,'[1]1.CUADRO RESUMEN DE SITIOS '!$C$5:$L$1052,3,FALSE())</f>
        <v>45934</v>
      </c>
      <c r="F581" s="23">
        <f>VLOOKUP(C581,'[1]1.CUADRO RESUMEN DE SITIOS '!$C$5:$L$1052,4,FALSE())</f>
        <v>9.3669539999999998</v>
      </c>
      <c r="G581" s="23">
        <f>VLOOKUP(C581,'[1]1.CUADRO RESUMEN DE SITIOS '!$C$5:$L$1052,5,FALSE())</f>
        <v>-74.968976999999995</v>
      </c>
      <c r="H581" s="23" t="str">
        <f>VLOOKUP(C581,'[1]1.CUADRO RESUMEN DE SITIOS '!$C$5:$L$1052,6,FALSE())</f>
        <v>Sucre</v>
      </c>
      <c r="I581" s="23" t="str">
        <f>VLOOKUP(C581,'[1]1.CUADRO RESUMEN DE SITIOS '!$C$5:$L$1052,7,FALSE())</f>
        <v>WOM</v>
      </c>
      <c r="J581" s="25" t="str">
        <f>VLOOKUP(C581,'[1]1.CUADRO RESUMEN DE SITIOS '!$C$5:$L$1052,8,FALSE())</f>
        <v>COSTA</v>
      </c>
      <c r="K581" s="23" t="str">
        <f>VLOOKUP(C581,'[1]1.CUADRO RESUMEN DE SITIOS '!$C$5:$L$1052,9,FALSE())</f>
        <v>Alfredo de la Cruz</v>
      </c>
      <c r="L581" s="26" t="str">
        <f>VLOOKUP(C581,'[1]1.CUADRO RESUMEN DE SITIOS '!$C$5:$L$1052,10,FALSE())</f>
        <v>Terminado</v>
      </c>
      <c r="M581" s="26">
        <v>8828119938</v>
      </c>
      <c r="N581" s="26">
        <f>VLOOKUP(M581,[1]LPU!$A$2:$G$1512,2,FALSE())</f>
        <v>23</v>
      </c>
      <c r="O581" s="26" t="str">
        <f>VLOOKUP(M581,[1]LPU!$A$2:$G$1512,3,FALSE)</f>
        <v>Reubicación de 01 BBU desde gabinete existente hacia nuevo gabinete, incluye conexión de alimentación en ambos planos y etiquetado</v>
      </c>
      <c r="P581" s="26" t="str">
        <f>VLOOKUP(M581,[1]LPU!$A$2:$G$1512,4,FALSE())</f>
        <v>ACCESO</v>
      </c>
      <c r="Q581" s="26" t="str">
        <f>VLOOKUP(M581,[1]LPU!$A$2:$G$1512,5,FALSE())</f>
        <v>Por sector</v>
      </c>
      <c r="R581" s="27">
        <f>VLOOKUP(M581,[1]LPU!$A$2:$G$1512,6,FALSE())</f>
        <v>217413</v>
      </c>
      <c r="S581" s="27" t="str">
        <f>VLOOKUP(M581,[1]LPU!$A$2:$G$1512,7,FALSE())</f>
        <v>LPU FLM</v>
      </c>
      <c r="T581" s="28">
        <v>1</v>
      </c>
      <c r="U581" s="29">
        <f t="shared" si="7"/>
        <v>217413</v>
      </c>
      <c r="V581" s="29" t="s">
        <v>77</v>
      </c>
      <c r="W581" s="30"/>
      <c r="X581" s="29" t="s">
        <v>254</v>
      </c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ht="21" customHeight="1" x14ac:dyDescent="0.3">
      <c r="A582" s="22">
        <v>578</v>
      </c>
      <c r="B582" s="23">
        <v>1</v>
      </c>
      <c r="C582" s="23" t="s">
        <v>267</v>
      </c>
      <c r="D582" s="23" t="str">
        <f>VLOOKUP(C582,'[1]1.CUADRO RESUMEN DE SITIOS '!$C$5:$L$1052,2,FALSE())</f>
        <v>JSUC_00026</v>
      </c>
      <c r="E582" s="24">
        <f>VLOOKUP(C582,'[1]1.CUADRO RESUMEN DE SITIOS '!$C$5:$L$1052,3,FALSE())</f>
        <v>45934</v>
      </c>
      <c r="F582" s="23">
        <f>VLOOKUP(C582,'[1]1.CUADRO RESUMEN DE SITIOS '!$C$5:$L$1052,4,FALSE())</f>
        <v>9.3669539999999998</v>
      </c>
      <c r="G582" s="23">
        <f>VLOOKUP(C582,'[1]1.CUADRO RESUMEN DE SITIOS '!$C$5:$L$1052,5,FALSE())</f>
        <v>-74.968976999999995</v>
      </c>
      <c r="H582" s="23" t="str">
        <f>VLOOKUP(C582,'[1]1.CUADRO RESUMEN DE SITIOS '!$C$5:$L$1052,6,FALSE())</f>
        <v>Sucre</v>
      </c>
      <c r="I582" s="23" t="str">
        <f>VLOOKUP(C582,'[1]1.CUADRO RESUMEN DE SITIOS '!$C$5:$L$1052,7,FALSE())</f>
        <v>WOM</v>
      </c>
      <c r="J582" s="25" t="str">
        <f>VLOOKUP(C582,'[1]1.CUADRO RESUMEN DE SITIOS '!$C$5:$L$1052,8,FALSE())</f>
        <v>COSTA</v>
      </c>
      <c r="K582" s="23" t="str">
        <f>VLOOKUP(C582,'[1]1.CUADRO RESUMEN DE SITIOS '!$C$5:$L$1052,9,FALSE())</f>
        <v>Alfredo de la Cruz</v>
      </c>
      <c r="L582" s="26" t="str">
        <f>VLOOKUP(C582,'[1]1.CUADRO RESUMEN DE SITIOS '!$C$5:$L$1052,10,FALSE())</f>
        <v>Terminado</v>
      </c>
      <c r="M582" s="26">
        <v>8828119402</v>
      </c>
      <c r="N582" s="26">
        <f>VLOOKUP(M582,[1]LPU!$A$2:$G$1512,2,FALSE())</f>
        <v>4</v>
      </c>
      <c r="O582" s="26" t="str">
        <f>VLOOKUP(M582,[1]LPU!$A$2:$G$1512,3,FALSE)</f>
        <v>Apertura y Cierre de Reja de Seguridad para Revisión de Baterías</v>
      </c>
      <c r="P582" s="26" t="str">
        <f>VLOOKUP(M582,[1]LPU!$A$2:$G$1512,4,FALSE())</f>
        <v>ACCESO</v>
      </c>
      <c r="Q582" s="26" t="str">
        <f>VLOOKUP(M582,[1]LPU!$A$2:$G$1512,5,FALSE())</f>
        <v>U</v>
      </c>
      <c r="R582" s="27">
        <f>VLOOKUP(M582,[1]LPU!$A$2:$G$1512,6,FALSE())</f>
        <v>96900</v>
      </c>
      <c r="S582" s="27" t="str">
        <f>VLOOKUP(M582,[1]LPU!$A$2:$G$1512,7,FALSE())</f>
        <v>LPU FLM</v>
      </c>
      <c r="T582" s="28">
        <v>1</v>
      </c>
      <c r="U582" s="29">
        <f t="shared" si="7"/>
        <v>96900</v>
      </c>
      <c r="V582" s="29" t="s">
        <v>77</v>
      </c>
      <c r="W582" s="30"/>
      <c r="X582" s="29" t="s">
        <v>254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ht="21" customHeight="1" x14ac:dyDescent="0.3">
      <c r="A583" s="22">
        <v>579</v>
      </c>
      <c r="B583" s="23">
        <v>1</v>
      </c>
      <c r="C583" s="23" t="s">
        <v>267</v>
      </c>
      <c r="D583" s="23" t="str">
        <f>VLOOKUP(C583,'[1]1.CUADRO RESUMEN DE SITIOS '!$C$5:$L$1052,2,FALSE())</f>
        <v>JSUC_00026</v>
      </c>
      <c r="E583" s="24">
        <f>VLOOKUP(C583,'[1]1.CUADRO RESUMEN DE SITIOS '!$C$5:$L$1052,3,FALSE())</f>
        <v>45934</v>
      </c>
      <c r="F583" s="23">
        <f>VLOOKUP(C583,'[1]1.CUADRO RESUMEN DE SITIOS '!$C$5:$L$1052,4,FALSE())</f>
        <v>9.3669539999999998</v>
      </c>
      <c r="G583" s="23">
        <f>VLOOKUP(C583,'[1]1.CUADRO RESUMEN DE SITIOS '!$C$5:$L$1052,5,FALSE())</f>
        <v>-74.968976999999995</v>
      </c>
      <c r="H583" s="23" t="str">
        <f>VLOOKUP(C583,'[1]1.CUADRO RESUMEN DE SITIOS '!$C$5:$L$1052,6,FALSE())</f>
        <v>Sucre</v>
      </c>
      <c r="I583" s="23" t="str">
        <f>VLOOKUP(C583,'[1]1.CUADRO RESUMEN DE SITIOS '!$C$5:$L$1052,7,FALSE())</f>
        <v>WOM</v>
      </c>
      <c r="J583" s="25" t="str">
        <f>VLOOKUP(C583,'[1]1.CUADRO RESUMEN DE SITIOS '!$C$5:$L$1052,8,FALSE())</f>
        <v>COSTA</v>
      </c>
      <c r="K583" s="23" t="str">
        <f>VLOOKUP(C583,'[1]1.CUADRO RESUMEN DE SITIOS '!$C$5:$L$1052,9,FALSE())</f>
        <v>Alfredo de la Cruz</v>
      </c>
      <c r="L583" s="26" t="str">
        <f>VLOOKUP(C583,'[1]1.CUADRO RESUMEN DE SITIOS '!$C$5:$L$1052,10,FALSE())</f>
        <v>Terminado</v>
      </c>
      <c r="M583" s="26">
        <v>8828119250</v>
      </c>
      <c r="N583" s="26">
        <f>VLOOKUP(M583,[1]LPU!$A$2:$G$1512,2,FALSE())</f>
        <v>0</v>
      </c>
      <c r="O583" s="26" t="str">
        <f>VLOOKUP(M583,[1]LPU!$A$2:$G$1512,3,FALSE)</f>
        <v>Suministro e instalación coraza americana de 1 1/2" - Incluye 100% accesorios</v>
      </c>
      <c r="P583" s="26" t="str">
        <f>VLOOKUP(M583,[1]LPU!$A$2:$G$1512,4,FALSE())</f>
        <v>Variables</v>
      </c>
      <c r="Q583" s="26" t="str">
        <f>VLOOKUP(M583,[1]LPU!$A$2:$G$1512,5,FALSE())</f>
        <v>ml</v>
      </c>
      <c r="R583" s="27">
        <f>VLOOKUP(M583,[1]LPU!$A$2:$G$1512,6,FALSE())</f>
        <v>12410</v>
      </c>
      <c r="S583" s="27" t="str">
        <f>VLOOKUP(M583,[1]LPU!$A$2:$G$1512,7,FALSE())</f>
        <v>LPU FO</v>
      </c>
      <c r="T583" s="28">
        <v>8</v>
      </c>
      <c r="U583" s="29">
        <f t="shared" si="7"/>
        <v>99280</v>
      </c>
      <c r="V583" s="29" t="s">
        <v>77</v>
      </c>
      <c r="W583" s="30"/>
      <c r="X583" s="29" t="s">
        <v>254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ht="21" customHeight="1" x14ac:dyDescent="0.3">
      <c r="A584" s="22">
        <v>580</v>
      </c>
      <c r="B584" s="23">
        <v>1</v>
      </c>
      <c r="C584" s="23" t="s">
        <v>268</v>
      </c>
      <c r="D584" s="23" t="str">
        <f>VLOOKUP(C584,'[1]1.CUADRO RESUMEN DE SITIOS '!$C$5:$L$1052,2,FALSE())</f>
        <v>JSUC_00221</v>
      </c>
      <c r="E584" s="24">
        <f>VLOOKUP(C584,'[1]1.CUADRO RESUMEN DE SITIOS '!$C$5:$L$1052,3,FALSE())</f>
        <v>45934</v>
      </c>
      <c r="F584" s="23">
        <f>VLOOKUP(C584,'[1]1.CUADRO RESUMEN DE SITIOS '!$C$5:$L$1052,4,FALSE())</f>
        <v>9.0976999999999997</v>
      </c>
      <c r="G584" s="23">
        <f>VLOOKUP(C584,'[1]1.CUADRO RESUMEN DE SITIOS '!$C$5:$L$1052,5,FALSE())</f>
        <v>-74.978269999999995</v>
      </c>
      <c r="H584" s="23" t="str">
        <f>VLOOKUP(C584,'[1]1.CUADRO RESUMEN DE SITIOS '!$C$5:$L$1052,6,FALSE())</f>
        <v>Sucre</v>
      </c>
      <c r="I584" s="23" t="str">
        <f>VLOOKUP(C584,'[1]1.CUADRO RESUMEN DE SITIOS '!$C$5:$L$1052,7,FALSE())</f>
        <v>WOM</v>
      </c>
      <c r="J584" s="25" t="str">
        <f>VLOOKUP(C584,'[1]1.CUADRO RESUMEN DE SITIOS '!$C$5:$L$1052,8,FALSE())</f>
        <v>COSTA</v>
      </c>
      <c r="K584" s="23" t="str">
        <f>VLOOKUP(C584,'[1]1.CUADRO RESUMEN DE SITIOS '!$C$5:$L$1052,9,FALSE())</f>
        <v>Alfredo de la Cruz</v>
      </c>
      <c r="L584" s="26" t="str">
        <f>VLOOKUP(C584,'[1]1.CUADRO RESUMEN DE SITIOS '!$C$5:$L$1052,10,FALSE())</f>
        <v>Terminado</v>
      </c>
      <c r="M584" s="26">
        <v>8828119492</v>
      </c>
      <c r="N584" s="26">
        <f>VLOOKUP(M584,[1]LPU!$A$2:$G$1512,2,FALSE())</f>
        <v>53</v>
      </c>
      <c r="O584" s="26" t="str">
        <f>VLOOKUP(M584,[1]LPU!$A$2:$G$1512,3,FALSE)</f>
        <v>Instalación Banco de Baterias para Rectificadores - Aplica para ampliaciones.</v>
      </c>
      <c r="P584" s="26" t="str">
        <f>VLOOKUP(M584,[1]LPU!$A$2:$G$1512,4,FALSE())</f>
        <v>ENERGÍA</v>
      </c>
      <c r="Q584" s="26" t="str">
        <f>VLOOKUP(M584,[1]LPU!$A$2:$G$1512,5,FALSE())</f>
        <v>U</v>
      </c>
      <c r="R584" s="27">
        <f>VLOOKUP(M584,[1]LPU!$A$2:$G$1512,6,FALSE())</f>
        <v>102340</v>
      </c>
      <c r="S584" s="27" t="str">
        <f>VLOOKUP(M584,[1]LPU!$A$2:$G$1512,7,FALSE())</f>
        <v>LPU FLM</v>
      </c>
      <c r="T584" s="28">
        <v>1</v>
      </c>
      <c r="U584" s="29">
        <f t="shared" si="7"/>
        <v>102340</v>
      </c>
      <c r="V584" s="29" t="s">
        <v>77</v>
      </c>
      <c r="W584" s="30"/>
      <c r="X584" s="29" t="s">
        <v>254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ht="21" customHeight="1" x14ac:dyDescent="0.3">
      <c r="A585" s="22">
        <v>581</v>
      </c>
      <c r="B585" s="23">
        <v>1</v>
      </c>
      <c r="C585" s="23" t="s">
        <v>268</v>
      </c>
      <c r="D585" s="23" t="str">
        <f>VLOOKUP(C585,'[1]1.CUADRO RESUMEN DE SITIOS '!$C$5:$L$1052,2,FALSE())</f>
        <v>JSUC_00221</v>
      </c>
      <c r="E585" s="24">
        <f>VLOOKUP(C585,'[1]1.CUADRO RESUMEN DE SITIOS '!$C$5:$L$1052,3,FALSE())</f>
        <v>45934</v>
      </c>
      <c r="F585" s="23">
        <f>VLOOKUP(C585,'[1]1.CUADRO RESUMEN DE SITIOS '!$C$5:$L$1052,4,FALSE())</f>
        <v>9.0976999999999997</v>
      </c>
      <c r="G585" s="23">
        <f>VLOOKUP(C585,'[1]1.CUADRO RESUMEN DE SITIOS '!$C$5:$L$1052,5,FALSE())</f>
        <v>-74.978269999999995</v>
      </c>
      <c r="H585" s="23" t="str">
        <f>VLOOKUP(C585,'[1]1.CUADRO RESUMEN DE SITIOS '!$C$5:$L$1052,6,FALSE())</f>
        <v>Sucre</v>
      </c>
      <c r="I585" s="23" t="str">
        <f>VLOOKUP(C585,'[1]1.CUADRO RESUMEN DE SITIOS '!$C$5:$L$1052,7,FALSE())</f>
        <v>WOM</v>
      </c>
      <c r="J585" s="25" t="str">
        <f>VLOOKUP(C585,'[1]1.CUADRO RESUMEN DE SITIOS '!$C$5:$L$1052,8,FALSE())</f>
        <v>COSTA</v>
      </c>
      <c r="K585" s="23" t="str">
        <f>VLOOKUP(C585,'[1]1.CUADRO RESUMEN DE SITIOS '!$C$5:$L$1052,9,FALSE())</f>
        <v>Alfredo de la Cruz</v>
      </c>
      <c r="L585" s="26" t="str">
        <f>VLOOKUP(C585,'[1]1.CUADRO RESUMEN DE SITIOS '!$C$5:$L$1052,10,FALSE())</f>
        <v>Terminado</v>
      </c>
      <c r="M585" s="26">
        <v>8828119512</v>
      </c>
      <c r="N585" s="26">
        <f>VLOOKUP(M585,[1]LPU!$A$2:$G$1512,2,FALSE())</f>
        <v>55</v>
      </c>
      <c r="O585" s="26" t="str">
        <f>VLOOKUP(M585,[1]LPU!$A$2:$G$1512,3,FALSE)</f>
        <v>Transporte Banco de Baterias</v>
      </c>
      <c r="P585" s="26" t="str">
        <f>VLOOKUP(M585,[1]LPU!$A$2:$G$1512,4,FALSE())</f>
        <v>ENERGÍA</v>
      </c>
      <c r="Q585" s="26" t="str">
        <f>VLOOKUP(M585,[1]LPU!$A$2:$G$1512,5,FALSE())</f>
        <v>U</v>
      </c>
      <c r="R585" s="27">
        <f>VLOOKUP(M585,[1]LPU!$A$2:$G$1512,6,FALSE())</f>
        <v>82212</v>
      </c>
      <c r="S585" s="27" t="str">
        <f>VLOOKUP(M585,[1]LPU!$A$2:$G$1512,7,FALSE())</f>
        <v>LPU FLM</v>
      </c>
      <c r="T585" s="28">
        <v>1</v>
      </c>
      <c r="U585" s="29">
        <f t="shared" si="7"/>
        <v>82212</v>
      </c>
      <c r="V585" s="29" t="s">
        <v>77</v>
      </c>
      <c r="W585" s="30"/>
      <c r="X585" s="29" t="s">
        <v>254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ht="21" customHeight="1" x14ac:dyDescent="0.3">
      <c r="A586" s="22">
        <v>582</v>
      </c>
      <c r="B586" s="23">
        <v>1</v>
      </c>
      <c r="C586" s="23" t="s">
        <v>268</v>
      </c>
      <c r="D586" s="23" t="str">
        <f>VLOOKUP(C586,'[1]1.CUADRO RESUMEN DE SITIOS '!$C$5:$L$1052,2,FALSE())</f>
        <v>JSUC_00221</v>
      </c>
      <c r="E586" s="24">
        <f>VLOOKUP(C586,'[1]1.CUADRO RESUMEN DE SITIOS '!$C$5:$L$1052,3,FALSE())</f>
        <v>45934</v>
      </c>
      <c r="F586" s="23">
        <f>VLOOKUP(C586,'[1]1.CUADRO RESUMEN DE SITIOS '!$C$5:$L$1052,4,FALSE())</f>
        <v>9.0976999999999997</v>
      </c>
      <c r="G586" s="23">
        <f>VLOOKUP(C586,'[1]1.CUADRO RESUMEN DE SITIOS '!$C$5:$L$1052,5,FALSE())</f>
        <v>-74.978269999999995</v>
      </c>
      <c r="H586" s="23" t="str">
        <f>VLOOKUP(C586,'[1]1.CUADRO RESUMEN DE SITIOS '!$C$5:$L$1052,6,FALSE())</f>
        <v>Sucre</v>
      </c>
      <c r="I586" s="23" t="str">
        <f>VLOOKUP(C586,'[1]1.CUADRO RESUMEN DE SITIOS '!$C$5:$L$1052,7,FALSE())</f>
        <v>WOM</v>
      </c>
      <c r="J586" s="25" t="str">
        <f>VLOOKUP(C586,'[1]1.CUADRO RESUMEN DE SITIOS '!$C$5:$L$1052,8,FALSE())</f>
        <v>COSTA</v>
      </c>
      <c r="K586" s="23" t="str">
        <f>VLOOKUP(C586,'[1]1.CUADRO RESUMEN DE SITIOS '!$C$5:$L$1052,9,FALSE())</f>
        <v>Alfredo de la Cruz</v>
      </c>
      <c r="L586" s="26" t="str">
        <f>VLOOKUP(C586,'[1]1.CUADRO RESUMEN DE SITIOS '!$C$5:$L$1052,10,FALSE())</f>
        <v>Terminado</v>
      </c>
      <c r="M586" s="26">
        <v>8828118999</v>
      </c>
      <c r="N586" s="26">
        <f>VLOOKUP(M586,[1]LPU!$A$2:$G$1512,2,FALSE())</f>
        <v>0</v>
      </c>
      <c r="O586" s="26" t="str">
        <f>VLOOKUP(M586,[1]LPU!$A$2:$G$1512,3,FALSE)</f>
        <v>Suministro e instalación de cable UTP Categoría 6, con conectores en sus extremos, certificado</v>
      </c>
      <c r="P586" s="26" t="str">
        <f>VLOOKUP(M586,[1]LPU!$A$2:$G$1512,4,FALSE())</f>
        <v>Item Critico</v>
      </c>
      <c r="Q586" s="26" t="str">
        <f>VLOOKUP(M586,[1]LPU!$A$2:$G$1512,5,FALSE())</f>
        <v>m</v>
      </c>
      <c r="R586" s="27">
        <f>VLOOKUP(M586,[1]LPU!$A$2:$G$1512,6,FALSE())</f>
        <v>5913</v>
      </c>
      <c r="S586" s="27" t="str">
        <f>VLOOKUP(M586,[1]LPU!$A$2:$G$1512,7,FALSE())</f>
        <v>LPU FO Propia</v>
      </c>
      <c r="T586" s="28">
        <v>3</v>
      </c>
      <c r="U586" s="29">
        <f t="shared" si="7"/>
        <v>17739</v>
      </c>
      <c r="V586" s="29" t="s">
        <v>77</v>
      </c>
      <c r="W586" s="30"/>
      <c r="X586" s="29" t="s">
        <v>254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ht="21" customHeight="1" x14ac:dyDescent="0.3">
      <c r="A587" s="22">
        <v>583</v>
      </c>
      <c r="B587" s="23">
        <v>1</v>
      </c>
      <c r="C587" s="23" t="s">
        <v>268</v>
      </c>
      <c r="D587" s="23" t="str">
        <f>VLOOKUP(C587,'[1]1.CUADRO RESUMEN DE SITIOS '!$C$5:$L$1052,2,FALSE())</f>
        <v>JSUC_00221</v>
      </c>
      <c r="E587" s="24">
        <f>VLOOKUP(C587,'[1]1.CUADRO RESUMEN DE SITIOS '!$C$5:$L$1052,3,FALSE())</f>
        <v>45934</v>
      </c>
      <c r="F587" s="23">
        <f>VLOOKUP(C587,'[1]1.CUADRO RESUMEN DE SITIOS '!$C$5:$L$1052,4,FALSE())</f>
        <v>9.0976999999999997</v>
      </c>
      <c r="G587" s="23">
        <f>VLOOKUP(C587,'[1]1.CUADRO RESUMEN DE SITIOS '!$C$5:$L$1052,5,FALSE())</f>
        <v>-74.978269999999995</v>
      </c>
      <c r="H587" s="23" t="str">
        <f>VLOOKUP(C587,'[1]1.CUADRO RESUMEN DE SITIOS '!$C$5:$L$1052,6,FALSE())</f>
        <v>Sucre</v>
      </c>
      <c r="I587" s="23" t="str">
        <f>VLOOKUP(C587,'[1]1.CUADRO RESUMEN DE SITIOS '!$C$5:$L$1052,7,FALSE())</f>
        <v>WOM</v>
      </c>
      <c r="J587" s="25" t="str">
        <f>VLOOKUP(C587,'[1]1.CUADRO RESUMEN DE SITIOS '!$C$5:$L$1052,8,FALSE())</f>
        <v>COSTA</v>
      </c>
      <c r="K587" s="23" t="str">
        <f>VLOOKUP(C587,'[1]1.CUADRO RESUMEN DE SITIOS '!$C$5:$L$1052,9,FALSE())</f>
        <v>Alfredo de la Cruz</v>
      </c>
      <c r="L587" s="26" t="str">
        <f>VLOOKUP(C587,'[1]1.CUADRO RESUMEN DE SITIOS '!$C$5:$L$1052,10,FALSE())</f>
        <v>Terminado</v>
      </c>
      <c r="M587" s="26">
        <v>8828118925</v>
      </c>
      <c r="N587" s="26">
        <f>VLOOKUP(M587,[1]LPU!$A$2:$G$1512,2,FALSE())</f>
        <v>87</v>
      </c>
      <c r="O587" s="26" t="str">
        <f>VLOOKUP(M587,[1]LPU!$A$2:$G$1512,3,FALSE)</f>
        <v>Suministro e Instalacion de cable multifilar #4 awg tipo soldador.</v>
      </c>
      <c r="P587" s="26" t="str">
        <f>VLOOKUP(M587,[1]LPU!$A$2:$G$1512,4,FALSE())</f>
        <v>ENERGÍA</v>
      </c>
      <c r="Q587" s="26" t="str">
        <f>VLOOKUP(M587,[1]LPU!$A$2:$G$1512,5,FALSE())</f>
        <v>ML</v>
      </c>
      <c r="R587" s="27">
        <f>VLOOKUP(M587,[1]LPU!$A$2:$G$1512,6,FALSE())</f>
        <v>60815.8</v>
      </c>
      <c r="S587" s="27" t="str">
        <f>VLOOKUP(M587,[1]LPU!$A$2:$G$1512,7,FALSE())</f>
        <v>LPU FLM</v>
      </c>
      <c r="T587" s="28">
        <v>10</v>
      </c>
      <c r="U587" s="29">
        <f t="shared" si="7"/>
        <v>608158</v>
      </c>
      <c r="V587" s="29" t="s">
        <v>77</v>
      </c>
      <c r="W587" s="30"/>
      <c r="X587" s="29" t="s">
        <v>254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ht="21" customHeight="1" x14ac:dyDescent="0.3">
      <c r="A588" s="22">
        <v>584</v>
      </c>
      <c r="B588" s="23">
        <v>1</v>
      </c>
      <c r="C588" s="23" t="s">
        <v>268</v>
      </c>
      <c r="D588" s="23" t="str">
        <f>VLOOKUP(C588,'[1]1.CUADRO RESUMEN DE SITIOS '!$C$5:$L$1052,2,FALSE())</f>
        <v>JSUC_00221</v>
      </c>
      <c r="E588" s="24">
        <f>VLOOKUP(C588,'[1]1.CUADRO RESUMEN DE SITIOS '!$C$5:$L$1052,3,FALSE())</f>
        <v>45934</v>
      </c>
      <c r="F588" s="23">
        <f>VLOOKUP(C588,'[1]1.CUADRO RESUMEN DE SITIOS '!$C$5:$L$1052,4,FALSE())</f>
        <v>9.0976999999999997</v>
      </c>
      <c r="G588" s="23">
        <f>VLOOKUP(C588,'[1]1.CUADRO RESUMEN DE SITIOS '!$C$5:$L$1052,5,FALSE())</f>
        <v>-74.978269999999995</v>
      </c>
      <c r="H588" s="23" t="str">
        <f>VLOOKUP(C588,'[1]1.CUADRO RESUMEN DE SITIOS '!$C$5:$L$1052,6,FALSE())</f>
        <v>Sucre</v>
      </c>
      <c r="I588" s="23" t="str">
        <f>VLOOKUP(C588,'[1]1.CUADRO RESUMEN DE SITIOS '!$C$5:$L$1052,7,FALSE())</f>
        <v>WOM</v>
      </c>
      <c r="J588" s="25" t="str">
        <f>VLOOKUP(C588,'[1]1.CUADRO RESUMEN DE SITIOS '!$C$5:$L$1052,8,FALSE())</f>
        <v>COSTA</v>
      </c>
      <c r="K588" s="23" t="str">
        <f>VLOOKUP(C588,'[1]1.CUADRO RESUMEN DE SITIOS '!$C$5:$L$1052,9,FALSE())</f>
        <v>Alfredo de la Cruz</v>
      </c>
      <c r="L588" s="26" t="str">
        <f>VLOOKUP(C588,'[1]1.CUADRO RESUMEN DE SITIOS '!$C$5:$L$1052,10,FALSE())</f>
        <v>Terminado</v>
      </c>
      <c r="M588" s="26">
        <v>8828118868</v>
      </c>
      <c r="N588" s="26">
        <f>VLOOKUP(M588,[1]LPU!$A$2:$G$1512,2,FALSE())</f>
        <v>81</v>
      </c>
      <c r="O588" s="26" t="str">
        <f>VLOOKUP(M588,[1]LPU!$A$2:$G$1512,3,FALSE)</f>
        <v>Suministro e Instalacion de terminal para cable awg # 2 en cobre estañado un ojo</v>
      </c>
      <c r="P588" s="26" t="str">
        <f>VLOOKUP(M588,[1]LPU!$A$2:$G$1512,4,FALSE())</f>
        <v>ENERGÍA</v>
      </c>
      <c r="Q588" s="26" t="str">
        <f>VLOOKUP(M588,[1]LPU!$A$2:$G$1512,5,FALSE())</f>
        <v>U</v>
      </c>
      <c r="R588" s="27">
        <f>VLOOKUP(M588,[1]LPU!$A$2:$G$1512,6,FALSE())</f>
        <v>2347</v>
      </c>
      <c r="S588" s="27" t="str">
        <f>VLOOKUP(M588,[1]LPU!$A$2:$G$1512,7,FALSE())</f>
        <v>LPU FLM</v>
      </c>
      <c r="T588" s="28">
        <v>4</v>
      </c>
      <c r="U588" s="29">
        <f t="shared" si="7"/>
        <v>9388</v>
      </c>
      <c r="V588" s="29" t="s">
        <v>77</v>
      </c>
      <c r="W588" s="30"/>
      <c r="X588" s="29" t="s">
        <v>254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ht="21" customHeight="1" x14ac:dyDescent="0.3">
      <c r="A589" s="22">
        <v>585</v>
      </c>
      <c r="B589" s="23">
        <v>1</v>
      </c>
      <c r="C589" s="23" t="s">
        <v>268</v>
      </c>
      <c r="D589" s="23" t="str">
        <f>VLOOKUP(C589,'[1]1.CUADRO RESUMEN DE SITIOS '!$C$5:$L$1052,2,FALSE())</f>
        <v>JSUC_00221</v>
      </c>
      <c r="E589" s="24">
        <f>VLOOKUP(C589,'[1]1.CUADRO RESUMEN DE SITIOS '!$C$5:$L$1052,3,FALSE())</f>
        <v>45934</v>
      </c>
      <c r="F589" s="23">
        <f>VLOOKUP(C589,'[1]1.CUADRO RESUMEN DE SITIOS '!$C$5:$L$1052,4,FALSE())</f>
        <v>9.0976999999999997</v>
      </c>
      <c r="G589" s="23">
        <f>VLOOKUP(C589,'[1]1.CUADRO RESUMEN DE SITIOS '!$C$5:$L$1052,5,FALSE())</f>
        <v>-74.978269999999995</v>
      </c>
      <c r="H589" s="23" t="str">
        <f>VLOOKUP(C589,'[1]1.CUADRO RESUMEN DE SITIOS '!$C$5:$L$1052,6,FALSE())</f>
        <v>Sucre</v>
      </c>
      <c r="I589" s="23" t="str">
        <f>VLOOKUP(C589,'[1]1.CUADRO RESUMEN DE SITIOS '!$C$5:$L$1052,7,FALSE())</f>
        <v>WOM</v>
      </c>
      <c r="J589" s="25" t="str">
        <f>VLOOKUP(C589,'[1]1.CUADRO RESUMEN DE SITIOS '!$C$5:$L$1052,8,FALSE())</f>
        <v>COSTA</v>
      </c>
      <c r="K589" s="23" t="str">
        <f>VLOOKUP(C589,'[1]1.CUADRO RESUMEN DE SITIOS '!$C$5:$L$1052,9,FALSE())</f>
        <v>Alfredo de la Cruz</v>
      </c>
      <c r="L589" s="26" t="str">
        <f>VLOOKUP(C589,'[1]1.CUADRO RESUMEN DE SITIOS '!$C$5:$L$1052,10,FALSE())</f>
        <v>Terminado</v>
      </c>
      <c r="M589" s="26">
        <v>8828119980</v>
      </c>
      <c r="N589" s="26">
        <f>VLOOKUP(M589,[1]LPU!$A$2:$G$1512,2,FALSE())</f>
        <v>169</v>
      </c>
      <c r="O589" s="26" t="str">
        <f>VLOOKUP(M589,[1]LPU!$A$2:$G$1512,3,FALSE)</f>
        <v>Reforzamiento Protección Concreto para Rack de Baterías Incluye Materiales</v>
      </c>
      <c r="P589" s="26" t="str">
        <f>VLOOKUP(M589,[1]LPU!$A$2:$G$1512,4,FALSE())</f>
        <v>LOCATIVO</v>
      </c>
      <c r="Q589" s="26" t="str">
        <f>VLOOKUP(M589,[1]LPU!$A$2:$G$1512,5,FALSE())</f>
        <v>U</v>
      </c>
      <c r="R589" s="27">
        <f>VLOOKUP(M589,[1]LPU!$A$2:$G$1512,6,FALSE())</f>
        <v>114750</v>
      </c>
      <c r="S589" s="27" t="str">
        <f>VLOOKUP(M589,[1]LPU!$A$2:$G$1512,7,FALSE())</f>
        <v>LPU FLM</v>
      </c>
      <c r="T589" s="28">
        <v>1</v>
      </c>
      <c r="U589" s="29">
        <f t="shared" si="7"/>
        <v>114750</v>
      </c>
      <c r="V589" s="29" t="s">
        <v>77</v>
      </c>
      <c r="W589" s="30"/>
      <c r="X589" s="29" t="s">
        <v>254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ht="21" customHeight="1" x14ac:dyDescent="0.3">
      <c r="A590" s="22">
        <v>586</v>
      </c>
      <c r="B590" s="23">
        <v>1</v>
      </c>
      <c r="C590" s="23" t="s">
        <v>268</v>
      </c>
      <c r="D590" s="23" t="str">
        <f>VLOOKUP(C590,'[1]1.CUADRO RESUMEN DE SITIOS '!$C$5:$L$1052,2,FALSE())</f>
        <v>JSUC_00221</v>
      </c>
      <c r="E590" s="24">
        <f>VLOOKUP(C590,'[1]1.CUADRO RESUMEN DE SITIOS '!$C$5:$L$1052,3,FALSE())</f>
        <v>45934</v>
      </c>
      <c r="F590" s="23">
        <f>VLOOKUP(C590,'[1]1.CUADRO RESUMEN DE SITIOS '!$C$5:$L$1052,4,FALSE())</f>
        <v>9.0976999999999997</v>
      </c>
      <c r="G590" s="23">
        <f>VLOOKUP(C590,'[1]1.CUADRO RESUMEN DE SITIOS '!$C$5:$L$1052,5,FALSE())</f>
        <v>-74.978269999999995</v>
      </c>
      <c r="H590" s="23" t="str">
        <f>VLOOKUP(C590,'[1]1.CUADRO RESUMEN DE SITIOS '!$C$5:$L$1052,6,FALSE())</f>
        <v>Sucre</v>
      </c>
      <c r="I590" s="23" t="str">
        <f>VLOOKUP(C590,'[1]1.CUADRO RESUMEN DE SITIOS '!$C$5:$L$1052,7,FALSE())</f>
        <v>WOM</v>
      </c>
      <c r="J590" s="25" t="str">
        <f>VLOOKUP(C590,'[1]1.CUADRO RESUMEN DE SITIOS '!$C$5:$L$1052,8,FALSE())</f>
        <v>COSTA</v>
      </c>
      <c r="K590" s="23" t="str">
        <f>VLOOKUP(C590,'[1]1.CUADRO RESUMEN DE SITIOS '!$C$5:$L$1052,9,FALSE())</f>
        <v>Alfredo de la Cruz</v>
      </c>
      <c r="L590" s="26" t="str">
        <f>VLOOKUP(C590,'[1]1.CUADRO RESUMEN DE SITIOS '!$C$5:$L$1052,10,FALSE())</f>
        <v>Terminado</v>
      </c>
      <c r="M590" s="26">
        <v>8828119848</v>
      </c>
      <c r="N590" s="26">
        <f>VLOOKUP(M590,[1]LPU!$A$2:$G$1512,2,FALSE())</f>
        <v>157</v>
      </c>
      <c r="O590" s="26" t="str">
        <f>VLOOKUP(M590,[1]LPU!$A$2:$G$1512,3,FALSE)</f>
        <v>Reja para equipo cabinet x 2 baterías</v>
      </c>
      <c r="P590" s="26" t="str">
        <f>VLOOKUP(M590,[1]LPU!$A$2:$G$1512,4,FALSE())</f>
        <v>LOCATIVO</v>
      </c>
      <c r="Q590" s="26" t="str">
        <f>VLOOKUP(M590,[1]LPU!$A$2:$G$1512,5,FALSE())</f>
        <v>U</v>
      </c>
      <c r="R590" s="27">
        <f>VLOOKUP(M590,[1]LPU!$A$2:$G$1512,6,FALSE())</f>
        <v>415303</v>
      </c>
      <c r="S590" s="27" t="str">
        <f>VLOOKUP(M590,[1]LPU!$A$2:$G$1512,7,FALSE())</f>
        <v>LPU FLM</v>
      </c>
      <c r="T590" s="28">
        <v>1</v>
      </c>
      <c r="U590" s="29">
        <f t="shared" si="7"/>
        <v>415303</v>
      </c>
      <c r="V590" s="29" t="s">
        <v>77</v>
      </c>
      <c r="W590" s="30"/>
      <c r="X590" s="29" t="s">
        <v>254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ht="21" customHeight="1" x14ac:dyDescent="0.3">
      <c r="A591" s="22">
        <v>587</v>
      </c>
      <c r="B591" s="23">
        <v>1</v>
      </c>
      <c r="C591" s="23" t="s">
        <v>268</v>
      </c>
      <c r="D591" s="23" t="str">
        <f>VLOOKUP(C591,'[1]1.CUADRO RESUMEN DE SITIOS '!$C$5:$L$1052,2,FALSE())</f>
        <v>JSUC_00221</v>
      </c>
      <c r="E591" s="24">
        <f>VLOOKUP(C591,'[1]1.CUADRO RESUMEN DE SITIOS '!$C$5:$L$1052,3,FALSE())</f>
        <v>45934</v>
      </c>
      <c r="F591" s="23">
        <f>VLOOKUP(C591,'[1]1.CUADRO RESUMEN DE SITIOS '!$C$5:$L$1052,4,FALSE())</f>
        <v>9.0976999999999997</v>
      </c>
      <c r="G591" s="23">
        <f>VLOOKUP(C591,'[1]1.CUADRO RESUMEN DE SITIOS '!$C$5:$L$1052,5,FALSE())</f>
        <v>-74.978269999999995</v>
      </c>
      <c r="H591" s="23" t="str">
        <f>VLOOKUP(C591,'[1]1.CUADRO RESUMEN DE SITIOS '!$C$5:$L$1052,6,FALSE())</f>
        <v>Sucre</v>
      </c>
      <c r="I591" s="23" t="str">
        <f>VLOOKUP(C591,'[1]1.CUADRO RESUMEN DE SITIOS '!$C$5:$L$1052,7,FALSE())</f>
        <v>WOM</v>
      </c>
      <c r="J591" s="25" t="str">
        <f>VLOOKUP(C591,'[1]1.CUADRO RESUMEN DE SITIOS '!$C$5:$L$1052,8,FALSE())</f>
        <v>COSTA</v>
      </c>
      <c r="K591" s="23" t="str">
        <f>VLOOKUP(C591,'[1]1.CUADRO RESUMEN DE SITIOS '!$C$5:$L$1052,9,FALSE())</f>
        <v>Alfredo de la Cruz</v>
      </c>
      <c r="L591" s="26" t="str">
        <f>VLOOKUP(C591,'[1]1.CUADRO RESUMEN DE SITIOS '!$C$5:$L$1052,10,FALSE())</f>
        <v>Terminado</v>
      </c>
      <c r="M591" s="26">
        <v>8828119045</v>
      </c>
      <c r="N591" s="26">
        <f>VLOOKUP(M591,[1]LPU!$A$2:$G$1512,2,FALSE())</f>
        <v>5.29</v>
      </c>
      <c r="O591" s="26" t="str">
        <f>VLOOKUP(M591,[1]LPU!$A$2:$G$1512,3,FALSE)</f>
        <v>Suministro e instalación de estructura metálica en acero galvanizado para refuerzo, soportes, bases y adecuaciones en general.</v>
      </c>
      <c r="P591" s="26" t="str">
        <f>VLOOKUP(M591,[1]LPU!$A$2:$G$1512,4,FALSE())</f>
        <v>Mantenimiento CW</v>
      </c>
      <c r="Q591" s="26" t="str">
        <f>VLOOKUP(M591,[1]LPU!$A$2:$G$1512,5,FALSE())</f>
        <v>Kg</v>
      </c>
      <c r="R591" s="27">
        <f>VLOOKUP(M591,[1]LPU!$A$2:$G$1512,6,FALSE())</f>
        <v>12911.5</v>
      </c>
      <c r="S591" s="27" t="str">
        <f>VLOOKUP(M591,[1]LPU!$A$2:$G$1512,7,FALSE())</f>
        <v>Mantenimiento CW</v>
      </c>
      <c r="T591" s="28">
        <v>22</v>
      </c>
      <c r="U591" s="29">
        <f t="shared" si="7"/>
        <v>284053</v>
      </c>
      <c r="V591" s="29" t="s">
        <v>77</v>
      </c>
      <c r="W591" s="30"/>
      <c r="X591" s="29" t="s">
        <v>254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21" customHeight="1" x14ac:dyDescent="0.3">
      <c r="A592" s="22">
        <v>588</v>
      </c>
      <c r="B592" s="23">
        <v>1</v>
      </c>
      <c r="C592" s="23" t="s">
        <v>268</v>
      </c>
      <c r="D592" s="23" t="str">
        <f>VLOOKUP(C592,'[1]1.CUADRO RESUMEN DE SITIOS '!$C$5:$L$1052,2,FALSE())</f>
        <v>JSUC_00221</v>
      </c>
      <c r="E592" s="24">
        <f>VLOOKUP(C592,'[1]1.CUADRO RESUMEN DE SITIOS '!$C$5:$L$1052,3,FALSE())</f>
        <v>45934</v>
      </c>
      <c r="F592" s="23">
        <f>VLOOKUP(C592,'[1]1.CUADRO RESUMEN DE SITIOS '!$C$5:$L$1052,4,FALSE())</f>
        <v>9.0976999999999997</v>
      </c>
      <c r="G592" s="23">
        <f>VLOOKUP(C592,'[1]1.CUADRO RESUMEN DE SITIOS '!$C$5:$L$1052,5,FALSE())</f>
        <v>-74.978269999999995</v>
      </c>
      <c r="H592" s="23" t="str">
        <f>VLOOKUP(C592,'[1]1.CUADRO RESUMEN DE SITIOS '!$C$5:$L$1052,6,FALSE())</f>
        <v>Sucre</v>
      </c>
      <c r="I592" s="23" t="str">
        <f>VLOOKUP(C592,'[1]1.CUADRO RESUMEN DE SITIOS '!$C$5:$L$1052,7,FALSE())</f>
        <v>WOM</v>
      </c>
      <c r="J592" s="25" t="str">
        <f>VLOOKUP(C592,'[1]1.CUADRO RESUMEN DE SITIOS '!$C$5:$L$1052,8,FALSE())</f>
        <v>COSTA</v>
      </c>
      <c r="K592" s="23" t="str">
        <f>VLOOKUP(C592,'[1]1.CUADRO RESUMEN DE SITIOS '!$C$5:$L$1052,9,FALSE())</f>
        <v>Alfredo de la Cruz</v>
      </c>
      <c r="L592" s="26" t="str">
        <f>VLOOKUP(C592,'[1]1.CUADRO RESUMEN DE SITIOS '!$C$5:$L$1052,10,FALSE())</f>
        <v>Terminado</v>
      </c>
      <c r="M592" s="26">
        <v>8828119599</v>
      </c>
      <c r="N592" s="26">
        <f>VLOOKUP(M592,[1]LPU!$A$2:$G$1512,2,FALSE())</f>
        <v>197</v>
      </c>
      <c r="O592" s="26" t="str">
        <f>VLOOKUP(M592,[1]LPU!$A$2:$G$1512,3,FALSE)</f>
        <v>Transporte de Equipos y Materiales, Carga y Descarga, desde y hacía Bodega Regional. Mas de 1 Tonelada. ZONA 2 (Resolución 5078 de 2016)</v>
      </c>
      <c r="P592" s="26" t="str">
        <f>VLOOKUP(M592,[1]LPU!$A$2:$G$1512,4,FALSE())</f>
        <v>LOCATIVO</v>
      </c>
      <c r="Q592" s="26" t="str">
        <f>VLOOKUP(M592,[1]LPU!$A$2:$G$1512,5,FALSE())</f>
        <v>U</v>
      </c>
      <c r="R592" s="27">
        <f>VLOOKUP(M592,[1]LPU!$A$2:$G$1512,6,FALSE())</f>
        <v>680680</v>
      </c>
      <c r="S592" s="27" t="str">
        <f>VLOOKUP(M592,[1]LPU!$A$2:$G$1512,7,FALSE())</f>
        <v>LPU FLM</v>
      </c>
      <c r="T592" s="28">
        <v>1</v>
      </c>
      <c r="U592" s="29">
        <f t="shared" si="7"/>
        <v>680680</v>
      </c>
      <c r="V592" s="29" t="s">
        <v>77</v>
      </c>
      <c r="W592" s="30"/>
      <c r="X592" s="29" t="s">
        <v>254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21" customHeight="1" x14ac:dyDescent="0.3">
      <c r="A593" s="22">
        <v>589</v>
      </c>
      <c r="B593" s="23">
        <v>1</v>
      </c>
      <c r="C593" s="23" t="s">
        <v>268</v>
      </c>
      <c r="D593" s="23" t="str">
        <f>VLOOKUP(C593,'[1]1.CUADRO RESUMEN DE SITIOS '!$C$5:$L$1052,2,FALSE())</f>
        <v>JSUC_00221</v>
      </c>
      <c r="E593" s="24">
        <f>VLOOKUP(C593,'[1]1.CUADRO RESUMEN DE SITIOS '!$C$5:$L$1052,3,FALSE())</f>
        <v>45934</v>
      </c>
      <c r="F593" s="23">
        <f>VLOOKUP(C593,'[1]1.CUADRO RESUMEN DE SITIOS '!$C$5:$L$1052,4,FALSE())</f>
        <v>9.0976999999999997</v>
      </c>
      <c r="G593" s="23">
        <f>VLOOKUP(C593,'[1]1.CUADRO RESUMEN DE SITIOS '!$C$5:$L$1052,5,FALSE())</f>
        <v>-74.978269999999995</v>
      </c>
      <c r="H593" s="23" t="str">
        <f>VLOOKUP(C593,'[1]1.CUADRO RESUMEN DE SITIOS '!$C$5:$L$1052,6,FALSE())</f>
        <v>Sucre</v>
      </c>
      <c r="I593" s="23" t="str">
        <f>VLOOKUP(C593,'[1]1.CUADRO RESUMEN DE SITIOS '!$C$5:$L$1052,7,FALSE())</f>
        <v>WOM</v>
      </c>
      <c r="J593" s="25" t="str">
        <f>VLOOKUP(C593,'[1]1.CUADRO RESUMEN DE SITIOS '!$C$5:$L$1052,8,FALSE())</f>
        <v>COSTA</v>
      </c>
      <c r="K593" s="23" t="str">
        <f>VLOOKUP(C593,'[1]1.CUADRO RESUMEN DE SITIOS '!$C$5:$L$1052,9,FALSE())</f>
        <v>Alfredo de la Cruz</v>
      </c>
      <c r="L593" s="26" t="str">
        <f>VLOOKUP(C593,'[1]1.CUADRO RESUMEN DE SITIOS '!$C$5:$L$1052,10,FALSE())</f>
        <v>Terminado</v>
      </c>
      <c r="M593" s="26">
        <v>8828119110</v>
      </c>
      <c r="N593" s="26">
        <f>VLOOKUP(M593,[1]LPU!$A$2:$G$1512,2,FALSE())</f>
        <v>107</v>
      </c>
      <c r="O593" s="26" t="str">
        <f>VLOOKUP(M593,[1]LPU!$A$2:$G$1512,3,FALSE)</f>
        <v>Mano de Obra Tecnico Electricista Certficado CONTE</v>
      </c>
      <c r="P593" s="26" t="str">
        <f>VLOOKUP(M593,[1]LPU!$A$2:$G$1512,4,FALSE())</f>
        <v>ENERGÍA</v>
      </c>
      <c r="Q593" s="26" t="str">
        <f>VLOOKUP(M593,[1]LPU!$A$2:$G$1512,5,FALSE())</f>
        <v>DIA</v>
      </c>
      <c r="R593" s="27">
        <f>VLOOKUP(M593,[1]LPU!$A$2:$G$1512,6,FALSE())</f>
        <v>136000</v>
      </c>
      <c r="S593" s="27" t="str">
        <f>VLOOKUP(M593,[1]LPU!$A$2:$G$1512,7,FALSE())</f>
        <v>LPU FLM</v>
      </c>
      <c r="T593" s="28">
        <v>1</v>
      </c>
      <c r="U593" s="29">
        <f t="shared" si="7"/>
        <v>136000</v>
      </c>
      <c r="V593" s="29" t="s">
        <v>77</v>
      </c>
      <c r="W593" s="30"/>
      <c r="X593" s="29" t="s">
        <v>254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21" customHeight="1" x14ac:dyDescent="0.3">
      <c r="A594" s="22">
        <v>590</v>
      </c>
      <c r="B594" s="23">
        <v>1</v>
      </c>
      <c r="C594" s="23" t="s">
        <v>268</v>
      </c>
      <c r="D594" s="23" t="str">
        <f>VLOOKUP(C594,'[1]1.CUADRO RESUMEN DE SITIOS '!$C$5:$L$1052,2,FALSE())</f>
        <v>JSUC_00221</v>
      </c>
      <c r="E594" s="24">
        <f>VLOOKUP(C594,'[1]1.CUADRO RESUMEN DE SITIOS '!$C$5:$L$1052,3,FALSE())</f>
        <v>45934</v>
      </c>
      <c r="F594" s="23">
        <f>VLOOKUP(C594,'[1]1.CUADRO RESUMEN DE SITIOS '!$C$5:$L$1052,4,FALSE())</f>
        <v>9.0976999999999997</v>
      </c>
      <c r="G594" s="23">
        <f>VLOOKUP(C594,'[1]1.CUADRO RESUMEN DE SITIOS '!$C$5:$L$1052,5,FALSE())</f>
        <v>-74.978269999999995</v>
      </c>
      <c r="H594" s="23" t="str">
        <f>VLOOKUP(C594,'[1]1.CUADRO RESUMEN DE SITIOS '!$C$5:$L$1052,6,FALSE())</f>
        <v>Sucre</v>
      </c>
      <c r="I594" s="23" t="str">
        <f>VLOOKUP(C594,'[1]1.CUADRO RESUMEN DE SITIOS '!$C$5:$L$1052,7,FALSE())</f>
        <v>WOM</v>
      </c>
      <c r="J594" s="25" t="str">
        <f>VLOOKUP(C594,'[1]1.CUADRO RESUMEN DE SITIOS '!$C$5:$L$1052,8,FALSE())</f>
        <v>COSTA</v>
      </c>
      <c r="K594" s="23" t="str">
        <f>VLOOKUP(C594,'[1]1.CUADRO RESUMEN DE SITIOS '!$C$5:$L$1052,9,FALSE())</f>
        <v>Alfredo de la Cruz</v>
      </c>
      <c r="L594" s="26" t="str">
        <f>VLOOKUP(C594,'[1]1.CUADRO RESUMEN DE SITIOS '!$C$5:$L$1052,10,FALSE())</f>
        <v>Terminado</v>
      </c>
      <c r="M594" s="26">
        <v>8828119938</v>
      </c>
      <c r="N594" s="26">
        <f>VLOOKUP(M594,[1]LPU!$A$2:$G$1512,2,FALSE())</f>
        <v>23</v>
      </c>
      <c r="O594" s="26" t="str">
        <f>VLOOKUP(M594,[1]LPU!$A$2:$G$1512,3,FALSE)</f>
        <v>Reubicación de 01 BBU desde gabinete existente hacia nuevo gabinete, incluye conexión de alimentación en ambos planos y etiquetado</v>
      </c>
      <c r="P594" s="26" t="str">
        <f>VLOOKUP(M594,[1]LPU!$A$2:$G$1512,4,FALSE())</f>
        <v>ACCESO</v>
      </c>
      <c r="Q594" s="26" t="str">
        <f>VLOOKUP(M594,[1]LPU!$A$2:$G$1512,5,FALSE())</f>
        <v>Por sector</v>
      </c>
      <c r="R594" s="27">
        <f>VLOOKUP(M594,[1]LPU!$A$2:$G$1512,6,FALSE())</f>
        <v>217413</v>
      </c>
      <c r="S594" s="27" t="str">
        <f>VLOOKUP(M594,[1]LPU!$A$2:$G$1512,7,FALSE())</f>
        <v>LPU FLM</v>
      </c>
      <c r="T594" s="28">
        <v>1</v>
      </c>
      <c r="U594" s="29">
        <f t="shared" si="7"/>
        <v>217413</v>
      </c>
      <c r="V594" s="29" t="s">
        <v>77</v>
      </c>
      <c r="W594" s="30"/>
      <c r="X594" s="29" t="s">
        <v>254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21" customHeight="1" x14ac:dyDescent="0.3">
      <c r="A595" s="22">
        <v>591</v>
      </c>
      <c r="B595" s="23">
        <v>1</v>
      </c>
      <c r="C595" s="23" t="s">
        <v>268</v>
      </c>
      <c r="D595" s="23" t="str">
        <f>VLOOKUP(C595,'[1]1.CUADRO RESUMEN DE SITIOS '!$C$5:$L$1052,2,FALSE())</f>
        <v>JSUC_00221</v>
      </c>
      <c r="E595" s="24">
        <f>VLOOKUP(C595,'[1]1.CUADRO RESUMEN DE SITIOS '!$C$5:$L$1052,3,FALSE())</f>
        <v>45934</v>
      </c>
      <c r="F595" s="23">
        <f>VLOOKUP(C595,'[1]1.CUADRO RESUMEN DE SITIOS '!$C$5:$L$1052,4,FALSE())</f>
        <v>9.0976999999999997</v>
      </c>
      <c r="G595" s="23">
        <f>VLOOKUP(C595,'[1]1.CUADRO RESUMEN DE SITIOS '!$C$5:$L$1052,5,FALSE())</f>
        <v>-74.978269999999995</v>
      </c>
      <c r="H595" s="23" t="str">
        <f>VLOOKUP(C595,'[1]1.CUADRO RESUMEN DE SITIOS '!$C$5:$L$1052,6,FALSE())</f>
        <v>Sucre</v>
      </c>
      <c r="I595" s="23" t="str">
        <f>VLOOKUP(C595,'[1]1.CUADRO RESUMEN DE SITIOS '!$C$5:$L$1052,7,FALSE())</f>
        <v>WOM</v>
      </c>
      <c r="J595" s="25" t="str">
        <f>VLOOKUP(C595,'[1]1.CUADRO RESUMEN DE SITIOS '!$C$5:$L$1052,8,FALSE())</f>
        <v>COSTA</v>
      </c>
      <c r="K595" s="23" t="str">
        <f>VLOOKUP(C595,'[1]1.CUADRO RESUMEN DE SITIOS '!$C$5:$L$1052,9,FALSE())</f>
        <v>Alfredo de la Cruz</v>
      </c>
      <c r="L595" s="26" t="str">
        <f>VLOOKUP(C595,'[1]1.CUADRO RESUMEN DE SITIOS '!$C$5:$L$1052,10,FALSE())</f>
        <v>Terminado</v>
      </c>
      <c r="M595" s="26">
        <v>8828119402</v>
      </c>
      <c r="N595" s="26">
        <f>VLOOKUP(M595,[1]LPU!$A$2:$G$1512,2,FALSE())</f>
        <v>4</v>
      </c>
      <c r="O595" s="26" t="str">
        <f>VLOOKUP(M595,[1]LPU!$A$2:$G$1512,3,FALSE)</f>
        <v>Apertura y Cierre de Reja de Seguridad para Revisión de Baterías</v>
      </c>
      <c r="P595" s="26" t="str">
        <f>VLOOKUP(M595,[1]LPU!$A$2:$G$1512,4,FALSE())</f>
        <v>ACCESO</v>
      </c>
      <c r="Q595" s="26" t="str">
        <f>VLOOKUP(M595,[1]LPU!$A$2:$G$1512,5,FALSE())</f>
        <v>U</v>
      </c>
      <c r="R595" s="27">
        <f>VLOOKUP(M595,[1]LPU!$A$2:$G$1512,6,FALSE())</f>
        <v>96900</v>
      </c>
      <c r="S595" s="27" t="str">
        <f>VLOOKUP(M595,[1]LPU!$A$2:$G$1512,7,FALSE())</f>
        <v>LPU FLM</v>
      </c>
      <c r="T595" s="28">
        <v>1</v>
      </c>
      <c r="U595" s="29">
        <f t="shared" si="7"/>
        <v>96900</v>
      </c>
      <c r="V595" s="29" t="s">
        <v>77</v>
      </c>
      <c r="W595" s="30"/>
      <c r="X595" s="29" t="s">
        <v>254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ht="21" customHeight="1" x14ac:dyDescent="0.3">
      <c r="A596" s="22">
        <v>592</v>
      </c>
      <c r="B596" s="23">
        <v>1</v>
      </c>
      <c r="C596" s="23" t="s">
        <v>268</v>
      </c>
      <c r="D596" s="23" t="str">
        <f>VLOOKUP(C596,'[1]1.CUADRO RESUMEN DE SITIOS '!$C$5:$L$1052,2,FALSE())</f>
        <v>JSUC_00221</v>
      </c>
      <c r="E596" s="24">
        <f>VLOOKUP(C596,'[1]1.CUADRO RESUMEN DE SITIOS '!$C$5:$L$1052,3,FALSE())</f>
        <v>45934</v>
      </c>
      <c r="F596" s="23">
        <f>VLOOKUP(C596,'[1]1.CUADRO RESUMEN DE SITIOS '!$C$5:$L$1052,4,FALSE())</f>
        <v>9.0976999999999997</v>
      </c>
      <c r="G596" s="23">
        <f>VLOOKUP(C596,'[1]1.CUADRO RESUMEN DE SITIOS '!$C$5:$L$1052,5,FALSE())</f>
        <v>-74.978269999999995</v>
      </c>
      <c r="H596" s="23" t="str">
        <f>VLOOKUP(C596,'[1]1.CUADRO RESUMEN DE SITIOS '!$C$5:$L$1052,6,FALSE())</f>
        <v>Sucre</v>
      </c>
      <c r="I596" s="23" t="str">
        <f>VLOOKUP(C596,'[1]1.CUADRO RESUMEN DE SITIOS '!$C$5:$L$1052,7,FALSE())</f>
        <v>WOM</v>
      </c>
      <c r="J596" s="25" t="str">
        <f>VLOOKUP(C596,'[1]1.CUADRO RESUMEN DE SITIOS '!$C$5:$L$1052,8,FALSE())</f>
        <v>COSTA</v>
      </c>
      <c r="K596" s="23" t="str">
        <f>VLOOKUP(C596,'[1]1.CUADRO RESUMEN DE SITIOS '!$C$5:$L$1052,9,FALSE())</f>
        <v>Alfredo de la Cruz</v>
      </c>
      <c r="L596" s="26" t="str">
        <f>VLOOKUP(C596,'[1]1.CUADRO RESUMEN DE SITIOS '!$C$5:$L$1052,10,FALSE())</f>
        <v>Terminado</v>
      </c>
      <c r="M596" s="26">
        <v>8828119250</v>
      </c>
      <c r="N596" s="26">
        <f>VLOOKUP(M596,[1]LPU!$A$2:$G$1512,2,FALSE())</f>
        <v>0</v>
      </c>
      <c r="O596" s="26" t="str">
        <f>VLOOKUP(M596,[1]LPU!$A$2:$G$1512,3,FALSE)</f>
        <v>Suministro e instalación coraza americana de 1 1/2" - Incluye 100% accesorios</v>
      </c>
      <c r="P596" s="26" t="str">
        <f>VLOOKUP(M596,[1]LPU!$A$2:$G$1512,4,FALSE())</f>
        <v>Variables</v>
      </c>
      <c r="Q596" s="26" t="str">
        <f>VLOOKUP(M596,[1]LPU!$A$2:$G$1512,5,FALSE())</f>
        <v>ml</v>
      </c>
      <c r="R596" s="27">
        <f>VLOOKUP(M596,[1]LPU!$A$2:$G$1512,6,FALSE())</f>
        <v>12410</v>
      </c>
      <c r="S596" s="27" t="str">
        <f>VLOOKUP(M596,[1]LPU!$A$2:$G$1512,7,FALSE())</f>
        <v>LPU FO</v>
      </c>
      <c r="T596" s="28">
        <v>8</v>
      </c>
      <c r="U596" s="29">
        <f t="shared" si="7"/>
        <v>99280</v>
      </c>
      <c r="V596" s="29" t="s">
        <v>77</v>
      </c>
      <c r="W596" s="30"/>
      <c r="X596" s="29" t="s">
        <v>254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ht="21" customHeight="1" x14ac:dyDescent="0.3">
      <c r="A597" s="22">
        <v>593</v>
      </c>
      <c r="B597" s="23">
        <v>1</v>
      </c>
      <c r="C597" s="23" t="s">
        <v>90</v>
      </c>
      <c r="D597" s="23" t="str">
        <f>VLOOKUP(C597,'[1]1.CUADRO RESUMEN DE SITIOS '!$C$5:$L$1052,2,FALSE())</f>
        <v>JSUC_00148</v>
      </c>
      <c r="E597" s="24">
        <f>VLOOKUP(C597,'[1]1.CUADRO RESUMEN DE SITIOS '!$C$5:$L$1052,3,FALSE())</f>
        <v>45973</v>
      </c>
      <c r="F597" s="23">
        <f>VLOOKUP(C597,'[1]1.CUADRO RESUMEN DE SITIOS '!$C$5:$L$1052,4,FALSE())</f>
        <v>8.8015699999999999</v>
      </c>
      <c r="G597" s="23">
        <f>VLOOKUP(C597,'[1]1.CUADRO RESUMEN DE SITIOS '!$C$5:$L$1052,5,FALSE())</f>
        <v>-75.356999999999999</v>
      </c>
      <c r="H597" s="23" t="str">
        <f>VLOOKUP(C597,'[1]1.CUADRO RESUMEN DE SITIOS '!$C$5:$L$1052,6,FALSE())</f>
        <v>Sucre</v>
      </c>
      <c r="I597" s="23" t="str">
        <f>VLOOKUP(C597,'[1]1.CUADRO RESUMEN DE SITIOS '!$C$5:$L$1052,7,FALSE())</f>
        <v>WOM</v>
      </c>
      <c r="J597" s="25" t="str">
        <f>VLOOKUP(C597,'[1]1.CUADRO RESUMEN DE SITIOS '!$C$5:$L$1052,8,FALSE())</f>
        <v>COSTA</v>
      </c>
      <c r="K597" s="23" t="str">
        <f>VLOOKUP(C597,'[1]1.CUADRO RESUMEN DE SITIOS '!$C$5:$L$1052,9,FALSE())</f>
        <v>Alfredo de la Cruz</v>
      </c>
      <c r="L597" s="26" t="str">
        <f>VLOOKUP(C597,'[1]1.CUADRO RESUMEN DE SITIOS '!$C$5:$L$1052,10,FALSE())</f>
        <v>Terminado</v>
      </c>
      <c r="M597" s="26">
        <v>8828119492</v>
      </c>
      <c r="N597" s="26">
        <f>VLOOKUP(M597,[1]LPU!$A$2:$G$1512,2,FALSE())</f>
        <v>53</v>
      </c>
      <c r="O597" s="26" t="str">
        <f>VLOOKUP(M597,[1]LPU!$A$2:$G$1512,3,FALSE)</f>
        <v>Instalación Banco de Baterias para Rectificadores - Aplica para ampliaciones.</v>
      </c>
      <c r="P597" s="26" t="str">
        <f>VLOOKUP(M597,[1]LPU!$A$2:$G$1512,4,FALSE())</f>
        <v>ENERGÍA</v>
      </c>
      <c r="Q597" s="26" t="str">
        <f>VLOOKUP(M597,[1]LPU!$A$2:$G$1512,5,FALSE())</f>
        <v>U</v>
      </c>
      <c r="R597" s="27">
        <f>VLOOKUP(M597,[1]LPU!$A$2:$G$1512,6,FALSE())</f>
        <v>102340</v>
      </c>
      <c r="S597" s="27" t="str">
        <f>VLOOKUP(M597,[1]LPU!$A$2:$G$1512,7,FALSE())</f>
        <v>LPU FLM</v>
      </c>
      <c r="T597" s="28">
        <v>1</v>
      </c>
      <c r="U597" s="29">
        <f t="shared" si="7"/>
        <v>102340</v>
      </c>
      <c r="V597" s="29" t="s">
        <v>77</v>
      </c>
      <c r="W597" s="30"/>
      <c r="X597" s="29" t="s">
        <v>254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ht="21" customHeight="1" x14ac:dyDescent="0.3">
      <c r="A598" s="22">
        <v>594</v>
      </c>
      <c r="B598" s="23">
        <v>1</v>
      </c>
      <c r="C598" s="23" t="s">
        <v>90</v>
      </c>
      <c r="D598" s="23" t="str">
        <f>VLOOKUP(C598,'[1]1.CUADRO RESUMEN DE SITIOS '!$C$5:$L$1052,2,FALSE())</f>
        <v>JSUC_00148</v>
      </c>
      <c r="E598" s="24">
        <f>VLOOKUP(C598,'[1]1.CUADRO RESUMEN DE SITIOS '!$C$5:$L$1052,3,FALSE())</f>
        <v>45973</v>
      </c>
      <c r="F598" s="23">
        <f>VLOOKUP(C598,'[1]1.CUADRO RESUMEN DE SITIOS '!$C$5:$L$1052,4,FALSE())</f>
        <v>8.8015699999999999</v>
      </c>
      <c r="G598" s="23">
        <f>VLOOKUP(C598,'[1]1.CUADRO RESUMEN DE SITIOS '!$C$5:$L$1052,5,FALSE())</f>
        <v>-75.356999999999999</v>
      </c>
      <c r="H598" s="23" t="str">
        <f>VLOOKUP(C598,'[1]1.CUADRO RESUMEN DE SITIOS '!$C$5:$L$1052,6,FALSE())</f>
        <v>Sucre</v>
      </c>
      <c r="I598" s="23" t="str">
        <f>VLOOKUP(C598,'[1]1.CUADRO RESUMEN DE SITIOS '!$C$5:$L$1052,7,FALSE())</f>
        <v>WOM</v>
      </c>
      <c r="J598" s="25" t="str">
        <f>VLOOKUP(C598,'[1]1.CUADRO RESUMEN DE SITIOS '!$C$5:$L$1052,8,FALSE())</f>
        <v>COSTA</v>
      </c>
      <c r="K598" s="23" t="str">
        <f>VLOOKUP(C598,'[1]1.CUADRO RESUMEN DE SITIOS '!$C$5:$L$1052,9,FALSE())</f>
        <v>Alfredo de la Cruz</v>
      </c>
      <c r="L598" s="26" t="str">
        <f>VLOOKUP(C598,'[1]1.CUADRO RESUMEN DE SITIOS '!$C$5:$L$1052,10,FALSE())</f>
        <v>Terminado</v>
      </c>
      <c r="M598" s="26">
        <v>8828119512</v>
      </c>
      <c r="N598" s="26">
        <f>VLOOKUP(M598,[1]LPU!$A$2:$G$1512,2,FALSE())</f>
        <v>55</v>
      </c>
      <c r="O598" s="26" t="str">
        <f>VLOOKUP(M598,[1]LPU!$A$2:$G$1512,3,FALSE)</f>
        <v>Transporte Banco de Baterias</v>
      </c>
      <c r="P598" s="26" t="str">
        <f>VLOOKUP(M598,[1]LPU!$A$2:$G$1512,4,FALSE())</f>
        <v>ENERGÍA</v>
      </c>
      <c r="Q598" s="26" t="str">
        <f>VLOOKUP(M598,[1]LPU!$A$2:$G$1512,5,FALSE())</f>
        <v>U</v>
      </c>
      <c r="R598" s="27">
        <f>VLOOKUP(M598,[1]LPU!$A$2:$G$1512,6,FALSE())</f>
        <v>82212</v>
      </c>
      <c r="S598" s="27" t="str">
        <f>VLOOKUP(M598,[1]LPU!$A$2:$G$1512,7,FALSE())</f>
        <v>LPU FLM</v>
      </c>
      <c r="T598" s="28">
        <v>1</v>
      </c>
      <c r="U598" s="29">
        <f t="shared" si="7"/>
        <v>82212</v>
      </c>
      <c r="V598" s="29" t="s">
        <v>77</v>
      </c>
      <c r="W598" s="30"/>
      <c r="X598" s="29" t="s">
        <v>254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ht="21" customHeight="1" x14ac:dyDescent="0.3">
      <c r="A599" s="22">
        <v>595</v>
      </c>
      <c r="B599" s="23">
        <v>1</v>
      </c>
      <c r="C599" s="23" t="s">
        <v>90</v>
      </c>
      <c r="D599" s="23" t="str">
        <f>VLOOKUP(C599,'[1]1.CUADRO RESUMEN DE SITIOS '!$C$5:$L$1052,2,FALSE())</f>
        <v>JSUC_00148</v>
      </c>
      <c r="E599" s="24">
        <f>VLOOKUP(C599,'[1]1.CUADRO RESUMEN DE SITIOS '!$C$5:$L$1052,3,FALSE())</f>
        <v>45973</v>
      </c>
      <c r="F599" s="23">
        <f>VLOOKUP(C599,'[1]1.CUADRO RESUMEN DE SITIOS '!$C$5:$L$1052,4,FALSE())</f>
        <v>8.8015699999999999</v>
      </c>
      <c r="G599" s="23">
        <f>VLOOKUP(C599,'[1]1.CUADRO RESUMEN DE SITIOS '!$C$5:$L$1052,5,FALSE())</f>
        <v>-75.356999999999999</v>
      </c>
      <c r="H599" s="23" t="str">
        <f>VLOOKUP(C599,'[1]1.CUADRO RESUMEN DE SITIOS '!$C$5:$L$1052,6,FALSE())</f>
        <v>Sucre</v>
      </c>
      <c r="I599" s="23" t="str">
        <f>VLOOKUP(C599,'[1]1.CUADRO RESUMEN DE SITIOS '!$C$5:$L$1052,7,FALSE())</f>
        <v>WOM</v>
      </c>
      <c r="J599" s="25" t="str">
        <f>VLOOKUP(C599,'[1]1.CUADRO RESUMEN DE SITIOS '!$C$5:$L$1052,8,FALSE())</f>
        <v>COSTA</v>
      </c>
      <c r="K599" s="23" t="str">
        <f>VLOOKUP(C599,'[1]1.CUADRO RESUMEN DE SITIOS '!$C$5:$L$1052,9,FALSE())</f>
        <v>Alfredo de la Cruz</v>
      </c>
      <c r="L599" s="26" t="str">
        <f>VLOOKUP(C599,'[1]1.CUADRO RESUMEN DE SITIOS '!$C$5:$L$1052,10,FALSE())</f>
        <v>Terminado</v>
      </c>
      <c r="M599" s="26">
        <v>8828118999</v>
      </c>
      <c r="N599" s="26">
        <f>VLOOKUP(M599,[1]LPU!$A$2:$G$1512,2,FALSE())</f>
        <v>0</v>
      </c>
      <c r="O599" s="26" t="str">
        <f>VLOOKUP(M599,[1]LPU!$A$2:$G$1512,3,FALSE)</f>
        <v>Suministro e instalación de cable UTP Categoría 6, con conectores en sus extremos, certificado</v>
      </c>
      <c r="P599" s="26" t="str">
        <f>VLOOKUP(M599,[1]LPU!$A$2:$G$1512,4,FALSE())</f>
        <v>Item Critico</v>
      </c>
      <c r="Q599" s="26" t="str">
        <f>VLOOKUP(M599,[1]LPU!$A$2:$G$1512,5,FALSE())</f>
        <v>m</v>
      </c>
      <c r="R599" s="27">
        <f>VLOOKUP(M599,[1]LPU!$A$2:$G$1512,6,FALSE())</f>
        <v>5913</v>
      </c>
      <c r="S599" s="27" t="str">
        <f>VLOOKUP(M599,[1]LPU!$A$2:$G$1512,7,FALSE())</f>
        <v>LPU FO Propia</v>
      </c>
      <c r="T599" s="28">
        <v>3</v>
      </c>
      <c r="U599" s="29">
        <f t="shared" si="7"/>
        <v>17739</v>
      </c>
      <c r="V599" s="29" t="s">
        <v>77</v>
      </c>
      <c r="W599" s="30"/>
      <c r="X599" s="29" t="s">
        <v>254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ht="21" customHeight="1" x14ac:dyDescent="0.3">
      <c r="A600" s="22">
        <v>596</v>
      </c>
      <c r="B600" s="23">
        <v>1</v>
      </c>
      <c r="C600" s="23" t="s">
        <v>90</v>
      </c>
      <c r="D600" s="23" t="str">
        <f>VLOOKUP(C600,'[1]1.CUADRO RESUMEN DE SITIOS '!$C$5:$L$1052,2,FALSE())</f>
        <v>JSUC_00148</v>
      </c>
      <c r="E600" s="24">
        <f>VLOOKUP(C600,'[1]1.CUADRO RESUMEN DE SITIOS '!$C$5:$L$1052,3,FALSE())</f>
        <v>45973</v>
      </c>
      <c r="F600" s="23">
        <f>VLOOKUP(C600,'[1]1.CUADRO RESUMEN DE SITIOS '!$C$5:$L$1052,4,FALSE())</f>
        <v>8.8015699999999999</v>
      </c>
      <c r="G600" s="23">
        <f>VLOOKUP(C600,'[1]1.CUADRO RESUMEN DE SITIOS '!$C$5:$L$1052,5,FALSE())</f>
        <v>-75.356999999999999</v>
      </c>
      <c r="H600" s="23" t="str">
        <f>VLOOKUP(C600,'[1]1.CUADRO RESUMEN DE SITIOS '!$C$5:$L$1052,6,FALSE())</f>
        <v>Sucre</v>
      </c>
      <c r="I600" s="23" t="str">
        <f>VLOOKUP(C600,'[1]1.CUADRO RESUMEN DE SITIOS '!$C$5:$L$1052,7,FALSE())</f>
        <v>WOM</v>
      </c>
      <c r="J600" s="25" t="str">
        <f>VLOOKUP(C600,'[1]1.CUADRO RESUMEN DE SITIOS '!$C$5:$L$1052,8,FALSE())</f>
        <v>COSTA</v>
      </c>
      <c r="K600" s="23" t="str">
        <f>VLOOKUP(C600,'[1]1.CUADRO RESUMEN DE SITIOS '!$C$5:$L$1052,9,FALSE())</f>
        <v>Alfredo de la Cruz</v>
      </c>
      <c r="L600" s="26" t="str">
        <f>VLOOKUP(C600,'[1]1.CUADRO RESUMEN DE SITIOS '!$C$5:$L$1052,10,FALSE())</f>
        <v>Terminado</v>
      </c>
      <c r="M600" s="26">
        <v>8828118925</v>
      </c>
      <c r="N600" s="26">
        <f>VLOOKUP(M600,[1]LPU!$A$2:$G$1512,2,FALSE())</f>
        <v>87</v>
      </c>
      <c r="O600" s="26" t="str">
        <f>VLOOKUP(M600,[1]LPU!$A$2:$G$1512,3,FALSE)</f>
        <v>Suministro e Instalacion de cable multifilar #4 awg tipo soldador.</v>
      </c>
      <c r="P600" s="26" t="str">
        <f>VLOOKUP(M600,[1]LPU!$A$2:$G$1512,4,FALSE())</f>
        <v>ENERGÍA</v>
      </c>
      <c r="Q600" s="26" t="str">
        <f>VLOOKUP(M600,[1]LPU!$A$2:$G$1512,5,FALSE())</f>
        <v>ML</v>
      </c>
      <c r="R600" s="27">
        <f>VLOOKUP(M600,[1]LPU!$A$2:$G$1512,6,FALSE())</f>
        <v>60815.8</v>
      </c>
      <c r="S600" s="27" t="str">
        <f>VLOOKUP(M600,[1]LPU!$A$2:$G$1512,7,FALSE())</f>
        <v>LPU FLM</v>
      </c>
      <c r="T600" s="28">
        <v>10</v>
      </c>
      <c r="U600" s="29">
        <f t="shared" si="7"/>
        <v>608158</v>
      </c>
      <c r="V600" s="29" t="s">
        <v>77</v>
      </c>
      <c r="W600" s="30"/>
      <c r="X600" s="29" t="s">
        <v>254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ht="21" customHeight="1" x14ac:dyDescent="0.3">
      <c r="A601" s="22">
        <v>597</v>
      </c>
      <c r="B601" s="23">
        <v>1</v>
      </c>
      <c r="C601" s="23" t="s">
        <v>90</v>
      </c>
      <c r="D601" s="23" t="str">
        <f>VLOOKUP(C601,'[1]1.CUADRO RESUMEN DE SITIOS '!$C$5:$L$1052,2,FALSE())</f>
        <v>JSUC_00148</v>
      </c>
      <c r="E601" s="24">
        <f>VLOOKUP(C601,'[1]1.CUADRO RESUMEN DE SITIOS '!$C$5:$L$1052,3,FALSE())</f>
        <v>45973</v>
      </c>
      <c r="F601" s="23">
        <f>VLOOKUP(C601,'[1]1.CUADRO RESUMEN DE SITIOS '!$C$5:$L$1052,4,FALSE())</f>
        <v>8.8015699999999999</v>
      </c>
      <c r="G601" s="23">
        <f>VLOOKUP(C601,'[1]1.CUADRO RESUMEN DE SITIOS '!$C$5:$L$1052,5,FALSE())</f>
        <v>-75.356999999999999</v>
      </c>
      <c r="H601" s="23" t="str">
        <f>VLOOKUP(C601,'[1]1.CUADRO RESUMEN DE SITIOS '!$C$5:$L$1052,6,FALSE())</f>
        <v>Sucre</v>
      </c>
      <c r="I601" s="23" t="str">
        <f>VLOOKUP(C601,'[1]1.CUADRO RESUMEN DE SITIOS '!$C$5:$L$1052,7,FALSE())</f>
        <v>WOM</v>
      </c>
      <c r="J601" s="25" t="str">
        <f>VLOOKUP(C601,'[1]1.CUADRO RESUMEN DE SITIOS '!$C$5:$L$1052,8,FALSE())</f>
        <v>COSTA</v>
      </c>
      <c r="K601" s="23" t="str">
        <f>VLOOKUP(C601,'[1]1.CUADRO RESUMEN DE SITIOS '!$C$5:$L$1052,9,FALSE())</f>
        <v>Alfredo de la Cruz</v>
      </c>
      <c r="L601" s="26" t="str">
        <f>VLOOKUP(C601,'[1]1.CUADRO RESUMEN DE SITIOS '!$C$5:$L$1052,10,FALSE())</f>
        <v>Terminado</v>
      </c>
      <c r="M601" s="26">
        <v>8828118868</v>
      </c>
      <c r="N601" s="26">
        <f>VLOOKUP(M601,[1]LPU!$A$2:$G$1512,2,FALSE())</f>
        <v>81</v>
      </c>
      <c r="O601" s="26" t="str">
        <f>VLOOKUP(M601,[1]LPU!$A$2:$G$1512,3,FALSE)</f>
        <v>Suministro e Instalacion de terminal para cable awg # 2 en cobre estañado un ojo</v>
      </c>
      <c r="P601" s="26" t="str">
        <f>VLOOKUP(M601,[1]LPU!$A$2:$G$1512,4,FALSE())</f>
        <v>ENERGÍA</v>
      </c>
      <c r="Q601" s="26" t="str">
        <f>VLOOKUP(M601,[1]LPU!$A$2:$G$1512,5,FALSE())</f>
        <v>U</v>
      </c>
      <c r="R601" s="27">
        <f>VLOOKUP(M601,[1]LPU!$A$2:$G$1512,6,FALSE())</f>
        <v>2347</v>
      </c>
      <c r="S601" s="27" t="str">
        <f>VLOOKUP(M601,[1]LPU!$A$2:$G$1512,7,FALSE())</f>
        <v>LPU FLM</v>
      </c>
      <c r="T601" s="28">
        <v>4</v>
      </c>
      <c r="U601" s="29">
        <f t="shared" si="7"/>
        <v>9388</v>
      </c>
      <c r="V601" s="29" t="s">
        <v>77</v>
      </c>
      <c r="W601" s="30"/>
      <c r="X601" s="29" t="s">
        <v>254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ht="21" customHeight="1" x14ac:dyDescent="0.3">
      <c r="A602" s="22">
        <v>598</v>
      </c>
      <c r="B602" s="23">
        <v>1</v>
      </c>
      <c r="C602" s="23" t="s">
        <v>90</v>
      </c>
      <c r="D602" s="23" t="str">
        <f>VLOOKUP(C602,'[1]1.CUADRO RESUMEN DE SITIOS '!$C$5:$L$1052,2,FALSE())</f>
        <v>JSUC_00148</v>
      </c>
      <c r="E602" s="24">
        <f>VLOOKUP(C602,'[1]1.CUADRO RESUMEN DE SITIOS '!$C$5:$L$1052,3,FALSE())</f>
        <v>45973</v>
      </c>
      <c r="F602" s="23">
        <f>VLOOKUP(C602,'[1]1.CUADRO RESUMEN DE SITIOS '!$C$5:$L$1052,4,FALSE())</f>
        <v>8.8015699999999999</v>
      </c>
      <c r="G602" s="23">
        <f>VLOOKUP(C602,'[1]1.CUADRO RESUMEN DE SITIOS '!$C$5:$L$1052,5,FALSE())</f>
        <v>-75.356999999999999</v>
      </c>
      <c r="H602" s="23" t="str">
        <f>VLOOKUP(C602,'[1]1.CUADRO RESUMEN DE SITIOS '!$C$5:$L$1052,6,FALSE())</f>
        <v>Sucre</v>
      </c>
      <c r="I602" s="23" t="str">
        <f>VLOOKUP(C602,'[1]1.CUADRO RESUMEN DE SITIOS '!$C$5:$L$1052,7,FALSE())</f>
        <v>WOM</v>
      </c>
      <c r="J602" s="25" t="str">
        <f>VLOOKUP(C602,'[1]1.CUADRO RESUMEN DE SITIOS '!$C$5:$L$1052,8,FALSE())</f>
        <v>COSTA</v>
      </c>
      <c r="K602" s="23" t="str">
        <f>VLOOKUP(C602,'[1]1.CUADRO RESUMEN DE SITIOS '!$C$5:$L$1052,9,FALSE())</f>
        <v>Alfredo de la Cruz</v>
      </c>
      <c r="L602" s="26" t="str">
        <f>VLOOKUP(C602,'[1]1.CUADRO RESUMEN DE SITIOS '!$C$5:$L$1052,10,FALSE())</f>
        <v>Terminado</v>
      </c>
      <c r="M602" s="26">
        <v>8828119980</v>
      </c>
      <c r="N602" s="26">
        <f>VLOOKUP(M602,[1]LPU!$A$2:$G$1512,2,FALSE())</f>
        <v>169</v>
      </c>
      <c r="O602" s="26" t="str">
        <f>VLOOKUP(M602,[1]LPU!$A$2:$G$1512,3,FALSE)</f>
        <v>Reforzamiento Protección Concreto para Rack de Baterías Incluye Materiales</v>
      </c>
      <c r="P602" s="26" t="str">
        <f>VLOOKUP(M602,[1]LPU!$A$2:$G$1512,4,FALSE())</f>
        <v>LOCATIVO</v>
      </c>
      <c r="Q602" s="26" t="str">
        <f>VLOOKUP(M602,[1]LPU!$A$2:$G$1512,5,FALSE())</f>
        <v>U</v>
      </c>
      <c r="R602" s="27">
        <f>VLOOKUP(M602,[1]LPU!$A$2:$G$1512,6,FALSE())</f>
        <v>114750</v>
      </c>
      <c r="S602" s="27" t="str">
        <f>VLOOKUP(M602,[1]LPU!$A$2:$G$1512,7,FALSE())</f>
        <v>LPU FLM</v>
      </c>
      <c r="T602" s="28">
        <v>1</v>
      </c>
      <c r="U602" s="29">
        <f t="shared" si="7"/>
        <v>114750</v>
      </c>
      <c r="V602" s="29" t="s">
        <v>77</v>
      </c>
      <c r="W602" s="30"/>
      <c r="X602" s="29" t="s">
        <v>254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ht="21" customHeight="1" x14ac:dyDescent="0.3">
      <c r="A603" s="22">
        <v>599</v>
      </c>
      <c r="B603" s="23">
        <v>1</v>
      </c>
      <c r="C603" s="23" t="s">
        <v>90</v>
      </c>
      <c r="D603" s="23" t="str">
        <f>VLOOKUP(C603,'[1]1.CUADRO RESUMEN DE SITIOS '!$C$5:$L$1052,2,FALSE())</f>
        <v>JSUC_00148</v>
      </c>
      <c r="E603" s="24">
        <f>VLOOKUP(C603,'[1]1.CUADRO RESUMEN DE SITIOS '!$C$5:$L$1052,3,FALSE())</f>
        <v>45973</v>
      </c>
      <c r="F603" s="23">
        <f>VLOOKUP(C603,'[1]1.CUADRO RESUMEN DE SITIOS '!$C$5:$L$1052,4,FALSE())</f>
        <v>8.8015699999999999</v>
      </c>
      <c r="G603" s="23">
        <f>VLOOKUP(C603,'[1]1.CUADRO RESUMEN DE SITIOS '!$C$5:$L$1052,5,FALSE())</f>
        <v>-75.356999999999999</v>
      </c>
      <c r="H603" s="23" t="str">
        <f>VLOOKUP(C603,'[1]1.CUADRO RESUMEN DE SITIOS '!$C$5:$L$1052,6,FALSE())</f>
        <v>Sucre</v>
      </c>
      <c r="I603" s="23" t="str">
        <f>VLOOKUP(C603,'[1]1.CUADRO RESUMEN DE SITIOS '!$C$5:$L$1052,7,FALSE())</f>
        <v>WOM</v>
      </c>
      <c r="J603" s="25" t="str">
        <f>VLOOKUP(C603,'[1]1.CUADRO RESUMEN DE SITIOS '!$C$5:$L$1052,8,FALSE())</f>
        <v>COSTA</v>
      </c>
      <c r="K603" s="23" t="str">
        <f>VLOOKUP(C603,'[1]1.CUADRO RESUMEN DE SITIOS '!$C$5:$L$1052,9,FALSE())</f>
        <v>Alfredo de la Cruz</v>
      </c>
      <c r="L603" s="26" t="str">
        <f>VLOOKUP(C603,'[1]1.CUADRO RESUMEN DE SITIOS '!$C$5:$L$1052,10,FALSE())</f>
        <v>Terminado</v>
      </c>
      <c r="M603" s="26">
        <v>8828119848</v>
      </c>
      <c r="N603" s="26">
        <f>VLOOKUP(M603,[1]LPU!$A$2:$G$1512,2,FALSE())</f>
        <v>157</v>
      </c>
      <c r="O603" s="26" t="str">
        <f>VLOOKUP(M603,[1]LPU!$A$2:$G$1512,3,FALSE)</f>
        <v>Reja para equipo cabinet x 2 baterías</v>
      </c>
      <c r="P603" s="26" t="str">
        <f>VLOOKUP(M603,[1]LPU!$A$2:$G$1512,4,FALSE())</f>
        <v>LOCATIVO</v>
      </c>
      <c r="Q603" s="26" t="str">
        <f>VLOOKUP(M603,[1]LPU!$A$2:$G$1512,5,FALSE())</f>
        <v>U</v>
      </c>
      <c r="R603" s="27">
        <f>VLOOKUP(M603,[1]LPU!$A$2:$G$1512,6,FALSE())</f>
        <v>415303</v>
      </c>
      <c r="S603" s="27" t="str">
        <f>VLOOKUP(M603,[1]LPU!$A$2:$G$1512,7,FALSE())</f>
        <v>LPU FLM</v>
      </c>
      <c r="T603" s="28">
        <v>1</v>
      </c>
      <c r="U603" s="29">
        <f t="shared" si="7"/>
        <v>415303</v>
      </c>
      <c r="V603" s="29" t="s">
        <v>77</v>
      </c>
      <c r="W603" s="30"/>
      <c r="X603" s="29" t="s">
        <v>254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ht="21" customHeight="1" x14ac:dyDescent="0.3">
      <c r="A604" s="22">
        <v>600</v>
      </c>
      <c r="B604" s="23">
        <v>1</v>
      </c>
      <c r="C604" s="23" t="s">
        <v>90</v>
      </c>
      <c r="D604" s="23" t="str">
        <f>VLOOKUP(C604,'[1]1.CUADRO RESUMEN DE SITIOS '!$C$5:$L$1052,2,FALSE())</f>
        <v>JSUC_00148</v>
      </c>
      <c r="E604" s="24">
        <f>VLOOKUP(C604,'[1]1.CUADRO RESUMEN DE SITIOS '!$C$5:$L$1052,3,FALSE())</f>
        <v>45973</v>
      </c>
      <c r="F604" s="23">
        <f>VLOOKUP(C604,'[1]1.CUADRO RESUMEN DE SITIOS '!$C$5:$L$1052,4,FALSE())</f>
        <v>8.8015699999999999</v>
      </c>
      <c r="G604" s="23">
        <f>VLOOKUP(C604,'[1]1.CUADRO RESUMEN DE SITIOS '!$C$5:$L$1052,5,FALSE())</f>
        <v>-75.356999999999999</v>
      </c>
      <c r="H604" s="23" t="str">
        <f>VLOOKUP(C604,'[1]1.CUADRO RESUMEN DE SITIOS '!$C$5:$L$1052,6,FALSE())</f>
        <v>Sucre</v>
      </c>
      <c r="I604" s="23" t="str">
        <f>VLOOKUP(C604,'[1]1.CUADRO RESUMEN DE SITIOS '!$C$5:$L$1052,7,FALSE())</f>
        <v>WOM</v>
      </c>
      <c r="J604" s="25" t="str">
        <f>VLOOKUP(C604,'[1]1.CUADRO RESUMEN DE SITIOS '!$C$5:$L$1052,8,FALSE())</f>
        <v>COSTA</v>
      </c>
      <c r="K604" s="23" t="str">
        <f>VLOOKUP(C604,'[1]1.CUADRO RESUMEN DE SITIOS '!$C$5:$L$1052,9,FALSE())</f>
        <v>Alfredo de la Cruz</v>
      </c>
      <c r="L604" s="26" t="str">
        <f>VLOOKUP(C604,'[1]1.CUADRO RESUMEN DE SITIOS '!$C$5:$L$1052,10,FALSE())</f>
        <v>Terminado</v>
      </c>
      <c r="M604" s="26">
        <v>8828119045</v>
      </c>
      <c r="N604" s="26">
        <f>VLOOKUP(M604,[1]LPU!$A$2:$G$1512,2,FALSE())</f>
        <v>5.29</v>
      </c>
      <c r="O604" s="26" t="str">
        <f>VLOOKUP(M604,[1]LPU!$A$2:$G$1512,3,FALSE)</f>
        <v>Suministro e instalación de estructura metálica en acero galvanizado para refuerzo, soportes, bases y adecuaciones en general.</v>
      </c>
      <c r="P604" s="26" t="str">
        <f>VLOOKUP(M604,[1]LPU!$A$2:$G$1512,4,FALSE())</f>
        <v>Mantenimiento CW</v>
      </c>
      <c r="Q604" s="26" t="str">
        <f>VLOOKUP(M604,[1]LPU!$A$2:$G$1512,5,FALSE())</f>
        <v>Kg</v>
      </c>
      <c r="R604" s="27">
        <f>VLOOKUP(M604,[1]LPU!$A$2:$G$1512,6,FALSE())</f>
        <v>12911.5</v>
      </c>
      <c r="S604" s="27" t="str">
        <f>VLOOKUP(M604,[1]LPU!$A$2:$G$1512,7,FALSE())</f>
        <v>Mantenimiento CW</v>
      </c>
      <c r="T604" s="28">
        <v>22</v>
      </c>
      <c r="U604" s="29">
        <f t="shared" si="7"/>
        <v>284053</v>
      </c>
      <c r="V604" s="29" t="s">
        <v>77</v>
      </c>
      <c r="W604" s="30"/>
      <c r="X604" s="29" t="s">
        <v>254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ht="21" customHeight="1" x14ac:dyDescent="0.3">
      <c r="A605" s="22">
        <v>601</v>
      </c>
      <c r="B605" s="23">
        <v>1</v>
      </c>
      <c r="C605" s="23" t="s">
        <v>90</v>
      </c>
      <c r="D605" s="23" t="str">
        <f>VLOOKUP(C605,'[1]1.CUADRO RESUMEN DE SITIOS '!$C$5:$L$1052,2,FALSE())</f>
        <v>JSUC_00148</v>
      </c>
      <c r="E605" s="24">
        <f>VLOOKUP(C605,'[1]1.CUADRO RESUMEN DE SITIOS '!$C$5:$L$1052,3,FALSE())</f>
        <v>45973</v>
      </c>
      <c r="F605" s="23">
        <f>VLOOKUP(C605,'[1]1.CUADRO RESUMEN DE SITIOS '!$C$5:$L$1052,4,FALSE())</f>
        <v>8.8015699999999999</v>
      </c>
      <c r="G605" s="23">
        <f>VLOOKUP(C605,'[1]1.CUADRO RESUMEN DE SITIOS '!$C$5:$L$1052,5,FALSE())</f>
        <v>-75.356999999999999</v>
      </c>
      <c r="H605" s="23" t="str">
        <f>VLOOKUP(C605,'[1]1.CUADRO RESUMEN DE SITIOS '!$C$5:$L$1052,6,FALSE())</f>
        <v>Sucre</v>
      </c>
      <c r="I605" s="23" t="str">
        <f>VLOOKUP(C605,'[1]1.CUADRO RESUMEN DE SITIOS '!$C$5:$L$1052,7,FALSE())</f>
        <v>WOM</v>
      </c>
      <c r="J605" s="25" t="str">
        <f>VLOOKUP(C605,'[1]1.CUADRO RESUMEN DE SITIOS '!$C$5:$L$1052,8,FALSE())</f>
        <v>COSTA</v>
      </c>
      <c r="K605" s="23" t="str">
        <f>VLOOKUP(C605,'[1]1.CUADRO RESUMEN DE SITIOS '!$C$5:$L$1052,9,FALSE())</f>
        <v>Alfredo de la Cruz</v>
      </c>
      <c r="L605" s="26" t="str">
        <f>VLOOKUP(C605,'[1]1.CUADRO RESUMEN DE SITIOS '!$C$5:$L$1052,10,FALSE())</f>
        <v>Terminado</v>
      </c>
      <c r="M605" s="26">
        <v>8828119599</v>
      </c>
      <c r="N605" s="26">
        <f>VLOOKUP(M605,[1]LPU!$A$2:$G$1512,2,FALSE())</f>
        <v>197</v>
      </c>
      <c r="O605" s="26" t="str">
        <f>VLOOKUP(M605,[1]LPU!$A$2:$G$1512,3,FALSE)</f>
        <v>Transporte de Equipos y Materiales, Carga y Descarga, desde y hacía Bodega Regional. Mas de 1 Tonelada. ZONA 2 (Resolución 5078 de 2016)</v>
      </c>
      <c r="P605" s="26" t="str">
        <f>VLOOKUP(M605,[1]LPU!$A$2:$G$1512,4,FALSE())</f>
        <v>LOCATIVO</v>
      </c>
      <c r="Q605" s="26" t="str">
        <f>VLOOKUP(M605,[1]LPU!$A$2:$G$1512,5,FALSE())</f>
        <v>U</v>
      </c>
      <c r="R605" s="27">
        <f>VLOOKUP(M605,[1]LPU!$A$2:$G$1512,6,FALSE())</f>
        <v>680680</v>
      </c>
      <c r="S605" s="27" t="str">
        <f>VLOOKUP(M605,[1]LPU!$A$2:$G$1512,7,FALSE())</f>
        <v>LPU FLM</v>
      </c>
      <c r="T605" s="28">
        <v>1</v>
      </c>
      <c r="U605" s="29">
        <f t="shared" si="7"/>
        <v>680680</v>
      </c>
      <c r="V605" s="29" t="s">
        <v>77</v>
      </c>
      <c r="W605" s="30"/>
      <c r="X605" s="29" t="s">
        <v>254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ht="21" customHeight="1" x14ac:dyDescent="0.3">
      <c r="A606" s="22">
        <v>602</v>
      </c>
      <c r="B606" s="23">
        <v>1</v>
      </c>
      <c r="C606" s="23" t="s">
        <v>90</v>
      </c>
      <c r="D606" s="23" t="str">
        <f>VLOOKUP(C606,'[1]1.CUADRO RESUMEN DE SITIOS '!$C$5:$L$1052,2,FALSE())</f>
        <v>JSUC_00148</v>
      </c>
      <c r="E606" s="24">
        <f>VLOOKUP(C606,'[1]1.CUADRO RESUMEN DE SITIOS '!$C$5:$L$1052,3,FALSE())</f>
        <v>45973</v>
      </c>
      <c r="F606" s="23">
        <f>VLOOKUP(C606,'[1]1.CUADRO RESUMEN DE SITIOS '!$C$5:$L$1052,4,FALSE())</f>
        <v>8.8015699999999999</v>
      </c>
      <c r="G606" s="23">
        <f>VLOOKUP(C606,'[1]1.CUADRO RESUMEN DE SITIOS '!$C$5:$L$1052,5,FALSE())</f>
        <v>-75.356999999999999</v>
      </c>
      <c r="H606" s="23" t="str">
        <f>VLOOKUP(C606,'[1]1.CUADRO RESUMEN DE SITIOS '!$C$5:$L$1052,6,FALSE())</f>
        <v>Sucre</v>
      </c>
      <c r="I606" s="23" t="str">
        <f>VLOOKUP(C606,'[1]1.CUADRO RESUMEN DE SITIOS '!$C$5:$L$1052,7,FALSE())</f>
        <v>WOM</v>
      </c>
      <c r="J606" s="25" t="str">
        <f>VLOOKUP(C606,'[1]1.CUADRO RESUMEN DE SITIOS '!$C$5:$L$1052,8,FALSE())</f>
        <v>COSTA</v>
      </c>
      <c r="K606" s="23" t="str">
        <f>VLOOKUP(C606,'[1]1.CUADRO RESUMEN DE SITIOS '!$C$5:$L$1052,9,FALSE())</f>
        <v>Alfredo de la Cruz</v>
      </c>
      <c r="L606" s="26" t="str">
        <f>VLOOKUP(C606,'[1]1.CUADRO RESUMEN DE SITIOS '!$C$5:$L$1052,10,FALSE())</f>
        <v>Terminado</v>
      </c>
      <c r="M606" s="26">
        <v>8828119110</v>
      </c>
      <c r="N606" s="26">
        <f>VLOOKUP(M606,[1]LPU!$A$2:$G$1512,2,FALSE())</f>
        <v>107</v>
      </c>
      <c r="O606" s="26" t="str">
        <f>VLOOKUP(M606,[1]LPU!$A$2:$G$1512,3,FALSE)</f>
        <v>Mano de Obra Tecnico Electricista Certficado CONTE</v>
      </c>
      <c r="P606" s="26" t="str">
        <f>VLOOKUP(M606,[1]LPU!$A$2:$G$1512,4,FALSE())</f>
        <v>ENERGÍA</v>
      </c>
      <c r="Q606" s="26" t="str">
        <f>VLOOKUP(M606,[1]LPU!$A$2:$G$1512,5,FALSE())</f>
        <v>DIA</v>
      </c>
      <c r="R606" s="27">
        <f>VLOOKUP(M606,[1]LPU!$A$2:$G$1512,6,FALSE())</f>
        <v>136000</v>
      </c>
      <c r="S606" s="27" t="str">
        <f>VLOOKUP(M606,[1]LPU!$A$2:$G$1512,7,FALSE())</f>
        <v>LPU FLM</v>
      </c>
      <c r="T606" s="28">
        <v>1</v>
      </c>
      <c r="U606" s="29">
        <f t="shared" si="7"/>
        <v>136000</v>
      </c>
      <c r="V606" s="29" t="s">
        <v>77</v>
      </c>
      <c r="W606" s="30"/>
      <c r="X606" s="29" t="s">
        <v>254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ht="21" customHeight="1" x14ac:dyDescent="0.3">
      <c r="A607" s="22">
        <v>603</v>
      </c>
      <c r="B607" s="23">
        <v>1</v>
      </c>
      <c r="C607" s="23" t="s">
        <v>90</v>
      </c>
      <c r="D607" s="23" t="str">
        <f>VLOOKUP(C607,'[1]1.CUADRO RESUMEN DE SITIOS '!$C$5:$L$1052,2,FALSE())</f>
        <v>JSUC_00148</v>
      </c>
      <c r="E607" s="24">
        <f>VLOOKUP(C607,'[1]1.CUADRO RESUMEN DE SITIOS '!$C$5:$L$1052,3,FALSE())</f>
        <v>45973</v>
      </c>
      <c r="F607" s="23">
        <f>VLOOKUP(C607,'[1]1.CUADRO RESUMEN DE SITIOS '!$C$5:$L$1052,4,FALSE())</f>
        <v>8.8015699999999999</v>
      </c>
      <c r="G607" s="23">
        <f>VLOOKUP(C607,'[1]1.CUADRO RESUMEN DE SITIOS '!$C$5:$L$1052,5,FALSE())</f>
        <v>-75.356999999999999</v>
      </c>
      <c r="H607" s="23" t="str">
        <f>VLOOKUP(C607,'[1]1.CUADRO RESUMEN DE SITIOS '!$C$5:$L$1052,6,FALSE())</f>
        <v>Sucre</v>
      </c>
      <c r="I607" s="23" t="str">
        <f>VLOOKUP(C607,'[1]1.CUADRO RESUMEN DE SITIOS '!$C$5:$L$1052,7,FALSE())</f>
        <v>WOM</v>
      </c>
      <c r="J607" s="25" t="str">
        <f>VLOOKUP(C607,'[1]1.CUADRO RESUMEN DE SITIOS '!$C$5:$L$1052,8,FALSE())</f>
        <v>COSTA</v>
      </c>
      <c r="K607" s="23" t="str">
        <f>VLOOKUP(C607,'[1]1.CUADRO RESUMEN DE SITIOS '!$C$5:$L$1052,9,FALSE())</f>
        <v>Alfredo de la Cruz</v>
      </c>
      <c r="L607" s="26" t="str">
        <f>VLOOKUP(C607,'[1]1.CUADRO RESUMEN DE SITIOS '!$C$5:$L$1052,10,FALSE())</f>
        <v>Terminado</v>
      </c>
      <c r="M607" s="26">
        <v>8828119938</v>
      </c>
      <c r="N607" s="26">
        <f>VLOOKUP(M607,[1]LPU!$A$2:$G$1512,2,FALSE())</f>
        <v>23</v>
      </c>
      <c r="O607" s="26" t="str">
        <f>VLOOKUP(M607,[1]LPU!$A$2:$G$1512,3,FALSE)</f>
        <v>Reubicación de 01 BBU desde gabinete existente hacia nuevo gabinete, incluye conexión de alimentación en ambos planos y etiquetado</v>
      </c>
      <c r="P607" s="26" t="str">
        <f>VLOOKUP(M607,[1]LPU!$A$2:$G$1512,4,FALSE())</f>
        <v>ACCESO</v>
      </c>
      <c r="Q607" s="26" t="str">
        <f>VLOOKUP(M607,[1]LPU!$A$2:$G$1512,5,FALSE())</f>
        <v>Por sector</v>
      </c>
      <c r="R607" s="27">
        <f>VLOOKUP(M607,[1]LPU!$A$2:$G$1512,6,FALSE())</f>
        <v>217413</v>
      </c>
      <c r="S607" s="27" t="str">
        <f>VLOOKUP(M607,[1]LPU!$A$2:$G$1512,7,FALSE())</f>
        <v>LPU FLM</v>
      </c>
      <c r="T607" s="28">
        <v>1</v>
      </c>
      <c r="U607" s="29">
        <f t="shared" si="7"/>
        <v>217413</v>
      </c>
      <c r="V607" s="29" t="s">
        <v>77</v>
      </c>
      <c r="W607" s="30"/>
      <c r="X607" s="29" t="s">
        <v>254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ht="21" customHeight="1" x14ac:dyDescent="0.3">
      <c r="A608" s="22">
        <v>604</v>
      </c>
      <c r="B608" s="23">
        <v>1</v>
      </c>
      <c r="C608" s="23" t="s">
        <v>90</v>
      </c>
      <c r="D608" s="23" t="str">
        <f>VLOOKUP(C608,'[1]1.CUADRO RESUMEN DE SITIOS '!$C$5:$L$1052,2,FALSE())</f>
        <v>JSUC_00148</v>
      </c>
      <c r="E608" s="24">
        <f>VLOOKUP(C608,'[1]1.CUADRO RESUMEN DE SITIOS '!$C$5:$L$1052,3,FALSE())</f>
        <v>45973</v>
      </c>
      <c r="F608" s="23">
        <f>VLOOKUP(C608,'[1]1.CUADRO RESUMEN DE SITIOS '!$C$5:$L$1052,4,FALSE())</f>
        <v>8.8015699999999999</v>
      </c>
      <c r="G608" s="23">
        <f>VLOOKUP(C608,'[1]1.CUADRO RESUMEN DE SITIOS '!$C$5:$L$1052,5,FALSE())</f>
        <v>-75.356999999999999</v>
      </c>
      <c r="H608" s="23" t="str">
        <f>VLOOKUP(C608,'[1]1.CUADRO RESUMEN DE SITIOS '!$C$5:$L$1052,6,FALSE())</f>
        <v>Sucre</v>
      </c>
      <c r="I608" s="23" t="str">
        <f>VLOOKUP(C608,'[1]1.CUADRO RESUMEN DE SITIOS '!$C$5:$L$1052,7,FALSE())</f>
        <v>WOM</v>
      </c>
      <c r="J608" s="25" t="str">
        <f>VLOOKUP(C608,'[1]1.CUADRO RESUMEN DE SITIOS '!$C$5:$L$1052,8,FALSE())</f>
        <v>COSTA</v>
      </c>
      <c r="K608" s="23" t="str">
        <f>VLOOKUP(C608,'[1]1.CUADRO RESUMEN DE SITIOS '!$C$5:$L$1052,9,FALSE())</f>
        <v>Alfredo de la Cruz</v>
      </c>
      <c r="L608" s="26" t="str">
        <f>VLOOKUP(C608,'[1]1.CUADRO RESUMEN DE SITIOS '!$C$5:$L$1052,10,FALSE())</f>
        <v>Terminado</v>
      </c>
      <c r="M608" s="26">
        <v>8828119402</v>
      </c>
      <c r="N608" s="26">
        <f>VLOOKUP(M608,[1]LPU!$A$2:$G$1512,2,FALSE())</f>
        <v>4</v>
      </c>
      <c r="O608" s="26" t="str">
        <f>VLOOKUP(M608,[1]LPU!$A$2:$G$1512,3,FALSE)</f>
        <v>Apertura y Cierre de Reja de Seguridad para Revisión de Baterías</v>
      </c>
      <c r="P608" s="26" t="str">
        <f>VLOOKUP(M608,[1]LPU!$A$2:$G$1512,4,FALSE())</f>
        <v>ACCESO</v>
      </c>
      <c r="Q608" s="26" t="str">
        <f>VLOOKUP(M608,[1]LPU!$A$2:$G$1512,5,FALSE())</f>
        <v>U</v>
      </c>
      <c r="R608" s="27">
        <f>VLOOKUP(M608,[1]LPU!$A$2:$G$1512,6,FALSE())</f>
        <v>96900</v>
      </c>
      <c r="S608" s="27" t="str">
        <f>VLOOKUP(M608,[1]LPU!$A$2:$G$1512,7,FALSE())</f>
        <v>LPU FLM</v>
      </c>
      <c r="T608" s="28">
        <v>1</v>
      </c>
      <c r="U608" s="29">
        <f t="shared" si="7"/>
        <v>96900</v>
      </c>
      <c r="V608" s="29" t="s">
        <v>77</v>
      </c>
      <c r="W608" s="30"/>
      <c r="X608" s="29" t="s">
        <v>254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ht="21" customHeight="1" x14ac:dyDescent="0.3">
      <c r="A609" s="22">
        <v>605</v>
      </c>
      <c r="B609" s="23">
        <v>1</v>
      </c>
      <c r="C609" s="23" t="s">
        <v>90</v>
      </c>
      <c r="D609" s="23" t="str">
        <f>VLOOKUP(C609,'[1]1.CUADRO RESUMEN DE SITIOS '!$C$5:$L$1052,2,FALSE())</f>
        <v>JSUC_00148</v>
      </c>
      <c r="E609" s="24">
        <f>VLOOKUP(C609,'[1]1.CUADRO RESUMEN DE SITIOS '!$C$5:$L$1052,3,FALSE())</f>
        <v>45973</v>
      </c>
      <c r="F609" s="23">
        <f>VLOOKUP(C609,'[1]1.CUADRO RESUMEN DE SITIOS '!$C$5:$L$1052,4,FALSE())</f>
        <v>8.8015699999999999</v>
      </c>
      <c r="G609" s="23">
        <f>VLOOKUP(C609,'[1]1.CUADRO RESUMEN DE SITIOS '!$C$5:$L$1052,5,FALSE())</f>
        <v>-75.356999999999999</v>
      </c>
      <c r="H609" s="23" t="str">
        <f>VLOOKUP(C609,'[1]1.CUADRO RESUMEN DE SITIOS '!$C$5:$L$1052,6,FALSE())</f>
        <v>Sucre</v>
      </c>
      <c r="I609" s="23" t="str">
        <f>VLOOKUP(C609,'[1]1.CUADRO RESUMEN DE SITIOS '!$C$5:$L$1052,7,FALSE())</f>
        <v>WOM</v>
      </c>
      <c r="J609" s="25" t="str">
        <f>VLOOKUP(C609,'[1]1.CUADRO RESUMEN DE SITIOS '!$C$5:$L$1052,8,FALSE())</f>
        <v>COSTA</v>
      </c>
      <c r="K609" s="23" t="str">
        <f>VLOOKUP(C609,'[1]1.CUADRO RESUMEN DE SITIOS '!$C$5:$L$1052,9,FALSE())</f>
        <v>Alfredo de la Cruz</v>
      </c>
      <c r="L609" s="26" t="str">
        <f>VLOOKUP(C609,'[1]1.CUADRO RESUMEN DE SITIOS '!$C$5:$L$1052,10,FALSE())</f>
        <v>Terminado</v>
      </c>
      <c r="M609" s="26">
        <v>8828119250</v>
      </c>
      <c r="N609" s="26">
        <f>VLOOKUP(M609,[1]LPU!$A$2:$G$1512,2,FALSE())</f>
        <v>0</v>
      </c>
      <c r="O609" s="26" t="str">
        <f>VLOOKUP(M609,[1]LPU!$A$2:$G$1512,3,FALSE)</f>
        <v>Suministro e instalación coraza americana de 1 1/2" - Incluye 100% accesorios</v>
      </c>
      <c r="P609" s="26" t="str">
        <f>VLOOKUP(M609,[1]LPU!$A$2:$G$1512,4,FALSE())</f>
        <v>Variables</v>
      </c>
      <c r="Q609" s="26" t="str">
        <f>VLOOKUP(M609,[1]LPU!$A$2:$G$1512,5,FALSE())</f>
        <v>ml</v>
      </c>
      <c r="R609" s="27">
        <f>VLOOKUP(M609,[1]LPU!$A$2:$G$1512,6,FALSE())</f>
        <v>12410</v>
      </c>
      <c r="S609" s="27" t="str">
        <f>VLOOKUP(M609,[1]LPU!$A$2:$G$1512,7,FALSE())</f>
        <v>LPU FO</v>
      </c>
      <c r="T609" s="28">
        <v>8</v>
      </c>
      <c r="U609" s="29">
        <f t="shared" si="7"/>
        <v>99280</v>
      </c>
      <c r="V609" s="29" t="s">
        <v>77</v>
      </c>
      <c r="W609" s="30"/>
      <c r="X609" s="29" t="s">
        <v>254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ht="21" customHeight="1" x14ac:dyDescent="0.3">
      <c r="A610" s="22">
        <v>606</v>
      </c>
      <c r="B610" s="23">
        <v>1</v>
      </c>
      <c r="C610" s="23" t="s">
        <v>269</v>
      </c>
      <c r="D610" s="23" t="str">
        <f>VLOOKUP(C610,'[1]1.CUADRO RESUMEN DE SITIOS '!$C$5:$L$1052,2,FALSE())</f>
        <v>JSUC_00069</v>
      </c>
      <c r="E610" s="24">
        <f>VLOOKUP(C610,'[1]1.CUADRO RESUMEN DE SITIOS '!$C$5:$L$1052,3,FALSE())</f>
        <v>45953</v>
      </c>
      <c r="F610" s="23">
        <f>VLOOKUP(C610,'[1]1.CUADRO RESUMEN DE SITIOS '!$C$5:$L$1052,4,FALSE())</f>
        <v>8.7741530000000001</v>
      </c>
      <c r="G610" s="23">
        <f>VLOOKUP(C610,'[1]1.CUADRO RESUMEN DE SITIOS '!$C$5:$L$1052,5,FALSE())</f>
        <v>-75.266397999999995</v>
      </c>
      <c r="H610" s="23" t="str">
        <f>VLOOKUP(C610,'[1]1.CUADRO RESUMEN DE SITIOS '!$C$5:$L$1052,6,FALSE())</f>
        <v>Sucre</v>
      </c>
      <c r="I610" s="23" t="str">
        <f>VLOOKUP(C610,'[1]1.CUADRO RESUMEN DE SITIOS '!$C$5:$L$1052,7,FALSE())</f>
        <v>WOM</v>
      </c>
      <c r="J610" s="25" t="str">
        <f>VLOOKUP(C610,'[1]1.CUADRO RESUMEN DE SITIOS '!$C$5:$L$1052,8,FALSE())</f>
        <v>COSTA</v>
      </c>
      <c r="K610" s="23" t="str">
        <f>VLOOKUP(C610,'[1]1.CUADRO RESUMEN DE SITIOS '!$C$5:$L$1052,9,FALSE())</f>
        <v>Alfredo de la Cruz</v>
      </c>
      <c r="L610" s="26" t="str">
        <f>VLOOKUP(C610,'[1]1.CUADRO RESUMEN DE SITIOS '!$C$5:$L$1052,10,FALSE())</f>
        <v>Terminado</v>
      </c>
      <c r="M610" s="26">
        <v>8828119492</v>
      </c>
      <c r="N610" s="26">
        <f>VLOOKUP(M610,[1]LPU!$A$2:$G$1512,2,FALSE())</f>
        <v>53</v>
      </c>
      <c r="O610" s="26" t="str">
        <f>VLOOKUP(M610,[1]LPU!$A$2:$G$1512,3,FALSE)</f>
        <v>Instalación Banco de Baterias para Rectificadores - Aplica para ampliaciones.</v>
      </c>
      <c r="P610" s="26" t="str">
        <f>VLOOKUP(M610,[1]LPU!$A$2:$G$1512,4,FALSE())</f>
        <v>ENERGÍA</v>
      </c>
      <c r="Q610" s="26" t="str">
        <f>VLOOKUP(M610,[1]LPU!$A$2:$G$1512,5,FALSE())</f>
        <v>U</v>
      </c>
      <c r="R610" s="27">
        <f>VLOOKUP(M610,[1]LPU!$A$2:$G$1512,6,FALSE())</f>
        <v>102340</v>
      </c>
      <c r="S610" s="27" t="str">
        <f>VLOOKUP(M610,[1]LPU!$A$2:$G$1512,7,FALSE())</f>
        <v>LPU FLM</v>
      </c>
      <c r="T610" s="28">
        <v>1</v>
      </c>
      <c r="U610" s="29">
        <f t="shared" si="7"/>
        <v>102340</v>
      </c>
      <c r="V610" s="29" t="s">
        <v>77</v>
      </c>
      <c r="W610" s="30"/>
      <c r="X610" s="29" t="s">
        <v>254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ht="21" customHeight="1" x14ac:dyDescent="0.3">
      <c r="A611" s="22">
        <v>607</v>
      </c>
      <c r="B611" s="23">
        <v>1</v>
      </c>
      <c r="C611" s="23" t="s">
        <v>269</v>
      </c>
      <c r="D611" s="23" t="str">
        <f>VLOOKUP(C611,'[1]1.CUADRO RESUMEN DE SITIOS '!$C$5:$L$1052,2,FALSE())</f>
        <v>JSUC_00069</v>
      </c>
      <c r="E611" s="24">
        <f>VLOOKUP(C611,'[1]1.CUADRO RESUMEN DE SITIOS '!$C$5:$L$1052,3,FALSE())</f>
        <v>45953</v>
      </c>
      <c r="F611" s="23">
        <f>VLOOKUP(C611,'[1]1.CUADRO RESUMEN DE SITIOS '!$C$5:$L$1052,4,FALSE())</f>
        <v>8.7741530000000001</v>
      </c>
      <c r="G611" s="23">
        <f>VLOOKUP(C611,'[1]1.CUADRO RESUMEN DE SITIOS '!$C$5:$L$1052,5,FALSE())</f>
        <v>-75.266397999999995</v>
      </c>
      <c r="H611" s="23" t="str">
        <f>VLOOKUP(C611,'[1]1.CUADRO RESUMEN DE SITIOS '!$C$5:$L$1052,6,FALSE())</f>
        <v>Sucre</v>
      </c>
      <c r="I611" s="23" t="str">
        <f>VLOOKUP(C611,'[1]1.CUADRO RESUMEN DE SITIOS '!$C$5:$L$1052,7,FALSE())</f>
        <v>WOM</v>
      </c>
      <c r="J611" s="25" t="str">
        <f>VLOOKUP(C611,'[1]1.CUADRO RESUMEN DE SITIOS '!$C$5:$L$1052,8,FALSE())</f>
        <v>COSTA</v>
      </c>
      <c r="K611" s="23" t="str">
        <f>VLOOKUP(C611,'[1]1.CUADRO RESUMEN DE SITIOS '!$C$5:$L$1052,9,FALSE())</f>
        <v>Alfredo de la Cruz</v>
      </c>
      <c r="L611" s="26" t="str">
        <f>VLOOKUP(C611,'[1]1.CUADRO RESUMEN DE SITIOS '!$C$5:$L$1052,10,FALSE())</f>
        <v>Terminado</v>
      </c>
      <c r="M611" s="26">
        <v>8828119512</v>
      </c>
      <c r="N611" s="26">
        <f>VLOOKUP(M611,[1]LPU!$A$2:$G$1512,2,FALSE())</f>
        <v>55</v>
      </c>
      <c r="O611" s="26" t="str">
        <f>VLOOKUP(M611,[1]LPU!$A$2:$G$1512,3,FALSE)</f>
        <v>Transporte Banco de Baterias</v>
      </c>
      <c r="P611" s="26" t="str">
        <f>VLOOKUP(M611,[1]LPU!$A$2:$G$1512,4,FALSE())</f>
        <v>ENERGÍA</v>
      </c>
      <c r="Q611" s="26" t="str">
        <f>VLOOKUP(M611,[1]LPU!$A$2:$G$1512,5,FALSE())</f>
        <v>U</v>
      </c>
      <c r="R611" s="27">
        <f>VLOOKUP(M611,[1]LPU!$A$2:$G$1512,6,FALSE())</f>
        <v>82212</v>
      </c>
      <c r="S611" s="27" t="str">
        <f>VLOOKUP(M611,[1]LPU!$A$2:$G$1512,7,FALSE())</f>
        <v>LPU FLM</v>
      </c>
      <c r="T611" s="28">
        <v>1</v>
      </c>
      <c r="U611" s="29">
        <f t="shared" si="7"/>
        <v>82212</v>
      </c>
      <c r="V611" s="29" t="s">
        <v>77</v>
      </c>
      <c r="W611" s="30"/>
      <c r="X611" s="29" t="s">
        <v>254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ht="21" customHeight="1" x14ac:dyDescent="0.3">
      <c r="A612" s="22">
        <v>608</v>
      </c>
      <c r="B612" s="23">
        <v>1</v>
      </c>
      <c r="C612" s="23" t="s">
        <v>269</v>
      </c>
      <c r="D612" s="23" t="str">
        <f>VLOOKUP(C612,'[1]1.CUADRO RESUMEN DE SITIOS '!$C$5:$L$1052,2,FALSE())</f>
        <v>JSUC_00069</v>
      </c>
      <c r="E612" s="24">
        <f>VLOOKUP(C612,'[1]1.CUADRO RESUMEN DE SITIOS '!$C$5:$L$1052,3,FALSE())</f>
        <v>45953</v>
      </c>
      <c r="F612" s="23">
        <f>VLOOKUP(C612,'[1]1.CUADRO RESUMEN DE SITIOS '!$C$5:$L$1052,4,FALSE())</f>
        <v>8.7741530000000001</v>
      </c>
      <c r="G612" s="23">
        <f>VLOOKUP(C612,'[1]1.CUADRO RESUMEN DE SITIOS '!$C$5:$L$1052,5,FALSE())</f>
        <v>-75.266397999999995</v>
      </c>
      <c r="H612" s="23" t="str">
        <f>VLOOKUP(C612,'[1]1.CUADRO RESUMEN DE SITIOS '!$C$5:$L$1052,6,FALSE())</f>
        <v>Sucre</v>
      </c>
      <c r="I612" s="23" t="str">
        <f>VLOOKUP(C612,'[1]1.CUADRO RESUMEN DE SITIOS '!$C$5:$L$1052,7,FALSE())</f>
        <v>WOM</v>
      </c>
      <c r="J612" s="25" t="str">
        <f>VLOOKUP(C612,'[1]1.CUADRO RESUMEN DE SITIOS '!$C$5:$L$1052,8,FALSE())</f>
        <v>COSTA</v>
      </c>
      <c r="K612" s="23" t="str">
        <f>VLOOKUP(C612,'[1]1.CUADRO RESUMEN DE SITIOS '!$C$5:$L$1052,9,FALSE())</f>
        <v>Alfredo de la Cruz</v>
      </c>
      <c r="L612" s="26" t="str">
        <f>VLOOKUP(C612,'[1]1.CUADRO RESUMEN DE SITIOS '!$C$5:$L$1052,10,FALSE())</f>
        <v>Terminado</v>
      </c>
      <c r="M612" s="26">
        <v>8828118999</v>
      </c>
      <c r="N612" s="26">
        <f>VLOOKUP(M612,[1]LPU!$A$2:$G$1512,2,FALSE())</f>
        <v>0</v>
      </c>
      <c r="O612" s="26" t="str">
        <f>VLOOKUP(M612,[1]LPU!$A$2:$G$1512,3,FALSE)</f>
        <v>Suministro e instalación de cable UTP Categoría 6, con conectores en sus extremos, certificado</v>
      </c>
      <c r="P612" s="26" t="str">
        <f>VLOOKUP(M612,[1]LPU!$A$2:$G$1512,4,FALSE())</f>
        <v>Item Critico</v>
      </c>
      <c r="Q612" s="26" t="str">
        <f>VLOOKUP(M612,[1]LPU!$A$2:$G$1512,5,FALSE())</f>
        <v>m</v>
      </c>
      <c r="R612" s="27">
        <f>VLOOKUP(M612,[1]LPU!$A$2:$G$1512,6,FALSE())</f>
        <v>5913</v>
      </c>
      <c r="S612" s="27" t="str">
        <f>VLOOKUP(M612,[1]LPU!$A$2:$G$1512,7,FALSE())</f>
        <v>LPU FO Propia</v>
      </c>
      <c r="T612" s="28">
        <v>3</v>
      </c>
      <c r="U612" s="29">
        <f t="shared" si="7"/>
        <v>17739</v>
      </c>
      <c r="V612" s="29" t="s">
        <v>77</v>
      </c>
      <c r="W612" s="30"/>
      <c r="X612" s="29" t="s">
        <v>254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ht="21" customHeight="1" x14ac:dyDescent="0.3">
      <c r="A613" s="22">
        <v>609</v>
      </c>
      <c r="B613" s="23">
        <v>1</v>
      </c>
      <c r="C613" s="23" t="s">
        <v>269</v>
      </c>
      <c r="D613" s="23" t="str">
        <f>VLOOKUP(C613,'[1]1.CUADRO RESUMEN DE SITIOS '!$C$5:$L$1052,2,FALSE())</f>
        <v>JSUC_00069</v>
      </c>
      <c r="E613" s="24">
        <f>VLOOKUP(C613,'[1]1.CUADRO RESUMEN DE SITIOS '!$C$5:$L$1052,3,FALSE())</f>
        <v>45953</v>
      </c>
      <c r="F613" s="23">
        <f>VLOOKUP(C613,'[1]1.CUADRO RESUMEN DE SITIOS '!$C$5:$L$1052,4,FALSE())</f>
        <v>8.7741530000000001</v>
      </c>
      <c r="G613" s="23">
        <f>VLOOKUP(C613,'[1]1.CUADRO RESUMEN DE SITIOS '!$C$5:$L$1052,5,FALSE())</f>
        <v>-75.266397999999995</v>
      </c>
      <c r="H613" s="23" t="str">
        <f>VLOOKUP(C613,'[1]1.CUADRO RESUMEN DE SITIOS '!$C$5:$L$1052,6,FALSE())</f>
        <v>Sucre</v>
      </c>
      <c r="I613" s="23" t="str">
        <f>VLOOKUP(C613,'[1]1.CUADRO RESUMEN DE SITIOS '!$C$5:$L$1052,7,FALSE())</f>
        <v>WOM</v>
      </c>
      <c r="J613" s="25" t="str">
        <f>VLOOKUP(C613,'[1]1.CUADRO RESUMEN DE SITIOS '!$C$5:$L$1052,8,FALSE())</f>
        <v>COSTA</v>
      </c>
      <c r="K613" s="23" t="str">
        <f>VLOOKUP(C613,'[1]1.CUADRO RESUMEN DE SITIOS '!$C$5:$L$1052,9,FALSE())</f>
        <v>Alfredo de la Cruz</v>
      </c>
      <c r="L613" s="26" t="str">
        <f>VLOOKUP(C613,'[1]1.CUADRO RESUMEN DE SITIOS '!$C$5:$L$1052,10,FALSE())</f>
        <v>Terminado</v>
      </c>
      <c r="M613" s="26">
        <v>8828118925</v>
      </c>
      <c r="N613" s="26">
        <f>VLOOKUP(M613,[1]LPU!$A$2:$G$1512,2,FALSE())</f>
        <v>87</v>
      </c>
      <c r="O613" s="26" t="str">
        <f>VLOOKUP(M613,[1]LPU!$A$2:$G$1512,3,FALSE)</f>
        <v>Suministro e Instalacion de cable multifilar #4 awg tipo soldador.</v>
      </c>
      <c r="P613" s="26" t="str">
        <f>VLOOKUP(M613,[1]LPU!$A$2:$G$1512,4,FALSE())</f>
        <v>ENERGÍA</v>
      </c>
      <c r="Q613" s="26" t="str">
        <f>VLOOKUP(M613,[1]LPU!$A$2:$G$1512,5,FALSE())</f>
        <v>ML</v>
      </c>
      <c r="R613" s="27">
        <f>VLOOKUP(M613,[1]LPU!$A$2:$G$1512,6,FALSE())</f>
        <v>60815.8</v>
      </c>
      <c r="S613" s="27" t="str">
        <f>VLOOKUP(M613,[1]LPU!$A$2:$G$1512,7,FALSE())</f>
        <v>LPU FLM</v>
      </c>
      <c r="T613" s="28">
        <v>10</v>
      </c>
      <c r="U613" s="29">
        <f t="shared" si="7"/>
        <v>608158</v>
      </c>
      <c r="V613" s="29" t="s">
        <v>77</v>
      </c>
      <c r="W613" s="30"/>
      <c r="X613" s="29" t="s">
        <v>254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ht="21" customHeight="1" x14ac:dyDescent="0.3">
      <c r="A614" s="22">
        <v>610</v>
      </c>
      <c r="B614" s="23">
        <v>1</v>
      </c>
      <c r="C614" s="23" t="s">
        <v>269</v>
      </c>
      <c r="D614" s="23" t="str">
        <f>VLOOKUP(C614,'[1]1.CUADRO RESUMEN DE SITIOS '!$C$5:$L$1052,2,FALSE())</f>
        <v>JSUC_00069</v>
      </c>
      <c r="E614" s="24">
        <f>VLOOKUP(C614,'[1]1.CUADRO RESUMEN DE SITIOS '!$C$5:$L$1052,3,FALSE())</f>
        <v>45953</v>
      </c>
      <c r="F614" s="23">
        <f>VLOOKUP(C614,'[1]1.CUADRO RESUMEN DE SITIOS '!$C$5:$L$1052,4,FALSE())</f>
        <v>8.7741530000000001</v>
      </c>
      <c r="G614" s="23">
        <f>VLOOKUP(C614,'[1]1.CUADRO RESUMEN DE SITIOS '!$C$5:$L$1052,5,FALSE())</f>
        <v>-75.266397999999995</v>
      </c>
      <c r="H614" s="23" t="str">
        <f>VLOOKUP(C614,'[1]1.CUADRO RESUMEN DE SITIOS '!$C$5:$L$1052,6,FALSE())</f>
        <v>Sucre</v>
      </c>
      <c r="I614" s="23" t="str">
        <f>VLOOKUP(C614,'[1]1.CUADRO RESUMEN DE SITIOS '!$C$5:$L$1052,7,FALSE())</f>
        <v>WOM</v>
      </c>
      <c r="J614" s="25" t="str">
        <f>VLOOKUP(C614,'[1]1.CUADRO RESUMEN DE SITIOS '!$C$5:$L$1052,8,FALSE())</f>
        <v>COSTA</v>
      </c>
      <c r="K614" s="23" t="str">
        <f>VLOOKUP(C614,'[1]1.CUADRO RESUMEN DE SITIOS '!$C$5:$L$1052,9,FALSE())</f>
        <v>Alfredo de la Cruz</v>
      </c>
      <c r="L614" s="26" t="str">
        <f>VLOOKUP(C614,'[1]1.CUADRO RESUMEN DE SITIOS '!$C$5:$L$1052,10,FALSE())</f>
        <v>Terminado</v>
      </c>
      <c r="M614" s="26">
        <v>8828118868</v>
      </c>
      <c r="N614" s="26">
        <f>VLOOKUP(M614,[1]LPU!$A$2:$G$1512,2,FALSE())</f>
        <v>81</v>
      </c>
      <c r="O614" s="26" t="str">
        <f>VLOOKUP(M614,[1]LPU!$A$2:$G$1512,3,FALSE)</f>
        <v>Suministro e Instalacion de terminal para cable awg # 2 en cobre estañado un ojo</v>
      </c>
      <c r="P614" s="26" t="str">
        <f>VLOOKUP(M614,[1]LPU!$A$2:$G$1512,4,FALSE())</f>
        <v>ENERGÍA</v>
      </c>
      <c r="Q614" s="26" t="str">
        <f>VLOOKUP(M614,[1]LPU!$A$2:$G$1512,5,FALSE())</f>
        <v>U</v>
      </c>
      <c r="R614" s="27">
        <f>VLOOKUP(M614,[1]LPU!$A$2:$G$1512,6,FALSE())</f>
        <v>2347</v>
      </c>
      <c r="S614" s="27" t="str">
        <f>VLOOKUP(M614,[1]LPU!$A$2:$G$1512,7,FALSE())</f>
        <v>LPU FLM</v>
      </c>
      <c r="T614" s="28">
        <v>4</v>
      </c>
      <c r="U614" s="29">
        <f t="shared" si="7"/>
        <v>9388</v>
      </c>
      <c r="V614" s="29" t="s">
        <v>77</v>
      </c>
      <c r="W614" s="30"/>
      <c r="X614" s="29" t="s">
        <v>254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ht="21" customHeight="1" x14ac:dyDescent="0.3">
      <c r="A615" s="22">
        <v>611</v>
      </c>
      <c r="B615" s="23">
        <v>1</v>
      </c>
      <c r="C615" s="23" t="s">
        <v>269</v>
      </c>
      <c r="D615" s="23" t="str">
        <f>VLOOKUP(C615,'[1]1.CUADRO RESUMEN DE SITIOS '!$C$5:$L$1052,2,FALSE())</f>
        <v>JSUC_00069</v>
      </c>
      <c r="E615" s="24">
        <f>VLOOKUP(C615,'[1]1.CUADRO RESUMEN DE SITIOS '!$C$5:$L$1052,3,FALSE())</f>
        <v>45953</v>
      </c>
      <c r="F615" s="23">
        <f>VLOOKUP(C615,'[1]1.CUADRO RESUMEN DE SITIOS '!$C$5:$L$1052,4,FALSE())</f>
        <v>8.7741530000000001</v>
      </c>
      <c r="G615" s="23">
        <f>VLOOKUP(C615,'[1]1.CUADRO RESUMEN DE SITIOS '!$C$5:$L$1052,5,FALSE())</f>
        <v>-75.266397999999995</v>
      </c>
      <c r="H615" s="23" t="str">
        <f>VLOOKUP(C615,'[1]1.CUADRO RESUMEN DE SITIOS '!$C$5:$L$1052,6,FALSE())</f>
        <v>Sucre</v>
      </c>
      <c r="I615" s="23" t="str">
        <f>VLOOKUP(C615,'[1]1.CUADRO RESUMEN DE SITIOS '!$C$5:$L$1052,7,FALSE())</f>
        <v>WOM</v>
      </c>
      <c r="J615" s="25" t="str">
        <f>VLOOKUP(C615,'[1]1.CUADRO RESUMEN DE SITIOS '!$C$5:$L$1052,8,FALSE())</f>
        <v>COSTA</v>
      </c>
      <c r="K615" s="23" t="str">
        <f>VLOOKUP(C615,'[1]1.CUADRO RESUMEN DE SITIOS '!$C$5:$L$1052,9,FALSE())</f>
        <v>Alfredo de la Cruz</v>
      </c>
      <c r="L615" s="26" t="str">
        <f>VLOOKUP(C615,'[1]1.CUADRO RESUMEN DE SITIOS '!$C$5:$L$1052,10,FALSE())</f>
        <v>Terminado</v>
      </c>
      <c r="M615" s="26">
        <v>8828119980</v>
      </c>
      <c r="N615" s="26">
        <f>VLOOKUP(M615,[1]LPU!$A$2:$G$1512,2,FALSE())</f>
        <v>169</v>
      </c>
      <c r="O615" s="26" t="str">
        <f>VLOOKUP(M615,[1]LPU!$A$2:$G$1512,3,FALSE)</f>
        <v>Reforzamiento Protección Concreto para Rack de Baterías Incluye Materiales</v>
      </c>
      <c r="P615" s="26" t="str">
        <f>VLOOKUP(M615,[1]LPU!$A$2:$G$1512,4,FALSE())</f>
        <v>LOCATIVO</v>
      </c>
      <c r="Q615" s="26" t="str">
        <f>VLOOKUP(M615,[1]LPU!$A$2:$G$1512,5,FALSE())</f>
        <v>U</v>
      </c>
      <c r="R615" s="27">
        <f>VLOOKUP(M615,[1]LPU!$A$2:$G$1512,6,FALSE())</f>
        <v>114750</v>
      </c>
      <c r="S615" s="27" t="str">
        <f>VLOOKUP(M615,[1]LPU!$A$2:$G$1512,7,FALSE())</f>
        <v>LPU FLM</v>
      </c>
      <c r="T615" s="28">
        <v>1</v>
      </c>
      <c r="U615" s="29">
        <f t="shared" ref="U615:U767" si="8">T615*R615</f>
        <v>114750</v>
      </c>
      <c r="V615" s="29" t="s">
        <v>77</v>
      </c>
      <c r="W615" s="30"/>
      <c r="X615" s="29" t="s">
        <v>254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ht="21" customHeight="1" x14ac:dyDescent="0.3">
      <c r="A616" s="22">
        <v>612</v>
      </c>
      <c r="B616" s="23">
        <v>1</v>
      </c>
      <c r="C616" s="23" t="s">
        <v>269</v>
      </c>
      <c r="D616" s="23" t="str">
        <f>VLOOKUP(C616,'[1]1.CUADRO RESUMEN DE SITIOS '!$C$5:$L$1052,2,FALSE())</f>
        <v>JSUC_00069</v>
      </c>
      <c r="E616" s="24">
        <f>VLOOKUP(C616,'[1]1.CUADRO RESUMEN DE SITIOS '!$C$5:$L$1052,3,FALSE())</f>
        <v>45953</v>
      </c>
      <c r="F616" s="23">
        <f>VLOOKUP(C616,'[1]1.CUADRO RESUMEN DE SITIOS '!$C$5:$L$1052,4,FALSE())</f>
        <v>8.7741530000000001</v>
      </c>
      <c r="G616" s="23">
        <f>VLOOKUP(C616,'[1]1.CUADRO RESUMEN DE SITIOS '!$C$5:$L$1052,5,FALSE())</f>
        <v>-75.266397999999995</v>
      </c>
      <c r="H616" s="23" t="str">
        <f>VLOOKUP(C616,'[1]1.CUADRO RESUMEN DE SITIOS '!$C$5:$L$1052,6,FALSE())</f>
        <v>Sucre</v>
      </c>
      <c r="I616" s="23" t="str">
        <f>VLOOKUP(C616,'[1]1.CUADRO RESUMEN DE SITIOS '!$C$5:$L$1052,7,FALSE())</f>
        <v>WOM</v>
      </c>
      <c r="J616" s="25" t="str">
        <f>VLOOKUP(C616,'[1]1.CUADRO RESUMEN DE SITIOS '!$C$5:$L$1052,8,FALSE())</f>
        <v>COSTA</v>
      </c>
      <c r="K616" s="23" t="str">
        <f>VLOOKUP(C616,'[1]1.CUADRO RESUMEN DE SITIOS '!$C$5:$L$1052,9,FALSE())</f>
        <v>Alfredo de la Cruz</v>
      </c>
      <c r="L616" s="26" t="str">
        <f>VLOOKUP(C616,'[1]1.CUADRO RESUMEN DE SITIOS '!$C$5:$L$1052,10,FALSE())</f>
        <v>Terminado</v>
      </c>
      <c r="M616" s="26">
        <v>8828119848</v>
      </c>
      <c r="N616" s="26">
        <f>VLOOKUP(M616,[1]LPU!$A$2:$G$1512,2,FALSE())</f>
        <v>157</v>
      </c>
      <c r="O616" s="26" t="str">
        <f>VLOOKUP(M616,[1]LPU!$A$2:$G$1512,3,FALSE)</f>
        <v>Reja para equipo cabinet x 2 baterías</v>
      </c>
      <c r="P616" s="26" t="str">
        <f>VLOOKUP(M616,[1]LPU!$A$2:$G$1512,4,FALSE())</f>
        <v>LOCATIVO</v>
      </c>
      <c r="Q616" s="26" t="str">
        <f>VLOOKUP(M616,[1]LPU!$A$2:$G$1512,5,FALSE())</f>
        <v>U</v>
      </c>
      <c r="R616" s="27">
        <f>VLOOKUP(M616,[1]LPU!$A$2:$G$1512,6,FALSE())</f>
        <v>415303</v>
      </c>
      <c r="S616" s="27" t="str">
        <f>VLOOKUP(M616,[1]LPU!$A$2:$G$1512,7,FALSE())</f>
        <v>LPU FLM</v>
      </c>
      <c r="T616" s="28">
        <v>1</v>
      </c>
      <c r="U616" s="29">
        <f t="shared" si="8"/>
        <v>415303</v>
      </c>
      <c r="V616" s="29" t="s">
        <v>77</v>
      </c>
      <c r="W616" s="30"/>
      <c r="X616" s="29" t="s">
        <v>254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ht="21" customHeight="1" x14ac:dyDescent="0.3">
      <c r="A617" s="22">
        <v>613</v>
      </c>
      <c r="B617" s="23">
        <v>1</v>
      </c>
      <c r="C617" s="23" t="s">
        <v>269</v>
      </c>
      <c r="D617" s="23" t="str">
        <f>VLOOKUP(C617,'[1]1.CUADRO RESUMEN DE SITIOS '!$C$5:$L$1052,2,FALSE())</f>
        <v>JSUC_00069</v>
      </c>
      <c r="E617" s="24">
        <f>VLOOKUP(C617,'[1]1.CUADRO RESUMEN DE SITIOS '!$C$5:$L$1052,3,FALSE())</f>
        <v>45953</v>
      </c>
      <c r="F617" s="23">
        <f>VLOOKUP(C617,'[1]1.CUADRO RESUMEN DE SITIOS '!$C$5:$L$1052,4,FALSE())</f>
        <v>8.7741530000000001</v>
      </c>
      <c r="G617" s="23">
        <f>VLOOKUP(C617,'[1]1.CUADRO RESUMEN DE SITIOS '!$C$5:$L$1052,5,FALSE())</f>
        <v>-75.266397999999995</v>
      </c>
      <c r="H617" s="23" t="str">
        <f>VLOOKUP(C617,'[1]1.CUADRO RESUMEN DE SITIOS '!$C$5:$L$1052,6,FALSE())</f>
        <v>Sucre</v>
      </c>
      <c r="I617" s="23" t="str">
        <f>VLOOKUP(C617,'[1]1.CUADRO RESUMEN DE SITIOS '!$C$5:$L$1052,7,FALSE())</f>
        <v>WOM</v>
      </c>
      <c r="J617" s="25" t="str">
        <f>VLOOKUP(C617,'[1]1.CUADRO RESUMEN DE SITIOS '!$C$5:$L$1052,8,FALSE())</f>
        <v>COSTA</v>
      </c>
      <c r="K617" s="23" t="str">
        <f>VLOOKUP(C617,'[1]1.CUADRO RESUMEN DE SITIOS '!$C$5:$L$1052,9,FALSE())</f>
        <v>Alfredo de la Cruz</v>
      </c>
      <c r="L617" s="26" t="str">
        <f>VLOOKUP(C617,'[1]1.CUADRO RESUMEN DE SITIOS '!$C$5:$L$1052,10,FALSE())</f>
        <v>Terminado</v>
      </c>
      <c r="M617" s="26">
        <v>8828119045</v>
      </c>
      <c r="N617" s="26">
        <f>VLOOKUP(M617,[1]LPU!$A$2:$G$1512,2,FALSE())</f>
        <v>5.29</v>
      </c>
      <c r="O617" s="26" t="str">
        <f>VLOOKUP(M617,[1]LPU!$A$2:$G$1512,3,FALSE)</f>
        <v>Suministro e instalación de estructura metálica en acero galvanizado para refuerzo, soportes, bases y adecuaciones en general.</v>
      </c>
      <c r="P617" s="26" t="str">
        <f>VLOOKUP(M617,[1]LPU!$A$2:$G$1512,4,FALSE())</f>
        <v>Mantenimiento CW</v>
      </c>
      <c r="Q617" s="26" t="str">
        <f>VLOOKUP(M617,[1]LPU!$A$2:$G$1512,5,FALSE())</f>
        <v>Kg</v>
      </c>
      <c r="R617" s="27">
        <f>VLOOKUP(M617,[1]LPU!$A$2:$G$1512,6,FALSE())</f>
        <v>12911.5</v>
      </c>
      <c r="S617" s="27" t="str">
        <f>VLOOKUP(M617,[1]LPU!$A$2:$G$1512,7,FALSE())</f>
        <v>Mantenimiento CW</v>
      </c>
      <c r="T617" s="28">
        <v>22</v>
      </c>
      <c r="U617" s="29">
        <f t="shared" si="8"/>
        <v>284053</v>
      </c>
      <c r="V617" s="29" t="s">
        <v>77</v>
      </c>
      <c r="W617" s="30"/>
      <c r="X617" s="29" t="s">
        <v>254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ht="21" customHeight="1" x14ac:dyDescent="0.3">
      <c r="A618" s="22">
        <v>614</v>
      </c>
      <c r="B618" s="23">
        <v>1</v>
      </c>
      <c r="C618" s="23" t="s">
        <v>269</v>
      </c>
      <c r="D618" s="23" t="str">
        <f>VLOOKUP(C618,'[1]1.CUADRO RESUMEN DE SITIOS '!$C$5:$L$1052,2,FALSE())</f>
        <v>JSUC_00069</v>
      </c>
      <c r="E618" s="24">
        <f>VLOOKUP(C618,'[1]1.CUADRO RESUMEN DE SITIOS '!$C$5:$L$1052,3,FALSE())</f>
        <v>45953</v>
      </c>
      <c r="F618" s="23">
        <f>VLOOKUP(C618,'[1]1.CUADRO RESUMEN DE SITIOS '!$C$5:$L$1052,4,FALSE())</f>
        <v>8.7741530000000001</v>
      </c>
      <c r="G618" s="23">
        <f>VLOOKUP(C618,'[1]1.CUADRO RESUMEN DE SITIOS '!$C$5:$L$1052,5,FALSE())</f>
        <v>-75.266397999999995</v>
      </c>
      <c r="H618" s="23" t="str">
        <f>VLOOKUP(C618,'[1]1.CUADRO RESUMEN DE SITIOS '!$C$5:$L$1052,6,FALSE())</f>
        <v>Sucre</v>
      </c>
      <c r="I618" s="23" t="str">
        <f>VLOOKUP(C618,'[1]1.CUADRO RESUMEN DE SITIOS '!$C$5:$L$1052,7,FALSE())</f>
        <v>WOM</v>
      </c>
      <c r="J618" s="25" t="str">
        <f>VLOOKUP(C618,'[1]1.CUADRO RESUMEN DE SITIOS '!$C$5:$L$1052,8,FALSE())</f>
        <v>COSTA</v>
      </c>
      <c r="K618" s="23" t="str">
        <f>VLOOKUP(C618,'[1]1.CUADRO RESUMEN DE SITIOS '!$C$5:$L$1052,9,FALSE())</f>
        <v>Alfredo de la Cruz</v>
      </c>
      <c r="L618" s="26" t="str">
        <f>VLOOKUP(C618,'[1]1.CUADRO RESUMEN DE SITIOS '!$C$5:$L$1052,10,FALSE())</f>
        <v>Terminado</v>
      </c>
      <c r="M618" s="26">
        <v>8828119599</v>
      </c>
      <c r="N618" s="26">
        <f>VLOOKUP(M618,[1]LPU!$A$2:$G$1512,2,FALSE())</f>
        <v>197</v>
      </c>
      <c r="O618" s="26" t="str">
        <f>VLOOKUP(M618,[1]LPU!$A$2:$G$1512,3,FALSE)</f>
        <v>Transporte de Equipos y Materiales, Carga y Descarga, desde y hacía Bodega Regional. Mas de 1 Tonelada. ZONA 2 (Resolución 5078 de 2016)</v>
      </c>
      <c r="P618" s="26" t="str">
        <f>VLOOKUP(M618,[1]LPU!$A$2:$G$1512,4,FALSE())</f>
        <v>LOCATIVO</v>
      </c>
      <c r="Q618" s="26" t="str">
        <f>VLOOKUP(M618,[1]LPU!$A$2:$G$1512,5,FALSE())</f>
        <v>U</v>
      </c>
      <c r="R618" s="27">
        <f>VLOOKUP(M618,[1]LPU!$A$2:$G$1512,6,FALSE())</f>
        <v>680680</v>
      </c>
      <c r="S618" s="27" t="str">
        <f>VLOOKUP(M618,[1]LPU!$A$2:$G$1512,7,FALSE())</f>
        <v>LPU FLM</v>
      </c>
      <c r="T618" s="28">
        <v>1</v>
      </c>
      <c r="U618" s="29">
        <f t="shared" si="8"/>
        <v>680680</v>
      </c>
      <c r="V618" s="29" t="s">
        <v>77</v>
      </c>
      <c r="W618" s="30"/>
      <c r="X618" s="29" t="s">
        <v>254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ht="21" customHeight="1" x14ac:dyDescent="0.3">
      <c r="A619" s="22">
        <v>615</v>
      </c>
      <c r="B619" s="23">
        <v>1</v>
      </c>
      <c r="C619" s="23" t="s">
        <v>269</v>
      </c>
      <c r="D619" s="23" t="str">
        <f>VLOOKUP(C619,'[1]1.CUADRO RESUMEN DE SITIOS '!$C$5:$L$1052,2,FALSE())</f>
        <v>JSUC_00069</v>
      </c>
      <c r="E619" s="24">
        <f>VLOOKUP(C619,'[1]1.CUADRO RESUMEN DE SITIOS '!$C$5:$L$1052,3,FALSE())</f>
        <v>45953</v>
      </c>
      <c r="F619" s="23">
        <f>VLOOKUP(C619,'[1]1.CUADRO RESUMEN DE SITIOS '!$C$5:$L$1052,4,FALSE())</f>
        <v>8.7741530000000001</v>
      </c>
      <c r="G619" s="23">
        <f>VLOOKUP(C619,'[1]1.CUADRO RESUMEN DE SITIOS '!$C$5:$L$1052,5,FALSE())</f>
        <v>-75.266397999999995</v>
      </c>
      <c r="H619" s="23" t="str">
        <f>VLOOKUP(C619,'[1]1.CUADRO RESUMEN DE SITIOS '!$C$5:$L$1052,6,FALSE())</f>
        <v>Sucre</v>
      </c>
      <c r="I619" s="23" t="str">
        <f>VLOOKUP(C619,'[1]1.CUADRO RESUMEN DE SITIOS '!$C$5:$L$1052,7,FALSE())</f>
        <v>WOM</v>
      </c>
      <c r="J619" s="25" t="str">
        <f>VLOOKUP(C619,'[1]1.CUADRO RESUMEN DE SITIOS '!$C$5:$L$1052,8,FALSE())</f>
        <v>COSTA</v>
      </c>
      <c r="K619" s="23" t="str">
        <f>VLOOKUP(C619,'[1]1.CUADRO RESUMEN DE SITIOS '!$C$5:$L$1052,9,FALSE())</f>
        <v>Alfredo de la Cruz</v>
      </c>
      <c r="L619" s="26" t="str">
        <f>VLOOKUP(C619,'[1]1.CUADRO RESUMEN DE SITIOS '!$C$5:$L$1052,10,FALSE())</f>
        <v>Terminado</v>
      </c>
      <c r="M619" s="26">
        <v>8828119110</v>
      </c>
      <c r="N619" s="26">
        <f>VLOOKUP(M619,[1]LPU!$A$2:$G$1512,2,FALSE())</f>
        <v>107</v>
      </c>
      <c r="O619" s="26" t="str">
        <f>VLOOKUP(M619,[1]LPU!$A$2:$G$1512,3,FALSE)</f>
        <v>Mano de Obra Tecnico Electricista Certficado CONTE</v>
      </c>
      <c r="P619" s="26" t="str">
        <f>VLOOKUP(M619,[1]LPU!$A$2:$G$1512,4,FALSE())</f>
        <v>ENERGÍA</v>
      </c>
      <c r="Q619" s="26" t="str">
        <f>VLOOKUP(M619,[1]LPU!$A$2:$G$1512,5,FALSE())</f>
        <v>DIA</v>
      </c>
      <c r="R619" s="27">
        <f>VLOOKUP(M619,[1]LPU!$A$2:$G$1512,6,FALSE())</f>
        <v>136000</v>
      </c>
      <c r="S619" s="27" t="str">
        <f>VLOOKUP(M619,[1]LPU!$A$2:$G$1512,7,FALSE())</f>
        <v>LPU FLM</v>
      </c>
      <c r="T619" s="28">
        <v>1</v>
      </c>
      <c r="U619" s="29">
        <f t="shared" si="8"/>
        <v>136000</v>
      </c>
      <c r="V619" s="29" t="s">
        <v>77</v>
      </c>
      <c r="W619" s="30"/>
      <c r="X619" s="29" t="s">
        <v>254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ht="21" customHeight="1" x14ac:dyDescent="0.3">
      <c r="A620" s="22">
        <v>616</v>
      </c>
      <c r="B620" s="23">
        <v>1</v>
      </c>
      <c r="C620" s="23" t="s">
        <v>269</v>
      </c>
      <c r="D620" s="23" t="str">
        <f>VLOOKUP(C620,'[1]1.CUADRO RESUMEN DE SITIOS '!$C$5:$L$1052,2,FALSE())</f>
        <v>JSUC_00069</v>
      </c>
      <c r="E620" s="24">
        <f>VLOOKUP(C620,'[1]1.CUADRO RESUMEN DE SITIOS '!$C$5:$L$1052,3,FALSE())</f>
        <v>45953</v>
      </c>
      <c r="F620" s="23">
        <f>VLOOKUP(C620,'[1]1.CUADRO RESUMEN DE SITIOS '!$C$5:$L$1052,4,FALSE())</f>
        <v>8.7741530000000001</v>
      </c>
      <c r="G620" s="23">
        <f>VLOOKUP(C620,'[1]1.CUADRO RESUMEN DE SITIOS '!$C$5:$L$1052,5,FALSE())</f>
        <v>-75.266397999999995</v>
      </c>
      <c r="H620" s="23" t="str">
        <f>VLOOKUP(C620,'[1]1.CUADRO RESUMEN DE SITIOS '!$C$5:$L$1052,6,FALSE())</f>
        <v>Sucre</v>
      </c>
      <c r="I620" s="23" t="str">
        <f>VLOOKUP(C620,'[1]1.CUADRO RESUMEN DE SITIOS '!$C$5:$L$1052,7,FALSE())</f>
        <v>WOM</v>
      </c>
      <c r="J620" s="25" t="str">
        <f>VLOOKUP(C620,'[1]1.CUADRO RESUMEN DE SITIOS '!$C$5:$L$1052,8,FALSE())</f>
        <v>COSTA</v>
      </c>
      <c r="K620" s="23" t="str">
        <f>VLOOKUP(C620,'[1]1.CUADRO RESUMEN DE SITIOS '!$C$5:$L$1052,9,FALSE())</f>
        <v>Alfredo de la Cruz</v>
      </c>
      <c r="L620" s="26" t="str">
        <f>VLOOKUP(C620,'[1]1.CUADRO RESUMEN DE SITIOS '!$C$5:$L$1052,10,FALSE())</f>
        <v>Terminado</v>
      </c>
      <c r="M620" s="26">
        <v>8828119938</v>
      </c>
      <c r="N620" s="26">
        <f>VLOOKUP(M620,[1]LPU!$A$2:$G$1512,2,FALSE())</f>
        <v>23</v>
      </c>
      <c r="O620" s="26" t="str">
        <f>VLOOKUP(M620,[1]LPU!$A$2:$G$1512,3,FALSE)</f>
        <v>Reubicación de 01 BBU desde gabinete existente hacia nuevo gabinete, incluye conexión de alimentación en ambos planos y etiquetado</v>
      </c>
      <c r="P620" s="26" t="str">
        <f>VLOOKUP(M620,[1]LPU!$A$2:$G$1512,4,FALSE())</f>
        <v>ACCESO</v>
      </c>
      <c r="Q620" s="26" t="str">
        <f>VLOOKUP(M620,[1]LPU!$A$2:$G$1512,5,FALSE())</f>
        <v>Por sector</v>
      </c>
      <c r="R620" s="27">
        <f>VLOOKUP(M620,[1]LPU!$A$2:$G$1512,6,FALSE())</f>
        <v>217413</v>
      </c>
      <c r="S620" s="27" t="str">
        <f>VLOOKUP(M620,[1]LPU!$A$2:$G$1512,7,FALSE())</f>
        <v>LPU FLM</v>
      </c>
      <c r="T620" s="28">
        <v>0</v>
      </c>
      <c r="U620" s="29">
        <f t="shared" si="8"/>
        <v>0</v>
      </c>
      <c r="V620" s="29" t="s">
        <v>77</v>
      </c>
      <c r="W620" s="30"/>
      <c r="X620" s="29" t="s">
        <v>254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ht="21" customHeight="1" x14ac:dyDescent="0.3">
      <c r="A621" s="22">
        <v>617</v>
      </c>
      <c r="B621" s="23">
        <v>1</v>
      </c>
      <c r="C621" s="23" t="s">
        <v>269</v>
      </c>
      <c r="D621" s="23" t="str">
        <f>VLOOKUP(C621,'[1]1.CUADRO RESUMEN DE SITIOS '!$C$5:$L$1052,2,FALSE())</f>
        <v>JSUC_00069</v>
      </c>
      <c r="E621" s="24">
        <f>VLOOKUP(C621,'[1]1.CUADRO RESUMEN DE SITIOS '!$C$5:$L$1052,3,FALSE())</f>
        <v>45953</v>
      </c>
      <c r="F621" s="23">
        <f>VLOOKUP(C621,'[1]1.CUADRO RESUMEN DE SITIOS '!$C$5:$L$1052,4,FALSE())</f>
        <v>8.7741530000000001</v>
      </c>
      <c r="G621" s="23">
        <f>VLOOKUP(C621,'[1]1.CUADRO RESUMEN DE SITIOS '!$C$5:$L$1052,5,FALSE())</f>
        <v>-75.266397999999995</v>
      </c>
      <c r="H621" s="23" t="str">
        <f>VLOOKUP(C621,'[1]1.CUADRO RESUMEN DE SITIOS '!$C$5:$L$1052,6,FALSE())</f>
        <v>Sucre</v>
      </c>
      <c r="I621" s="23" t="str">
        <f>VLOOKUP(C621,'[1]1.CUADRO RESUMEN DE SITIOS '!$C$5:$L$1052,7,FALSE())</f>
        <v>WOM</v>
      </c>
      <c r="J621" s="25" t="str">
        <f>VLOOKUP(C621,'[1]1.CUADRO RESUMEN DE SITIOS '!$C$5:$L$1052,8,FALSE())</f>
        <v>COSTA</v>
      </c>
      <c r="K621" s="23" t="str">
        <f>VLOOKUP(C621,'[1]1.CUADRO RESUMEN DE SITIOS '!$C$5:$L$1052,9,FALSE())</f>
        <v>Alfredo de la Cruz</v>
      </c>
      <c r="L621" s="26" t="str">
        <f>VLOOKUP(C621,'[1]1.CUADRO RESUMEN DE SITIOS '!$C$5:$L$1052,10,FALSE())</f>
        <v>Terminado</v>
      </c>
      <c r="M621" s="26">
        <v>8828119402</v>
      </c>
      <c r="N621" s="26">
        <f>VLOOKUP(M621,[1]LPU!$A$2:$G$1512,2,FALSE())</f>
        <v>4</v>
      </c>
      <c r="O621" s="26" t="str">
        <f>VLOOKUP(M621,[1]LPU!$A$2:$G$1512,3,FALSE)</f>
        <v>Apertura y Cierre de Reja de Seguridad para Revisión de Baterías</v>
      </c>
      <c r="P621" s="26" t="str">
        <f>VLOOKUP(M621,[1]LPU!$A$2:$G$1512,4,FALSE())</f>
        <v>ACCESO</v>
      </c>
      <c r="Q621" s="26" t="str">
        <f>VLOOKUP(M621,[1]LPU!$A$2:$G$1512,5,FALSE())</f>
        <v>U</v>
      </c>
      <c r="R621" s="27">
        <f>VLOOKUP(M621,[1]LPU!$A$2:$G$1512,6,FALSE())</f>
        <v>96900</v>
      </c>
      <c r="S621" s="27" t="str">
        <f>VLOOKUP(M621,[1]LPU!$A$2:$G$1512,7,FALSE())</f>
        <v>LPU FLM</v>
      </c>
      <c r="T621" s="28">
        <v>1</v>
      </c>
      <c r="U621" s="29">
        <f t="shared" si="8"/>
        <v>96900</v>
      </c>
      <c r="V621" s="29" t="s">
        <v>77</v>
      </c>
      <c r="W621" s="30"/>
      <c r="X621" s="29" t="s">
        <v>254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ht="21" customHeight="1" x14ac:dyDescent="0.3">
      <c r="A622" s="22">
        <v>618</v>
      </c>
      <c r="B622" s="23">
        <v>1</v>
      </c>
      <c r="C622" s="23" t="s">
        <v>269</v>
      </c>
      <c r="D622" s="23" t="str">
        <f>VLOOKUP(C622,'[1]1.CUADRO RESUMEN DE SITIOS '!$C$5:$L$1052,2,FALSE())</f>
        <v>JSUC_00069</v>
      </c>
      <c r="E622" s="24">
        <f>VLOOKUP(C622,'[1]1.CUADRO RESUMEN DE SITIOS '!$C$5:$L$1052,3,FALSE())</f>
        <v>45953</v>
      </c>
      <c r="F622" s="23">
        <f>VLOOKUP(C622,'[1]1.CUADRO RESUMEN DE SITIOS '!$C$5:$L$1052,4,FALSE())</f>
        <v>8.7741530000000001</v>
      </c>
      <c r="G622" s="23">
        <f>VLOOKUP(C622,'[1]1.CUADRO RESUMEN DE SITIOS '!$C$5:$L$1052,5,FALSE())</f>
        <v>-75.266397999999995</v>
      </c>
      <c r="H622" s="23" t="str">
        <f>VLOOKUP(C622,'[1]1.CUADRO RESUMEN DE SITIOS '!$C$5:$L$1052,6,FALSE())</f>
        <v>Sucre</v>
      </c>
      <c r="I622" s="23" t="str">
        <f>VLOOKUP(C622,'[1]1.CUADRO RESUMEN DE SITIOS '!$C$5:$L$1052,7,FALSE())</f>
        <v>WOM</v>
      </c>
      <c r="J622" s="25" t="str">
        <f>VLOOKUP(C622,'[1]1.CUADRO RESUMEN DE SITIOS '!$C$5:$L$1052,8,FALSE())</f>
        <v>COSTA</v>
      </c>
      <c r="K622" s="23" t="str">
        <f>VLOOKUP(C622,'[1]1.CUADRO RESUMEN DE SITIOS '!$C$5:$L$1052,9,FALSE())</f>
        <v>Alfredo de la Cruz</v>
      </c>
      <c r="L622" s="26" t="str">
        <f>VLOOKUP(C622,'[1]1.CUADRO RESUMEN DE SITIOS '!$C$5:$L$1052,10,FALSE())</f>
        <v>Terminado</v>
      </c>
      <c r="M622" s="26">
        <v>8828119250</v>
      </c>
      <c r="N622" s="26">
        <f>VLOOKUP(M622,[1]LPU!$A$2:$G$1512,2,FALSE())</f>
        <v>0</v>
      </c>
      <c r="O622" s="26" t="str">
        <f>VLOOKUP(M622,[1]LPU!$A$2:$G$1512,3,FALSE)</f>
        <v>Suministro e instalación coraza americana de 1 1/2" - Incluye 100% accesorios</v>
      </c>
      <c r="P622" s="26" t="str">
        <f>VLOOKUP(M622,[1]LPU!$A$2:$G$1512,4,FALSE())</f>
        <v>Variables</v>
      </c>
      <c r="Q622" s="26" t="str">
        <f>VLOOKUP(M622,[1]LPU!$A$2:$G$1512,5,FALSE())</f>
        <v>ml</v>
      </c>
      <c r="R622" s="27">
        <f>VLOOKUP(M622,[1]LPU!$A$2:$G$1512,6,FALSE())</f>
        <v>12410</v>
      </c>
      <c r="S622" s="27" t="str">
        <f>VLOOKUP(M622,[1]LPU!$A$2:$G$1512,7,FALSE())</f>
        <v>LPU FO</v>
      </c>
      <c r="T622" s="28">
        <v>8</v>
      </c>
      <c r="U622" s="29">
        <f t="shared" si="8"/>
        <v>99280</v>
      </c>
      <c r="V622" s="29" t="s">
        <v>77</v>
      </c>
      <c r="W622" s="30"/>
      <c r="X622" s="29" t="s">
        <v>254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ht="21" customHeight="1" x14ac:dyDescent="0.3">
      <c r="A623" s="22">
        <v>619</v>
      </c>
      <c r="B623" s="23">
        <v>1</v>
      </c>
      <c r="C623" s="23" t="s">
        <v>270</v>
      </c>
      <c r="D623" s="23" t="str">
        <f>VLOOKUP(C623,'[1]1.CUADRO RESUMEN DE SITIOS '!$C$5:$L$1052,2,FALSE())</f>
        <v>JCOR_00166</v>
      </c>
      <c r="E623" s="24">
        <f>VLOOKUP(C623,'[1]1.CUADRO RESUMEN DE SITIOS '!$C$5:$L$1052,3,FALSE())</f>
        <v>45924</v>
      </c>
      <c r="F623" s="23">
        <f>VLOOKUP(C623,'[1]1.CUADRO RESUMEN DE SITIOS '!$C$5:$L$1052,4,FALSE())</f>
        <v>8.7101019999999991</v>
      </c>
      <c r="G623" s="23">
        <f>VLOOKUP(C623,'[1]1.CUADRO RESUMEN DE SITIOS '!$C$5:$L$1052,5,FALSE())</f>
        <v>-76.266598999999999</v>
      </c>
      <c r="H623" s="23" t="str">
        <f>VLOOKUP(C623,'[1]1.CUADRO RESUMEN DE SITIOS '!$C$5:$L$1052,6,FALSE())</f>
        <v>Cordoba</v>
      </c>
      <c r="I623" s="23" t="str">
        <f>VLOOKUP(C623,'[1]1.CUADRO RESUMEN DE SITIOS '!$C$5:$L$1052,7,FALSE())</f>
        <v>WOM</v>
      </c>
      <c r="J623" s="25" t="str">
        <f>VLOOKUP(C623,'[1]1.CUADRO RESUMEN DE SITIOS '!$C$5:$L$1052,8,FALSE())</f>
        <v>COSTA</v>
      </c>
      <c r="K623" s="23" t="str">
        <f>VLOOKUP(C623,'[1]1.CUADRO RESUMEN DE SITIOS '!$C$5:$L$1052,9,FALSE())</f>
        <v>Alfredo de la Cruz</v>
      </c>
      <c r="L623" s="26" t="str">
        <f>VLOOKUP(C623,'[1]1.CUADRO RESUMEN DE SITIOS '!$C$5:$L$1052,10,FALSE())</f>
        <v>Terminado</v>
      </c>
      <c r="M623" s="26">
        <v>8828119492</v>
      </c>
      <c r="N623" s="26">
        <f>VLOOKUP(M623,[1]LPU!$A$2:$G$1512,2,FALSE())</f>
        <v>53</v>
      </c>
      <c r="O623" s="26" t="str">
        <f>VLOOKUP(M623,[1]LPU!$A$2:$G$1512,3,FALSE)</f>
        <v>Instalación Banco de Baterias para Rectificadores - Aplica para ampliaciones.</v>
      </c>
      <c r="P623" s="26" t="str">
        <f>VLOOKUP(M623,[1]LPU!$A$2:$G$1512,4,FALSE())</f>
        <v>ENERGÍA</v>
      </c>
      <c r="Q623" s="26" t="str">
        <f>VLOOKUP(M623,[1]LPU!$A$2:$G$1512,5,FALSE())</f>
        <v>U</v>
      </c>
      <c r="R623" s="27">
        <f>VLOOKUP(M623,[1]LPU!$A$2:$G$1512,6,FALSE())</f>
        <v>102340</v>
      </c>
      <c r="S623" s="27" t="str">
        <f>VLOOKUP(M623,[1]LPU!$A$2:$G$1512,7,FALSE())</f>
        <v>LPU FLM</v>
      </c>
      <c r="T623" s="28">
        <v>1</v>
      </c>
      <c r="U623" s="29">
        <f t="shared" si="8"/>
        <v>102340</v>
      </c>
      <c r="V623" s="29" t="s">
        <v>77</v>
      </c>
      <c r="W623" s="30"/>
      <c r="X623" s="29" t="s">
        <v>254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ht="21" customHeight="1" x14ac:dyDescent="0.3">
      <c r="A624" s="22">
        <v>620</v>
      </c>
      <c r="B624" s="23">
        <v>1</v>
      </c>
      <c r="C624" s="23" t="s">
        <v>270</v>
      </c>
      <c r="D624" s="23" t="str">
        <f>VLOOKUP(C624,'[1]1.CUADRO RESUMEN DE SITIOS '!$C$5:$L$1052,2,FALSE())</f>
        <v>JCOR_00166</v>
      </c>
      <c r="E624" s="24">
        <f>VLOOKUP(C624,'[1]1.CUADRO RESUMEN DE SITIOS '!$C$5:$L$1052,3,FALSE())</f>
        <v>45924</v>
      </c>
      <c r="F624" s="23">
        <f>VLOOKUP(C624,'[1]1.CUADRO RESUMEN DE SITIOS '!$C$5:$L$1052,4,FALSE())</f>
        <v>8.7101019999999991</v>
      </c>
      <c r="G624" s="23">
        <f>VLOOKUP(C624,'[1]1.CUADRO RESUMEN DE SITIOS '!$C$5:$L$1052,5,FALSE())</f>
        <v>-76.266598999999999</v>
      </c>
      <c r="H624" s="23" t="str">
        <f>VLOOKUP(C624,'[1]1.CUADRO RESUMEN DE SITIOS '!$C$5:$L$1052,6,FALSE())</f>
        <v>Cordoba</v>
      </c>
      <c r="I624" s="23" t="str">
        <f>VLOOKUP(C624,'[1]1.CUADRO RESUMEN DE SITIOS '!$C$5:$L$1052,7,FALSE())</f>
        <v>WOM</v>
      </c>
      <c r="J624" s="25" t="str">
        <f>VLOOKUP(C624,'[1]1.CUADRO RESUMEN DE SITIOS '!$C$5:$L$1052,8,FALSE())</f>
        <v>COSTA</v>
      </c>
      <c r="K624" s="23" t="str">
        <f>VLOOKUP(C624,'[1]1.CUADRO RESUMEN DE SITIOS '!$C$5:$L$1052,9,FALSE())</f>
        <v>Alfredo de la Cruz</v>
      </c>
      <c r="L624" s="26" t="str">
        <f>VLOOKUP(C624,'[1]1.CUADRO RESUMEN DE SITIOS '!$C$5:$L$1052,10,FALSE())</f>
        <v>Terminado</v>
      </c>
      <c r="M624" s="26">
        <v>8828119512</v>
      </c>
      <c r="N624" s="26">
        <f>VLOOKUP(M624,[1]LPU!$A$2:$G$1512,2,FALSE())</f>
        <v>55</v>
      </c>
      <c r="O624" s="26" t="str">
        <f>VLOOKUP(M624,[1]LPU!$A$2:$G$1512,3,FALSE)</f>
        <v>Transporte Banco de Baterias</v>
      </c>
      <c r="P624" s="26" t="str">
        <f>VLOOKUP(M624,[1]LPU!$A$2:$G$1512,4,FALSE())</f>
        <v>ENERGÍA</v>
      </c>
      <c r="Q624" s="26" t="str">
        <f>VLOOKUP(M624,[1]LPU!$A$2:$G$1512,5,FALSE())</f>
        <v>U</v>
      </c>
      <c r="R624" s="27">
        <f>VLOOKUP(M624,[1]LPU!$A$2:$G$1512,6,FALSE())</f>
        <v>82212</v>
      </c>
      <c r="S624" s="27" t="str">
        <f>VLOOKUP(M624,[1]LPU!$A$2:$G$1512,7,FALSE())</f>
        <v>LPU FLM</v>
      </c>
      <c r="T624" s="28">
        <v>1</v>
      </c>
      <c r="U624" s="29">
        <f t="shared" si="8"/>
        <v>82212</v>
      </c>
      <c r="V624" s="29" t="s">
        <v>77</v>
      </c>
      <c r="W624" s="30"/>
      <c r="X624" s="29" t="s">
        <v>254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ht="21" customHeight="1" x14ac:dyDescent="0.3">
      <c r="A625" s="22">
        <v>621</v>
      </c>
      <c r="B625" s="23">
        <v>1</v>
      </c>
      <c r="C625" s="23" t="s">
        <v>270</v>
      </c>
      <c r="D625" s="23" t="str">
        <f>VLOOKUP(C625,'[1]1.CUADRO RESUMEN DE SITIOS '!$C$5:$L$1052,2,FALSE())</f>
        <v>JCOR_00166</v>
      </c>
      <c r="E625" s="24">
        <f>VLOOKUP(C625,'[1]1.CUADRO RESUMEN DE SITIOS '!$C$5:$L$1052,3,FALSE())</f>
        <v>45924</v>
      </c>
      <c r="F625" s="23">
        <f>VLOOKUP(C625,'[1]1.CUADRO RESUMEN DE SITIOS '!$C$5:$L$1052,4,FALSE())</f>
        <v>8.7101019999999991</v>
      </c>
      <c r="G625" s="23">
        <f>VLOOKUP(C625,'[1]1.CUADRO RESUMEN DE SITIOS '!$C$5:$L$1052,5,FALSE())</f>
        <v>-76.266598999999999</v>
      </c>
      <c r="H625" s="23" t="str">
        <f>VLOOKUP(C625,'[1]1.CUADRO RESUMEN DE SITIOS '!$C$5:$L$1052,6,FALSE())</f>
        <v>Cordoba</v>
      </c>
      <c r="I625" s="23" t="str">
        <f>VLOOKUP(C625,'[1]1.CUADRO RESUMEN DE SITIOS '!$C$5:$L$1052,7,FALSE())</f>
        <v>WOM</v>
      </c>
      <c r="J625" s="25" t="str">
        <f>VLOOKUP(C625,'[1]1.CUADRO RESUMEN DE SITIOS '!$C$5:$L$1052,8,FALSE())</f>
        <v>COSTA</v>
      </c>
      <c r="K625" s="23" t="str">
        <f>VLOOKUP(C625,'[1]1.CUADRO RESUMEN DE SITIOS '!$C$5:$L$1052,9,FALSE())</f>
        <v>Alfredo de la Cruz</v>
      </c>
      <c r="L625" s="26" t="str">
        <f>VLOOKUP(C625,'[1]1.CUADRO RESUMEN DE SITIOS '!$C$5:$L$1052,10,FALSE())</f>
        <v>Terminado</v>
      </c>
      <c r="M625" s="26">
        <v>8828118999</v>
      </c>
      <c r="N625" s="26">
        <f>VLOOKUP(M625,[1]LPU!$A$2:$G$1512,2,FALSE())</f>
        <v>0</v>
      </c>
      <c r="O625" s="26" t="str">
        <f>VLOOKUP(M625,[1]LPU!$A$2:$G$1512,3,FALSE)</f>
        <v>Suministro e instalación de cable UTP Categoría 6, con conectores en sus extremos, certificado</v>
      </c>
      <c r="P625" s="26" t="str">
        <f>VLOOKUP(M625,[1]LPU!$A$2:$G$1512,4,FALSE())</f>
        <v>Item Critico</v>
      </c>
      <c r="Q625" s="26" t="str">
        <f>VLOOKUP(M625,[1]LPU!$A$2:$G$1512,5,FALSE())</f>
        <v>m</v>
      </c>
      <c r="R625" s="27">
        <f>VLOOKUP(M625,[1]LPU!$A$2:$G$1512,6,FALSE())</f>
        <v>5913</v>
      </c>
      <c r="S625" s="27" t="str">
        <f>VLOOKUP(M625,[1]LPU!$A$2:$G$1512,7,FALSE())</f>
        <v>LPU FO Propia</v>
      </c>
      <c r="T625" s="28">
        <v>3</v>
      </c>
      <c r="U625" s="29">
        <f t="shared" si="8"/>
        <v>17739</v>
      </c>
      <c r="V625" s="29" t="s">
        <v>77</v>
      </c>
      <c r="W625" s="30"/>
      <c r="X625" s="29" t="s">
        <v>254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ht="21" customHeight="1" x14ac:dyDescent="0.3">
      <c r="A626" s="22">
        <v>622</v>
      </c>
      <c r="B626" s="23">
        <v>1</v>
      </c>
      <c r="C626" s="23" t="s">
        <v>270</v>
      </c>
      <c r="D626" s="23" t="str">
        <f>VLOOKUP(C626,'[1]1.CUADRO RESUMEN DE SITIOS '!$C$5:$L$1052,2,FALSE())</f>
        <v>JCOR_00166</v>
      </c>
      <c r="E626" s="24">
        <f>VLOOKUP(C626,'[1]1.CUADRO RESUMEN DE SITIOS '!$C$5:$L$1052,3,FALSE())</f>
        <v>45924</v>
      </c>
      <c r="F626" s="23">
        <f>VLOOKUP(C626,'[1]1.CUADRO RESUMEN DE SITIOS '!$C$5:$L$1052,4,FALSE())</f>
        <v>8.7101019999999991</v>
      </c>
      <c r="G626" s="23">
        <f>VLOOKUP(C626,'[1]1.CUADRO RESUMEN DE SITIOS '!$C$5:$L$1052,5,FALSE())</f>
        <v>-76.266598999999999</v>
      </c>
      <c r="H626" s="23" t="str">
        <f>VLOOKUP(C626,'[1]1.CUADRO RESUMEN DE SITIOS '!$C$5:$L$1052,6,FALSE())</f>
        <v>Cordoba</v>
      </c>
      <c r="I626" s="23" t="str">
        <f>VLOOKUP(C626,'[1]1.CUADRO RESUMEN DE SITIOS '!$C$5:$L$1052,7,FALSE())</f>
        <v>WOM</v>
      </c>
      <c r="J626" s="25" t="str">
        <f>VLOOKUP(C626,'[1]1.CUADRO RESUMEN DE SITIOS '!$C$5:$L$1052,8,FALSE())</f>
        <v>COSTA</v>
      </c>
      <c r="K626" s="23" t="str">
        <f>VLOOKUP(C626,'[1]1.CUADRO RESUMEN DE SITIOS '!$C$5:$L$1052,9,FALSE())</f>
        <v>Alfredo de la Cruz</v>
      </c>
      <c r="L626" s="26" t="str">
        <f>VLOOKUP(C626,'[1]1.CUADRO RESUMEN DE SITIOS '!$C$5:$L$1052,10,FALSE())</f>
        <v>Terminado</v>
      </c>
      <c r="M626" s="26">
        <v>8828118925</v>
      </c>
      <c r="N626" s="26">
        <f>VLOOKUP(M626,[1]LPU!$A$2:$G$1512,2,FALSE())</f>
        <v>87</v>
      </c>
      <c r="O626" s="26" t="str">
        <f>VLOOKUP(M626,[1]LPU!$A$2:$G$1512,3,FALSE)</f>
        <v>Suministro e Instalacion de cable multifilar #4 awg tipo soldador.</v>
      </c>
      <c r="P626" s="26" t="str">
        <f>VLOOKUP(M626,[1]LPU!$A$2:$G$1512,4,FALSE())</f>
        <v>ENERGÍA</v>
      </c>
      <c r="Q626" s="26" t="str">
        <f>VLOOKUP(M626,[1]LPU!$A$2:$G$1512,5,FALSE())</f>
        <v>ML</v>
      </c>
      <c r="R626" s="27">
        <f>VLOOKUP(M626,[1]LPU!$A$2:$G$1512,6,FALSE())</f>
        <v>60815.8</v>
      </c>
      <c r="S626" s="27" t="str">
        <f>VLOOKUP(M626,[1]LPU!$A$2:$G$1512,7,FALSE())</f>
        <v>LPU FLM</v>
      </c>
      <c r="T626" s="28">
        <v>10</v>
      </c>
      <c r="U626" s="29">
        <f t="shared" si="8"/>
        <v>608158</v>
      </c>
      <c r="V626" s="29" t="s">
        <v>77</v>
      </c>
      <c r="W626" s="30"/>
      <c r="X626" s="29" t="s">
        <v>254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ht="21" customHeight="1" x14ac:dyDescent="0.3">
      <c r="A627" s="22">
        <v>623</v>
      </c>
      <c r="B627" s="23">
        <v>1</v>
      </c>
      <c r="C627" s="23" t="s">
        <v>270</v>
      </c>
      <c r="D627" s="23" t="str">
        <f>VLOOKUP(C627,'[1]1.CUADRO RESUMEN DE SITIOS '!$C$5:$L$1052,2,FALSE())</f>
        <v>JCOR_00166</v>
      </c>
      <c r="E627" s="24">
        <f>VLOOKUP(C627,'[1]1.CUADRO RESUMEN DE SITIOS '!$C$5:$L$1052,3,FALSE())</f>
        <v>45924</v>
      </c>
      <c r="F627" s="23">
        <f>VLOOKUP(C627,'[1]1.CUADRO RESUMEN DE SITIOS '!$C$5:$L$1052,4,FALSE())</f>
        <v>8.7101019999999991</v>
      </c>
      <c r="G627" s="23">
        <f>VLOOKUP(C627,'[1]1.CUADRO RESUMEN DE SITIOS '!$C$5:$L$1052,5,FALSE())</f>
        <v>-76.266598999999999</v>
      </c>
      <c r="H627" s="23" t="str">
        <f>VLOOKUP(C627,'[1]1.CUADRO RESUMEN DE SITIOS '!$C$5:$L$1052,6,FALSE())</f>
        <v>Cordoba</v>
      </c>
      <c r="I627" s="23" t="str">
        <f>VLOOKUP(C627,'[1]1.CUADRO RESUMEN DE SITIOS '!$C$5:$L$1052,7,FALSE())</f>
        <v>WOM</v>
      </c>
      <c r="J627" s="25" t="str">
        <f>VLOOKUP(C627,'[1]1.CUADRO RESUMEN DE SITIOS '!$C$5:$L$1052,8,FALSE())</f>
        <v>COSTA</v>
      </c>
      <c r="K627" s="23" t="str">
        <f>VLOOKUP(C627,'[1]1.CUADRO RESUMEN DE SITIOS '!$C$5:$L$1052,9,FALSE())</f>
        <v>Alfredo de la Cruz</v>
      </c>
      <c r="L627" s="26" t="str">
        <f>VLOOKUP(C627,'[1]1.CUADRO RESUMEN DE SITIOS '!$C$5:$L$1052,10,FALSE())</f>
        <v>Terminado</v>
      </c>
      <c r="M627" s="26">
        <v>8828118868</v>
      </c>
      <c r="N627" s="26">
        <f>VLOOKUP(M627,[1]LPU!$A$2:$G$1512,2,FALSE())</f>
        <v>81</v>
      </c>
      <c r="O627" s="26" t="str">
        <f>VLOOKUP(M627,[1]LPU!$A$2:$G$1512,3,FALSE)</f>
        <v>Suministro e Instalacion de terminal para cable awg # 2 en cobre estañado un ojo</v>
      </c>
      <c r="P627" s="26" t="str">
        <f>VLOOKUP(M627,[1]LPU!$A$2:$G$1512,4,FALSE())</f>
        <v>ENERGÍA</v>
      </c>
      <c r="Q627" s="26" t="str">
        <f>VLOOKUP(M627,[1]LPU!$A$2:$G$1512,5,FALSE())</f>
        <v>U</v>
      </c>
      <c r="R627" s="27">
        <f>VLOOKUP(M627,[1]LPU!$A$2:$G$1512,6,FALSE())</f>
        <v>2347</v>
      </c>
      <c r="S627" s="27" t="str">
        <f>VLOOKUP(M627,[1]LPU!$A$2:$G$1512,7,FALSE())</f>
        <v>LPU FLM</v>
      </c>
      <c r="T627" s="28">
        <v>4</v>
      </c>
      <c r="U627" s="29">
        <f t="shared" si="8"/>
        <v>9388</v>
      </c>
      <c r="V627" s="29" t="s">
        <v>77</v>
      </c>
      <c r="W627" s="30"/>
      <c r="X627" s="29" t="s">
        <v>254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ht="21" customHeight="1" x14ac:dyDescent="0.3">
      <c r="A628" s="22">
        <v>624</v>
      </c>
      <c r="B628" s="23">
        <v>1</v>
      </c>
      <c r="C628" s="23" t="s">
        <v>270</v>
      </c>
      <c r="D628" s="23" t="str">
        <f>VLOOKUP(C628,'[1]1.CUADRO RESUMEN DE SITIOS '!$C$5:$L$1052,2,FALSE())</f>
        <v>JCOR_00166</v>
      </c>
      <c r="E628" s="24">
        <f>VLOOKUP(C628,'[1]1.CUADRO RESUMEN DE SITIOS '!$C$5:$L$1052,3,FALSE())</f>
        <v>45924</v>
      </c>
      <c r="F628" s="23">
        <f>VLOOKUP(C628,'[1]1.CUADRO RESUMEN DE SITIOS '!$C$5:$L$1052,4,FALSE())</f>
        <v>8.7101019999999991</v>
      </c>
      <c r="G628" s="23">
        <f>VLOOKUP(C628,'[1]1.CUADRO RESUMEN DE SITIOS '!$C$5:$L$1052,5,FALSE())</f>
        <v>-76.266598999999999</v>
      </c>
      <c r="H628" s="23" t="str">
        <f>VLOOKUP(C628,'[1]1.CUADRO RESUMEN DE SITIOS '!$C$5:$L$1052,6,FALSE())</f>
        <v>Cordoba</v>
      </c>
      <c r="I628" s="23" t="str">
        <f>VLOOKUP(C628,'[1]1.CUADRO RESUMEN DE SITIOS '!$C$5:$L$1052,7,FALSE())</f>
        <v>WOM</v>
      </c>
      <c r="J628" s="25" t="str">
        <f>VLOOKUP(C628,'[1]1.CUADRO RESUMEN DE SITIOS '!$C$5:$L$1052,8,FALSE())</f>
        <v>COSTA</v>
      </c>
      <c r="K628" s="23" t="str">
        <f>VLOOKUP(C628,'[1]1.CUADRO RESUMEN DE SITIOS '!$C$5:$L$1052,9,FALSE())</f>
        <v>Alfredo de la Cruz</v>
      </c>
      <c r="L628" s="26" t="str">
        <f>VLOOKUP(C628,'[1]1.CUADRO RESUMEN DE SITIOS '!$C$5:$L$1052,10,FALSE())</f>
        <v>Terminado</v>
      </c>
      <c r="M628" s="26">
        <v>8828119980</v>
      </c>
      <c r="N628" s="26">
        <f>VLOOKUP(M628,[1]LPU!$A$2:$G$1512,2,FALSE())</f>
        <v>169</v>
      </c>
      <c r="O628" s="26" t="str">
        <f>VLOOKUP(M628,[1]LPU!$A$2:$G$1512,3,FALSE)</f>
        <v>Reforzamiento Protección Concreto para Rack de Baterías Incluye Materiales</v>
      </c>
      <c r="P628" s="26" t="str">
        <f>VLOOKUP(M628,[1]LPU!$A$2:$G$1512,4,FALSE())</f>
        <v>LOCATIVO</v>
      </c>
      <c r="Q628" s="26" t="str">
        <f>VLOOKUP(M628,[1]LPU!$A$2:$G$1512,5,FALSE())</f>
        <v>U</v>
      </c>
      <c r="R628" s="27">
        <f>VLOOKUP(M628,[1]LPU!$A$2:$G$1512,6,FALSE())</f>
        <v>114750</v>
      </c>
      <c r="S628" s="27" t="str">
        <f>VLOOKUP(M628,[1]LPU!$A$2:$G$1512,7,FALSE())</f>
        <v>LPU FLM</v>
      </c>
      <c r="T628" s="28">
        <v>1</v>
      </c>
      <c r="U628" s="29">
        <f t="shared" si="8"/>
        <v>114750</v>
      </c>
      <c r="V628" s="29" t="s">
        <v>77</v>
      </c>
      <c r="W628" s="30"/>
      <c r="X628" s="29" t="s">
        <v>254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ht="21" customHeight="1" x14ac:dyDescent="0.3">
      <c r="A629" s="22">
        <v>625</v>
      </c>
      <c r="B629" s="23">
        <v>1</v>
      </c>
      <c r="C629" s="23" t="s">
        <v>270</v>
      </c>
      <c r="D629" s="23" t="str">
        <f>VLOOKUP(C629,'[1]1.CUADRO RESUMEN DE SITIOS '!$C$5:$L$1052,2,FALSE())</f>
        <v>JCOR_00166</v>
      </c>
      <c r="E629" s="24">
        <f>VLOOKUP(C629,'[1]1.CUADRO RESUMEN DE SITIOS '!$C$5:$L$1052,3,FALSE())</f>
        <v>45924</v>
      </c>
      <c r="F629" s="23">
        <f>VLOOKUP(C629,'[1]1.CUADRO RESUMEN DE SITIOS '!$C$5:$L$1052,4,FALSE())</f>
        <v>8.7101019999999991</v>
      </c>
      <c r="G629" s="23">
        <f>VLOOKUP(C629,'[1]1.CUADRO RESUMEN DE SITIOS '!$C$5:$L$1052,5,FALSE())</f>
        <v>-76.266598999999999</v>
      </c>
      <c r="H629" s="23" t="str">
        <f>VLOOKUP(C629,'[1]1.CUADRO RESUMEN DE SITIOS '!$C$5:$L$1052,6,FALSE())</f>
        <v>Cordoba</v>
      </c>
      <c r="I629" s="23" t="str">
        <f>VLOOKUP(C629,'[1]1.CUADRO RESUMEN DE SITIOS '!$C$5:$L$1052,7,FALSE())</f>
        <v>WOM</v>
      </c>
      <c r="J629" s="25" t="str">
        <f>VLOOKUP(C629,'[1]1.CUADRO RESUMEN DE SITIOS '!$C$5:$L$1052,8,FALSE())</f>
        <v>COSTA</v>
      </c>
      <c r="K629" s="23" t="str">
        <f>VLOOKUP(C629,'[1]1.CUADRO RESUMEN DE SITIOS '!$C$5:$L$1052,9,FALSE())</f>
        <v>Alfredo de la Cruz</v>
      </c>
      <c r="L629" s="26" t="str">
        <f>VLOOKUP(C629,'[1]1.CUADRO RESUMEN DE SITIOS '!$C$5:$L$1052,10,FALSE())</f>
        <v>Terminado</v>
      </c>
      <c r="M629" s="26">
        <v>8828119848</v>
      </c>
      <c r="N629" s="26">
        <f>VLOOKUP(M629,[1]LPU!$A$2:$G$1512,2,FALSE())</f>
        <v>157</v>
      </c>
      <c r="O629" s="26" t="str">
        <f>VLOOKUP(M629,[1]LPU!$A$2:$G$1512,3,FALSE)</f>
        <v>Reja para equipo cabinet x 2 baterías</v>
      </c>
      <c r="P629" s="26" t="str">
        <f>VLOOKUP(M629,[1]LPU!$A$2:$G$1512,4,FALSE())</f>
        <v>LOCATIVO</v>
      </c>
      <c r="Q629" s="26" t="str">
        <f>VLOOKUP(M629,[1]LPU!$A$2:$G$1512,5,FALSE())</f>
        <v>U</v>
      </c>
      <c r="R629" s="27">
        <f>VLOOKUP(M629,[1]LPU!$A$2:$G$1512,6,FALSE())</f>
        <v>415303</v>
      </c>
      <c r="S629" s="27" t="str">
        <f>VLOOKUP(M629,[1]LPU!$A$2:$G$1512,7,FALSE())</f>
        <v>LPU FLM</v>
      </c>
      <c r="T629" s="28">
        <v>1</v>
      </c>
      <c r="U629" s="29">
        <f t="shared" si="8"/>
        <v>415303</v>
      </c>
      <c r="V629" s="29" t="s">
        <v>77</v>
      </c>
      <c r="W629" s="30"/>
      <c r="X629" s="29" t="s">
        <v>254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ht="21" customHeight="1" x14ac:dyDescent="0.3">
      <c r="A630" s="22">
        <v>626</v>
      </c>
      <c r="B630" s="23">
        <v>1</v>
      </c>
      <c r="C630" s="23" t="s">
        <v>270</v>
      </c>
      <c r="D630" s="23" t="str">
        <f>VLOOKUP(C630,'[1]1.CUADRO RESUMEN DE SITIOS '!$C$5:$L$1052,2,FALSE())</f>
        <v>JCOR_00166</v>
      </c>
      <c r="E630" s="24">
        <f>VLOOKUP(C630,'[1]1.CUADRO RESUMEN DE SITIOS '!$C$5:$L$1052,3,FALSE())</f>
        <v>45924</v>
      </c>
      <c r="F630" s="23">
        <f>VLOOKUP(C630,'[1]1.CUADRO RESUMEN DE SITIOS '!$C$5:$L$1052,4,FALSE())</f>
        <v>8.7101019999999991</v>
      </c>
      <c r="G630" s="23">
        <f>VLOOKUP(C630,'[1]1.CUADRO RESUMEN DE SITIOS '!$C$5:$L$1052,5,FALSE())</f>
        <v>-76.266598999999999</v>
      </c>
      <c r="H630" s="23" t="str">
        <f>VLOOKUP(C630,'[1]1.CUADRO RESUMEN DE SITIOS '!$C$5:$L$1052,6,FALSE())</f>
        <v>Cordoba</v>
      </c>
      <c r="I630" s="23" t="str">
        <f>VLOOKUP(C630,'[1]1.CUADRO RESUMEN DE SITIOS '!$C$5:$L$1052,7,FALSE())</f>
        <v>WOM</v>
      </c>
      <c r="J630" s="25" t="str">
        <f>VLOOKUP(C630,'[1]1.CUADRO RESUMEN DE SITIOS '!$C$5:$L$1052,8,FALSE())</f>
        <v>COSTA</v>
      </c>
      <c r="K630" s="23" t="str">
        <f>VLOOKUP(C630,'[1]1.CUADRO RESUMEN DE SITIOS '!$C$5:$L$1052,9,FALSE())</f>
        <v>Alfredo de la Cruz</v>
      </c>
      <c r="L630" s="26" t="str">
        <f>VLOOKUP(C630,'[1]1.CUADRO RESUMEN DE SITIOS '!$C$5:$L$1052,10,FALSE())</f>
        <v>Terminado</v>
      </c>
      <c r="M630" s="26">
        <v>8828119045</v>
      </c>
      <c r="N630" s="26">
        <f>VLOOKUP(M630,[1]LPU!$A$2:$G$1512,2,FALSE())</f>
        <v>5.29</v>
      </c>
      <c r="O630" s="26" t="str">
        <f>VLOOKUP(M630,[1]LPU!$A$2:$G$1512,3,FALSE)</f>
        <v>Suministro e instalación de estructura metálica en acero galvanizado para refuerzo, soportes, bases y adecuaciones en general.</v>
      </c>
      <c r="P630" s="26" t="str">
        <f>VLOOKUP(M630,[1]LPU!$A$2:$G$1512,4,FALSE())</f>
        <v>Mantenimiento CW</v>
      </c>
      <c r="Q630" s="26" t="str">
        <f>VLOOKUP(M630,[1]LPU!$A$2:$G$1512,5,FALSE())</f>
        <v>Kg</v>
      </c>
      <c r="R630" s="27">
        <f>VLOOKUP(M630,[1]LPU!$A$2:$G$1512,6,FALSE())</f>
        <v>12911.5</v>
      </c>
      <c r="S630" s="27" t="str">
        <f>VLOOKUP(M630,[1]LPU!$A$2:$G$1512,7,FALSE())</f>
        <v>Mantenimiento CW</v>
      </c>
      <c r="T630" s="28">
        <v>22</v>
      </c>
      <c r="U630" s="29">
        <f t="shared" si="8"/>
        <v>284053</v>
      </c>
      <c r="V630" s="29" t="s">
        <v>77</v>
      </c>
      <c r="W630" s="30"/>
      <c r="X630" s="29" t="s">
        <v>254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ht="21" customHeight="1" x14ac:dyDescent="0.3">
      <c r="A631" s="22">
        <v>627</v>
      </c>
      <c r="B631" s="23">
        <v>1</v>
      </c>
      <c r="C631" s="23" t="s">
        <v>270</v>
      </c>
      <c r="D631" s="23" t="str">
        <f>VLOOKUP(C631,'[1]1.CUADRO RESUMEN DE SITIOS '!$C$5:$L$1052,2,FALSE())</f>
        <v>JCOR_00166</v>
      </c>
      <c r="E631" s="24">
        <f>VLOOKUP(C631,'[1]1.CUADRO RESUMEN DE SITIOS '!$C$5:$L$1052,3,FALSE())</f>
        <v>45924</v>
      </c>
      <c r="F631" s="23">
        <f>VLOOKUP(C631,'[1]1.CUADRO RESUMEN DE SITIOS '!$C$5:$L$1052,4,FALSE())</f>
        <v>8.7101019999999991</v>
      </c>
      <c r="G631" s="23">
        <f>VLOOKUP(C631,'[1]1.CUADRO RESUMEN DE SITIOS '!$C$5:$L$1052,5,FALSE())</f>
        <v>-76.266598999999999</v>
      </c>
      <c r="H631" s="23" t="str">
        <f>VLOOKUP(C631,'[1]1.CUADRO RESUMEN DE SITIOS '!$C$5:$L$1052,6,FALSE())</f>
        <v>Cordoba</v>
      </c>
      <c r="I631" s="23" t="str">
        <f>VLOOKUP(C631,'[1]1.CUADRO RESUMEN DE SITIOS '!$C$5:$L$1052,7,FALSE())</f>
        <v>WOM</v>
      </c>
      <c r="J631" s="25" t="str">
        <f>VLOOKUP(C631,'[1]1.CUADRO RESUMEN DE SITIOS '!$C$5:$L$1052,8,FALSE())</f>
        <v>COSTA</v>
      </c>
      <c r="K631" s="23" t="str">
        <f>VLOOKUP(C631,'[1]1.CUADRO RESUMEN DE SITIOS '!$C$5:$L$1052,9,FALSE())</f>
        <v>Alfredo de la Cruz</v>
      </c>
      <c r="L631" s="26" t="str">
        <f>VLOOKUP(C631,'[1]1.CUADRO RESUMEN DE SITIOS '!$C$5:$L$1052,10,FALSE())</f>
        <v>Terminado</v>
      </c>
      <c r="M631" s="26">
        <v>8828119609</v>
      </c>
      <c r="N631" s="26">
        <f>VLOOKUP(M631,[1]LPU!$A$2:$G$1512,2,FALSE())</f>
        <v>198</v>
      </c>
      <c r="O631" s="26" t="str">
        <f>VLOOKUP(M631,[1]LPU!$A$2:$G$1512,3,FALSE)</f>
        <v>Transporte de Equipos y Materiales, Carga y Descarga, desde y hacía Bodega Regional. Mas de 1 Tonelada. ZONA Satelital (Resolución 5078 de 2016)</v>
      </c>
      <c r="P631" s="26" t="str">
        <f>VLOOKUP(M631,[1]LPU!$A$2:$G$1512,4,FALSE())</f>
        <v>LOCATIVO</v>
      </c>
      <c r="Q631" s="26" t="str">
        <f>VLOOKUP(M631,[1]LPU!$A$2:$G$1512,5,FALSE())</f>
        <v>U</v>
      </c>
      <c r="R631" s="27">
        <f>VLOOKUP(M631,[1]LPU!$A$2:$G$1512,6,FALSE())</f>
        <v>1105000</v>
      </c>
      <c r="S631" s="27" t="str">
        <f>VLOOKUP(M631,[1]LPU!$A$2:$G$1512,7,FALSE())</f>
        <v>LPU FLM</v>
      </c>
      <c r="T631" s="28">
        <v>1</v>
      </c>
      <c r="U631" s="29">
        <f t="shared" si="8"/>
        <v>1105000</v>
      </c>
      <c r="V631" s="29" t="s">
        <v>77</v>
      </c>
      <c r="W631" s="30"/>
      <c r="X631" s="29" t="s">
        <v>254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ht="21" customHeight="1" x14ac:dyDescent="0.3">
      <c r="A632" s="22">
        <v>628</v>
      </c>
      <c r="B632" s="23">
        <v>1</v>
      </c>
      <c r="C632" s="23" t="s">
        <v>270</v>
      </c>
      <c r="D632" s="23" t="str">
        <f>VLOOKUP(C632,'[1]1.CUADRO RESUMEN DE SITIOS '!$C$5:$L$1052,2,FALSE())</f>
        <v>JCOR_00166</v>
      </c>
      <c r="E632" s="24">
        <f>VLOOKUP(C632,'[1]1.CUADRO RESUMEN DE SITIOS '!$C$5:$L$1052,3,FALSE())</f>
        <v>45924</v>
      </c>
      <c r="F632" s="23">
        <f>VLOOKUP(C632,'[1]1.CUADRO RESUMEN DE SITIOS '!$C$5:$L$1052,4,FALSE())</f>
        <v>8.7101019999999991</v>
      </c>
      <c r="G632" s="23">
        <f>VLOOKUP(C632,'[1]1.CUADRO RESUMEN DE SITIOS '!$C$5:$L$1052,5,FALSE())</f>
        <v>-76.266598999999999</v>
      </c>
      <c r="H632" s="23" t="str">
        <f>VLOOKUP(C632,'[1]1.CUADRO RESUMEN DE SITIOS '!$C$5:$L$1052,6,FALSE())</f>
        <v>Cordoba</v>
      </c>
      <c r="I632" s="23" t="str">
        <f>VLOOKUP(C632,'[1]1.CUADRO RESUMEN DE SITIOS '!$C$5:$L$1052,7,FALSE())</f>
        <v>WOM</v>
      </c>
      <c r="J632" s="25" t="str">
        <f>VLOOKUP(C632,'[1]1.CUADRO RESUMEN DE SITIOS '!$C$5:$L$1052,8,FALSE())</f>
        <v>COSTA</v>
      </c>
      <c r="K632" s="23" t="str">
        <f>VLOOKUP(C632,'[1]1.CUADRO RESUMEN DE SITIOS '!$C$5:$L$1052,9,FALSE())</f>
        <v>Alfredo de la Cruz</v>
      </c>
      <c r="L632" s="26" t="str">
        <f>VLOOKUP(C632,'[1]1.CUADRO RESUMEN DE SITIOS '!$C$5:$L$1052,10,FALSE())</f>
        <v>Terminado</v>
      </c>
      <c r="M632" s="26">
        <v>8828119110</v>
      </c>
      <c r="N632" s="26">
        <f>VLOOKUP(M632,[1]LPU!$A$2:$G$1512,2,FALSE())</f>
        <v>107</v>
      </c>
      <c r="O632" s="26" t="str">
        <f>VLOOKUP(M632,[1]LPU!$A$2:$G$1512,3,FALSE)</f>
        <v>Mano de Obra Tecnico Electricista Certficado CONTE</v>
      </c>
      <c r="P632" s="26" t="str">
        <f>VLOOKUP(M632,[1]LPU!$A$2:$G$1512,4,FALSE())</f>
        <v>ENERGÍA</v>
      </c>
      <c r="Q632" s="26" t="str">
        <f>VLOOKUP(M632,[1]LPU!$A$2:$G$1512,5,FALSE())</f>
        <v>DIA</v>
      </c>
      <c r="R632" s="27">
        <f>VLOOKUP(M632,[1]LPU!$A$2:$G$1512,6,FALSE())</f>
        <v>136000</v>
      </c>
      <c r="S632" s="27" t="str">
        <f>VLOOKUP(M632,[1]LPU!$A$2:$G$1512,7,FALSE())</f>
        <v>LPU FLM</v>
      </c>
      <c r="T632" s="28">
        <v>1</v>
      </c>
      <c r="U632" s="29">
        <f t="shared" si="8"/>
        <v>136000</v>
      </c>
      <c r="V632" s="29" t="s">
        <v>77</v>
      </c>
      <c r="W632" s="30"/>
      <c r="X632" s="29" t="s">
        <v>254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ht="21" customHeight="1" x14ac:dyDescent="0.3">
      <c r="A633" s="22">
        <v>629</v>
      </c>
      <c r="B633" s="23">
        <v>1</v>
      </c>
      <c r="C633" s="23" t="s">
        <v>270</v>
      </c>
      <c r="D633" s="23" t="str">
        <f>VLOOKUP(C633,'[1]1.CUADRO RESUMEN DE SITIOS '!$C$5:$L$1052,2,FALSE())</f>
        <v>JCOR_00166</v>
      </c>
      <c r="E633" s="24">
        <f>VLOOKUP(C633,'[1]1.CUADRO RESUMEN DE SITIOS '!$C$5:$L$1052,3,FALSE())</f>
        <v>45924</v>
      </c>
      <c r="F633" s="23">
        <f>VLOOKUP(C633,'[1]1.CUADRO RESUMEN DE SITIOS '!$C$5:$L$1052,4,FALSE())</f>
        <v>8.7101019999999991</v>
      </c>
      <c r="G633" s="23">
        <f>VLOOKUP(C633,'[1]1.CUADRO RESUMEN DE SITIOS '!$C$5:$L$1052,5,FALSE())</f>
        <v>-76.266598999999999</v>
      </c>
      <c r="H633" s="23" t="str">
        <f>VLOOKUP(C633,'[1]1.CUADRO RESUMEN DE SITIOS '!$C$5:$L$1052,6,FALSE())</f>
        <v>Cordoba</v>
      </c>
      <c r="I633" s="23" t="str">
        <f>VLOOKUP(C633,'[1]1.CUADRO RESUMEN DE SITIOS '!$C$5:$L$1052,7,FALSE())</f>
        <v>WOM</v>
      </c>
      <c r="J633" s="25" t="str">
        <f>VLOOKUP(C633,'[1]1.CUADRO RESUMEN DE SITIOS '!$C$5:$L$1052,8,FALSE())</f>
        <v>COSTA</v>
      </c>
      <c r="K633" s="23" t="str">
        <f>VLOOKUP(C633,'[1]1.CUADRO RESUMEN DE SITIOS '!$C$5:$L$1052,9,FALSE())</f>
        <v>Alfredo de la Cruz</v>
      </c>
      <c r="L633" s="26" t="str">
        <f>VLOOKUP(C633,'[1]1.CUADRO RESUMEN DE SITIOS '!$C$5:$L$1052,10,FALSE())</f>
        <v>Terminado</v>
      </c>
      <c r="M633" s="26">
        <v>8828119938</v>
      </c>
      <c r="N633" s="26">
        <f>VLOOKUP(M633,[1]LPU!$A$2:$G$1512,2,FALSE())</f>
        <v>23</v>
      </c>
      <c r="O633" s="26" t="str">
        <f>VLOOKUP(M633,[1]LPU!$A$2:$G$1512,3,FALSE)</f>
        <v>Reubicación de 01 BBU desde gabinete existente hacia nuevo gabinete, incluye conexión de alimentación en ambos planos y etiquetado</v>
      </c>
      <c r="P633" s="26" t="str">
        <f>VLOOKUP(M633,[1]LPU!$A$2:$G$1512,4,FALSE())</f>
        <v>ACCESO</v>
      </c>
      <c r="Q633" s="26" t="str">
        <f>VLOOKUP(M633,[1]LPU!$A$2:$G$1512,5,FALSE())</f>
        <v>Por sector</v>
      </c>
      <c r="R633" s="27">
        <f>VLOOKUP(M633,[1]LPU!$A$2:$G$1512,6,FALSE())</f>
        <v>217413</v>
      </c>
      <c r="S633" s="27" t="str">
        <f>VLOOKUP(M633,[1]LPU!$A$2:$G$1512,7,FALSE())</f>
        <v>LPU FLM</v>
      </c>
      <c r="T633" s="28">
        <v>1</v>
      </c>
      <c r="U633" s="29">
        <f t="shared" si="8"/>
        <v>217413</v>
      </c>
      <c r="V633" s="29" t="s">
        <v>77</v>
      </c>
      <c r="W633" s="30"/>
      <c r="X633" s="29" t="s">
        <v>254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ht="21" customHeight="1" x14ac:dyDescent="0.3">
      <c r="A634" s="22">
        <v>630</v>
      </c>
      <c r="B634" s="23">
        <v>1</v>
      </c>
      <c r="C634" s="23" t="s">
        <v>270</v>
      </c>
      <c r="D634" s="23" t="str">
        <f>VLOOKUP(C634,'[1]1.CUADRO RESUMEN DE SITIOS '!$C$5:$L$1052,2,FALSE())</f>
        <v>JCOR_00166</v>
      </c>
      <c r="E634" s="24">
        <f>VLOOKUP(C634,'[1]1.CUADRO RESUMEN DE SITIOS '!$C$5:$L$1052,3,FALSE())</f>
        <v>45924</v>
      </c>
      <c r="F634" s="23">
        <f>VLOOKUP(C634,'[1]1.CUADRO RESUMEN DE SITIOS '!$C$5:$L$1052,4,FALSE())</f>
        <v>8.7101019999999991</v>
      </c>
      <c r="G634" s="23">
        <f>VLOOKUP(C634,'[1]1.CUADRO RESUMEN DE SITIOS '!$C$5:$L$1052,5,FALSE())</f>
        <v>-76.266598999999999</v>
      </c>
      <c r="H634" s="23" t="str">
        <f>VLOOKUP(C634,'[1]1.CUADRO RESUMEN DE SITIOS '!$C$5:$L$1052,6,FALSE())</f>
        <v>Cordoba</v>
      </c>
      <c r="I634" s="23" t="str">
        <f>VLOOKUP(C634,'[1]1.CUADRO RESUMEN DE SITIOS '!$C$5:$L$1052,7,FALSE())</f>
        <v>WOM</v>
      </c>
      <c r="J634" s="25" t="str">
        <f>VLOOKUP(C634,'[1]1.CUADRO RESUMEN DE SITIOS '!$C$5:$L$1052,8,FALSE())</f>
        <v>COSTA</v>
      </c>
      <c r="K634" s="23" t="str">
        <f>VLOOKUP(C634,'[1]1.CUADRO RESUMEN DE SITIOS '!$C$5:$L$1052,9,FALSE())</f>
        <v>Alfredo de la Cruz</v>
      </c>
      <c r="L634" s="26" t="str">
        <f>VLOOKUP(C634,'[1]1.CUADRO RESUMEN DE SITIOS '!$C$5:$L$1052,10,FALSE())</f>
        <v>Terminado</v>
      </c>
      <c r="M634" s="26">
        <v>8828119402</v>
      </c>
      <c r="N634" s="26">
        <f>VLOOKUP(M634,[1]LPU!$A$2:$G$1512,2,FALSE())</f>
        <v>4</v>
      </c>
      <c r="O634" s="26" t="str">
        <f>VLOOKUP(M634,[1]LPU!$A$2:$G$1512,3,FALSE)</f>
        <v>Apertura y Cierre de Reja de Seguridad para Revisión de Baterías</v>
      </c>
      <c r="P634" s="26" t="str">
        <f>VLOOKUP(M634,[1]LPU!$A$2:$G$1512,4,FALSE())</f>
        <v>ACCESO</v>
      </c>
      <c r="Q634" s="26" t="str">
        <f>VLOOKUP(M634,[1]LPU!$A$2:$G$1512,5,FALSE())</f>
        <v>U</v>
      </c>
      <c r="R634" s="27">
        <f>VLOOKUP(M634,[1]LPU!$A$2:$G$1512,6,FALSE())</f>
        <v>96900</v>
      </c>
      <c r="S634" s="27" t="str">
        <f>VLOOKUP(M634,[1]LPU!$A$2:$G$1512,7,FALSE())</f>
        <v>LPU FLM</v>
      </c>
      <c r="T634" s="28">
        <v>1</v>
      </c>
      <c r="U634" s="29">
        <f t="shared" si="8"/>
        <v>96900</v>
      </c>
      <c r="V634" s="29" t="s">
        <v>77</v>
      </c>
      <c r="W634" s="30"/>
      <c r="X634" s="29" t="s">
        <v>254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ht="21" customHeight="1" x14ac:dyDescent="0.3">
      <c r="A635" s="22">
        <v>631</v>
      </c>
      <c r="B635" s="23">
        <v>1</v>
      </c>
      <c r="C635" s="23" t="s">
        <v>270</v>
      </c>
      <c r="D635" s="23" t="str">
        <f>VLOOKUP(C635,'[1]1.CUADRO RESUMEN DE SITIOS '!$C$5:$L$1052,2,FALSE())</f>
        <v>JCOR_00166</v>
      </c>
      <c r="E635" s="24">
        <f>VLOOKUP(C635,'[1]1.CUADRO RESUMEN DE SITIOS '!$C$5:$L$1052,3,FALSE())</f>
        <v>45924</v>
      </c>
      <c r="F635" s="23">
        <f>VLOOKUP(C635,'[1]1.CUADRO RESUMEN DE SITIOS '!$C$5:$L$1052,4,FALSE())</f>
        <v>8.7101019999999991</v>
      </c>
      <c r="G635" s="23">
        <f>VLOOKUP(C635,'[1]1.CUADRO RESUMEN DE SITIOS '!$C$5:$L$1052,5,FALSE())</f>
        <v>-76.266598999999999</v>
      </c>
      <c r="H635" s="23" t="str">
        <f>VLOOKUP(C635,'[1]1.CUADRO RESUMEN DE SITIOS '!$C$5:$L$1052,6,FALSE())</f>
        <v>Cordoba</v>
      </c>
      <c r="I635" s="23" t="str">
        <f>VLOOKUP(C635,'[1]1.CUADRO RESUMEN DE SITIOS '!$C$5:$L$1052,7,FALSE())</f>
        <v>WOM</v>
      </c>
      <c r="J635" s="25" t="str">
        <f>VLOOKUP(C635,'[1]1.CUADRO RESUMEN DE SITIOS '!$C$5:$L$1052,8,FALSE())</f>
        <v>COSTA</v>
      </c>
      <c r="K635" s="23" t="str">
        <f>VLOOKUP(C635,'[1]1.CUADRO RESUMEN DE SITIOS '!$C$5:$L$1052,9,FALSE())</f>
        <v>Alfredo de la Cruz</v>
      </c>
      <c r="L635" s="26" t="str">
        <f>VLOOKUP(C635,'[1]1.CUADRO RESUMEN DE SITIOS '!$C$5:$L$1052,10,FALSE())</f>
        <v>Terminado</v>
      </c>
      <c r="M635" s="26">
        <v>8828119250</v>
      </c>
      <c r="N635" s="26">
        <f>VLOOKUP(M635,[1]LPU!$A$2:$G$1512,2,FALSE())</f>
        <v>0</v>
      </c>
      <c r="O635" s="26" t="str">
        <f>VLOOKUP(M635,[1]LPU!$A$2:$G$1512,3,FALSE)</f>
        <v>Suministro e instalación coraza americana de 1 1/2" - Incluye 100% accesorios</v>
      </c>
      <c r="P635" s="26" t="str">
        <f>VLOOKUP(M635,[1]LPU!$A$2:$G$1512,4,FALSE())</f>
        <v>Variables</v>
      </c>
      <c r="Q635" s="26" t="str">
        <f>VLOOKUP(M635,[1]LPU!$A$2:$G$1512,5,FALSE())</f>
        <v>ml</v>
      </c>
      <c r="R635" s="27">
        <f>VLOOKUP(M635,[1]LPU!$A$2:$G$1512,6,FALSE())</f>
        <v>12410</v>
      </c>
      <c r="S635" s="27" t="str">
        <f>VLOOKUP(M635,[1]LPU!$A$2:$G$1512,7,FALSE())</f>
        <v>LPU FO</v>
      </c>
      <c r="T635" s="28">
        <v>8</v>
      </c>
      <c r="U635" s="29">
        <f t="shared" si="8"/>
        <v>99280</v>
      </c>
      <c r="V635" s="29" t="s">
        <v>77</v>
      </c>
      <c r="W635" s="30"/>
      <c r="X635" s="29" t="s">
        <v>254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ht="21" customHeight="1" x14ac:dyDescent="0.3">
      <c r="A636" s="22">
        <v>632</v>
      </c>
      <c r="B636" s="23">
        <v>1</v>
      </c>
      <c r="C636" s="23" t="s">
        <v>85</v>
      </c>
      <c r="D636" s="23" t="str">
        <f>VLOOKUP(C636,'[1]1.CUADRO RESUMEN DE SITIOS '!$C$5:$L$1052,2,FALSE())</f>
        <v>JSUC_00008</v>
      </c>
      <c r="E636" s="24">
        <f>VLOOKUP(C636,'[1]1.CUADRO RESUMEN DE SITIOS '!$C$5:$L$1052,3,FALSE())</f>
        <v>45899</v>
      </c>
      <c r="F636" s="23">
        <f>VLOOKUP(C636,'[1]1.CUADRO RESUMEN DE SITIOS '!$C$5:$L$1052,4,FALSE())</f>
        <v>8.4811099999999993</v>
      </c>
      <c r="G636" s="23">
        <f>VLOOKUP(C636,'[1]1.CUADRO RESUMEN DE SITIOS '!$C$5:$L$1052,5,FALSE())</f>
        <v>-74.709400000000002</v>
      </c>
      <c r="H636" s="23" t="str">
        <f>VLOOKUP(C636,'[1]1.CUADRO RESUMEN DE SITIOS '!$C$5:$L$1052,6,FALSE())</f>
        <v>Sucre</v>
      </c>
      <c r="I636" s="23" t="str">
        <f>VLOOKUP(C636,'[1]1.CUADRO RESUMEN DE SITIOS '!$C$5:$L$1052,7,FALSE())</f>
        <v>WOM</v>
      </c>
      <c r="J636" s="25" t="str">
        <f>VLOOKUP(C636,'[1]1.CUADRO RESUMEN DE SITIOS '!$C$5:$L$1052,8,FALSE())</f>
        <v>COSTA</v>
      </c>
      <c r="K636" s="23" t="str">
        <f>VLOOKUP(C636,'[1]1.CUADRO RESUMEN DE SITIOS '!$C$5:$L$1052,9,FALSE())</f>
        <v>Elkis Sandoval</v>
      </c>
      <c r="L636" s="26" t="str">
        <f>VLOOKUP(C636,'[1]1.CUADRO RESUMEN DE SITIOS '!$C$5:$L$1052,10,FALSE())</f>
        <v>Terminado</v>
      </c>
      <c r="M636" s="26">
        <v>8828119492</v>
      </c>
      <c r="N636" s="26">
        <f>VLOOKUP(M636,[1]LPU!$A$2:$G$1512,2,FALSE())</f>
        <v>53</v>
      </c>
      <c r="O636" s="26" t="str">
        <f>VLOOKUP(M636,[1]LPU!$A$2:$G$1512,3,FALSE)</f>
        <v>Instalación Banco de Baterias para Rectificadores - Aplica para ampliaciones.</v>
      </c>
      <c r="P636" s="26" t="str">
        <f>VLOOKUP(M636,[1]LPU!$A$2:$G$1512,4,FALSE())</f>
        <v>ENERGÍA</v>
      </c>
      <c r="Q636" s="26" t="str">
        <f>VLOOKUP(M636,[1]LPU!$A$2:$G$1512,5,FALSE())</f>
        <v>U</v>
      </c>
      <c r="R636" s="27">
        <f>VLOOKUP(M636,[1]LPU!$A$2:$G$1512,6,FALSE())</f>
        <v>102340</v>
      </c>
      <c r="S636" s="27" t="str">
        <f>VLOOKUP(M636,[1]LPU!$A$2:$G$1512,7,FALSE())</f>
        <v>LPU FLM</v>
      </c>
      <c r="T636" s="28">
        <v>1</v>
      </c>
      <c r="U636" s="29">
        <f t="shared" si="8"/>
        <v>102340</v>
      </c>
      <c r="V636" s="29" t="s">
        <v>77</v>
      </c>
      <c r="W636" s="30"/>
      <c r="X636" s="29" t="s">
        <v>254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ht="21" customHeight="1" x14ac:dyDescent="0.3">
      <c r="A637" s="22">
        <v>633</v>
      </c>
      <c r="B637" s="23">
        <v>1</v>
      </c>
      <c r="C637" s="23" t="s">
        <v>85</v>
      </c>
      <c r="D637" s="23" t="str">
        <f>VLOOKUP(C637,'[1]1.CUADRO RESUMEN DE SITIOS '!$C$5:$L$1052,2,FALSE())</f>
        <v>JSUC_00008</v>
      </c>
      <c r="E637" s="24">
        <f>VLOOKUP(C637,'[1]1.CUADRO RESUMEN DE SITIOS '!$C$5:$L$1052,3,FALSE())</f>
        <v>45899</v>
      </c>
      <c r="F637" s="23">
        <f>VLOOKUP(C637,'[1]1.CUADRO RESUMEN DE SITIOS '!$C$5:$L$1052,4,FALSE())</f>
        <v>8.4811099999999993</v>
      </c>
      <c r="G637" s="23">
        <f>VLOOKUP(C637,'[1]1.CUADRO RESUMEN DE SITIOS '!$C$5:$L$1052,5,FALSE())</f>
        <v>-74.709400000000002</v>
      </c>
      <c r="H637" s="23" t="str">
        <f>VLOOKUP(C637,'[1]1.CUADRO RESUMEN DE SITIOS '!$C$5:$L$1052,6,FALSE())</f>
        <v>Sucre</v>
      </c>
      <c r="I637" s="23" t="str">
        <f>VLOOKUP(C637,'[1]1.CUADRO RESUMEN DE SITIOS '!$C$5:$L$1052,7,FALSE())</f>
        <v>WOM</v>
      </c>
      <c r="J637" s="25" t="str">
        <f>VLOOKUP(C637,'[1]1.CUADRO RESUMEN DE SITIOS '!$C$5:$L$1052,8,FALSE())</f>
        <v>COSTA</v>
      </c>
      <c r="K637" s="23" t="str">
        <f>VLOOKUP(C637,'[1]1.CUADRO RESUMEN DE SITIOS '!$C$5:$L$1052,9,FALSE())</f>
        <v>Elkis Sandoval</v>
      </c>
      <c r="L637" s="26" t="str">
        <f>VLOOKUP(C637,'[1]1.CUADRO RESUMEN DE SITIOS '!$C$5:$L$1052,10,FALSE())</f>
        <v>Terminado</v>
      </c>
      <c r="M637" s="26">
        <v>8828119512</v>
      </c>
      <c r="N637" s="26">
        <f>VLOOKUP(M637,[1]LPU!$A$2:$G$1512,2,FALSE())</f>
        <v>55</v>
      </c>
      <c r="O637" s="26" t="str">
        <f>VLOOKUP(M637,[1]LPU!$A$2:$G$1512,3,FALSE)</f>
        <v>Transporte Banco de Baterias</v>
      </c>
      <c r="P637" s="26" t="str">
        <f>VLOOKUP(M637,[1]LPU!$A$2:$G$1512,4,FALSE())</f>
        <v>ENERGÍA</v>
      </c>
      <c r="Q637" s="26" t="str">
        <f>VLOOKUP(M637,[1]LPU!$A$2:$G$1512,5,FALSE())</f>
        <v>U</v>
      </c>
      <c r="R637" s="27">
        <f>VLOOKUP(M637,[1]LPU!$A$2:$G$1512,6,FALSE())</f>
        <v>82212</v>
      </c>
      <c r="S637" s="27" t="str">
        <f>VLOOKUP(M637,[1]LPU!$A$2:$G$1512,7,FALSE())</f>
        <v>LPU FLM</v>
      </c>
      <c r="T637" s="28">
        <v>1</v>
      </c>
      <c r="U637" s="29">
        <f t="shared" si="8"/>
        <v>82212</v>
      </c>
      <c r="V637" s="29" t="s">
        <v>77</v>
      </c>
      <c r="W637" s="30"/>
      <c r="X637" s="29" t="s">
        <v>254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ht="21" customHeight="1" x14ac:dyDescent="0.3">
      <c r="A638" s="22">
        <v>634</v>
      </c>
      <c r="B638" s="23">
        <v>1</v>
      </c>
      <c r="C638" s="23" t="s">
        <v>85</v>
      </c>
      <c r="D638" s="23" t="str">
        <f>VLOOKUP(C638,'[1]1.CUADRO RESUMEN DE SITIOS '!$C$5:$L$1052,2,FALSE())</f>
        <v>JSUC_00008</v>
      </c>
      <c r="E638" s="24">
        <f>VLOOKUP(C638,'[1]1.CUADRO RESUMEN DE SITIOS '!$C$5:$L$1052,3,FALSE())</f>
        <v>45899</v>
      </c>
      <c r="F638" s="23">
        <f>VLOOKUP(C638,'[1]1.CUADRO RESUMEN DE SITIOS '!$C$5:$L$1052,4,FALSE())</f>
        <v>8.4811099999999993</v>
      </c>
      <c r="G638" s="23">
        <f>VLOOKUP(C638,'[1]1.CUADRO RESUMEN DE SITIOS '!$C$5:$L$1052,5,FALSE())</f>
        <v>-74.709400000000002</v>
      </c>
      <c r="H638" s="23" t="str">
        <f>VLOOKUP(C638,'[1]1.CUADRO RESUMEN DE SITIOS '!$C$5:$L$1052,6,FALSE())</f>
        <v>Sucre</v>
      </c>
      <c r="I638" s="23" t="str">
        <f>VLOOKUP(C638,'[1]1.CUADRO RESUMEN DE SITIOS '!$C$5:$L$1052,7,FALSE())</f>
        <v>WOM</v>
      </c>
      <c r="J638" s="25" t="str">
        <f>VLOOKUP(C638,'[1]1.CUADRO RESUMEN DE SITIOS '!$C$5:$L$1052,8,FALSE())</f>
        <v>COSTA</v>
      </c>
      <c r="K638" s="23" t="str">
        <f>VLOOKUP(C638,'[1]1.CUADRO RESUMEN DE SITIOS '!$C$5:$L$1052,9,FALSE())</f>
        <v>Elkis Sandoval</v>
      </c>
      <c r="L638" s="26" t="str">
        <f>VLOOKUP(C638,'[1]1.CUADRO RESUMEN DE SITIOS '!$C$5:$L$1052,10,FALSE())</f>
        <v>Terminado</v>
      </c>
      <c r="M638" s="26">
        <v>8828118999</v>
      </c>
      <c r="N638" s="26">
        <f>VLOOKUP(M638,[1]LPU!$A$2:$G$1512,2,FALSE())</f>
        <v>0</v>
      </c>
      <c r="O638" s="26" t="str">
        <f>VLOOKUP(M638,[1]LPU!$A$2:$G$1512,3,FALSE)</f>
        <v>Suministro e instalación de cable UTP Categoría 6, con conectores en sus extremos, certificado</v>
      </c>
      <c r="P638" s="26" t="str">
        <f>VLOOKUP(M638,[1]LPU!$A$2:$G$1512,4,FALSE())</f>
        <v>Item Critico</v>
      </c>
      <c r="Q638" s="26" t="str">
        <f>VLOOKUP(M638,[1]LPU!$A$2:$G$1512,5,FALSE())</f>
        <v>m</v>
      </c>
      <c r="R638" s="27">
        <f>VLOOKUP(M638,[1]LPU!$A$2:$G$1512,6,FALSE())</f>
        <v>5913</v>
      </c>
      <c r="S638" s="27" t="str">
        <f>VLOOKUP(M638,[1]LPU!$A$2:$G$1512,7,FALSE())</f>
        <v>LPU FO Propia</v>
      </c>
      <c r="T638" s="28">
        <v>3</v>
      </c>
      <c r="U638" s="29">
        <f t="shared" si="8"/>
        <v>17739</v>
      </c>
      <c r="V638" s="29" t="s">
        <v>77</v>
      </c>
      <c r="W638" s="30"/>
      <c r="X638" s="29" t="s">
        <v>254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ht="21" customHeight="1" x14ac:dyDescent="0.3">
      <c r="A639" s="22">
        <v>635</v>
      </c>
      <c r="B639" s="23">
        <v>1</v>
      </c>
      <c r="C639" s="23" t="s">
        <v>85</v>
      </c>
      <c r="D639" s="23" t="str">
        <f>VLOOKUP(C639,'[1]1.CUADRO RESUMEN DE SITIOS '!$C$5:$L$1052,2,FALSE())</f>
        <v>JSUC_00008</v>
      </c>
      <c r="E639" s="24">
        <f>VLOOKUP(C639,'[1]1.CUADRO RESUMEN DE SITIOS '!$C$5:$L$1052,3,FALSE())</f>
        <v>45899</v>
      </c>
      <c r="F639" s="23">
        <f>VLOOKUP(C639,'[1]1.CUADRO RESUMEN DE SITIOS '!$C$5:$L$1052,4,FALSE())</f>
        <v>8.4811099999999993</v>
      </c>
      <c r="G639" s="23">
        <f>VLOOKUP(C639,'[1]1.CUADRO RESUMEN DE SITIOS '!$C$5:$L$1052,5,FALSE())</f>
        <v>-74.709400000000002</v>
      </c>
      <c r="H639" s="23" t="str">
        <f>VLOOKUP(C639,'[1]1.CUADRO RESUMEN DE SITIOS '!$C$5:$L$1052,6,FALSE())</f>
        <v>Sucre</v>
      </c>
      <c r="I639" s="23" t="str">
        <f>VLOOKUP(C639,'[1]1.CUADRO RESUMEN DE SITIOS '!$C$5:$L$1052,7,FALSE())</f>
        <v>WOM</v>
      </c>
      <c r="J639" s="25" t="str">
        <f>VLOOKUP(C639,'[1]1.CUADRO RESUMEN DE SITIOS '!$C$5:$L$1052,8,FALSE())</f>
        <v>COSTA</v>
      </c>
      <c r="K639" s="23" t="str">
        <f>VLOOKUP(C639,'[1]1.CUADRO RESUMEN DE SITIOS '!$C$5:$L$1052,9,FALSE())</f>
        <v>Elkis Sandoval</v>
      </c>
      <c r="L639" s="26" t="str">
        <f>VLOOKUP(C639,'[1]1.CUADRO RESUMEN DE SITIOS '!$C$5:$L$1052,10,FALSE())</f>
        <v>Terminado</v>
      </c>
      <c r="M639" s="26">
        <v>8828118925</v>
      </c>
      <c r="N639" s="26">
        <f>VLOOKUP(M639,[1]LPU!$A$2:$G$1512,2,FALSE())</f>
        <v>87</v>
      </c>
      <c r="O639" s="26" t="str">
        <f>VLOOKUP(M639,[1]LPU!$A$2:$G$1512,3,FALSE)</f>
        <v>Suministro e Instalacion de cable multifilar #4 awg tipo soldador.</v>
      </c>
      <c r="P639" s="26" t="str">
        <f>VLOOKUP(M639,[1]LPU!$A$2:$G$1512,4,FALSE())</f>
        <v>ENERGÍA</v>
      </c>
      <c r="Q639" s="26" t="str">
        <f>VLOOKUP(M639,[1]LPU!$A$2:$G$1512,5,FALSE())</f>
        <v>ML</v>
      </c>
      <c r="R639" s="27">
        <f>VLOOKUP(M639,[1]LPU!$A$2:$G$1512,6,FALSE())</f>
        <v>60815.8</v>
      </c>
      <c r="S639" s="27" t="str">
        <f>VLOOKUP(M639,[1]LPU!$A$2:$G$1512,7,FALSE())</f>
        <v>LPU FLM</v>
      </c>
      <c r="T639" s="28">
        <v>10</v>
      </c>
      <c r="U639" s="29">
        <f t="shared" si="8"/>
        <v>608158</v>
      </c>
      <c r="V639" s="29" t="s">
        <v>77</v>
      </c>
      <c r="W639" s="30"/>
      <c r="X639" s="29" t="s">
        <v>254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ht="21" customHeight="1" x14ac:dyDescent="0.3">
      <c r="A640" s="22">
        <v>636</v>
      </c>
      <c r="B640" s="23">
        <v>1</v>
      </c>
      <c r="C640" s="23" t="s">
        <v>85</v>
      </c>
      <c r="D640" s="23" t="str">
        <f>VLOOKUP(C640,'[1]1.CUADRO RESUMEN DE SITIOS '!$C$5:$L$1052,2,FALSE())</f>
        <v>JSUC_00008</v>
      </c>
      <c r="E640" s="24">
        <f>VLOOKUP(C640,'[1]1.CUADRO RESUMEN DE SITIOS '!$C$5:$L$1052,3,FALSE())</f>
        <v>45899</v>
      </c>
      <c r="F640" s="23">
        <f>VLOOKUP(C640,'[1]1.CUADRO RESUMEN DE SITIOS '!$C$5:$L$1052,4,FALSE())</f>
        <v>8.4811099999999993</v>
      </c>
      <c r="G640" s="23">
        <f>VLOOKUP(C640,'[1]1.CUADRO RESUMEN DE SITIOS '!$C$5:$L$1052,5,FALSE())</f>
        <v>-74.709400000000002</v>
      </c>
      <c r="H640" s="23" t="str">
        <f>VLOOKUP(C640,'[1]1.CUADRO RESUMEN DE SITIOS '!$C$5:$L$1052,6,FALSE())</f>
        <v>Sucre</v>
      </c>
      <c r="I640" s="23" t="str">
        <f>VLOOKUP(C640,'[1]1.CUADRO RESUMEN DE SITIOS '!$C$5:$L$1052,7,FALSE())</f>
        <v>WOM</v>
      </c>
      <c r="J640" s="25" t="str">
        <f>VLOOKUP(C640,'[1]1.CUADRO RESUMEN DE SITIOS '!$C$5:$L$1052,8,FALSE())</f>
        <v>COSTA</v>
      </c>
      <c r="K640" s="23" t="str">
        <f>VLOOKUP(C640,'[1]1.CUADRO RESUMEN DE SITIOS '!$C$5:$L$1052,9,FALSE())</f>
        <v>Elkis Sandoval</v>
      </c>
      <c r="L640" s="26" t="str">
        <f>VLOOKUP(C640,'[1]1.CUADRO RESUMEN DE SITIOS '!$C$5:$L$1052,10,FALSE())</f>
        <v>Terminado</v>
      </c>
      <c r="M640" s="26">
        <v>8828118868</v>
      </c>
      <c r="N640" s="26">
        <f>VLOOKUP(M640,[1]LPU!$A$2:$G$1512,2,FALSE())</f>
        <v>81</v>
      </c>
      <c r="O640" s="26" t="str">
        <f>VLOOKUP(M640,[1]LPU!$A$2:$G$1512,3,FALSE)</f>
        <v>Suministro e Instalacion de terminal para cable awg # 2 en cobre estañado un ojo</v>
      </c>
      <c r="P640" s="26" t="str">
        <f>VLOOKUP(M640,[1]LPU!$A$2:$G$1512,4,FALSE())</f>
        <v>ENERGÍA</v>
      </c>
      <c r="Q640" s="26" t="str">
        <f>VLOOKUP(M640,[1]LPU!$A$2:$G$1512,5,FALSE())</f>
        <v>U</v>
      </c>
      <c r="R640" s="27">
        <f>VLOOKUP(M640,[1]LPU!$A$2:$G$1512,6,FALSE())</f>
        <v>2347</v>
      </c>
      <c r="S640" s="27" t="str">
        <f>VLOOKUP(M640,[1]LPU!$A$2:$G$1512,7,FALSE())</f>
        <v>LPU FLM</v>
      </c>
      <c r="T640" s="28">
        <v>4</v>
      </c>
      <c r="U640" s="29">
        <f t="shared" si="8"/>
        <v>9388</v>
      </c>
      <c r="V640" s="29" t="s">
        <v>77</v>
      </c>
      <c r="W640" s="30"/>
      <c r="X640" s="29" t="s">
        <v>254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ht="21" customHeight="1" x14ac:dyDescent="0.3">
      <c r="A641" s="22">
        <v>637</v>
      </c>
      <c r="B641" s="23">
        <v>1</v>
      </c>
      <c r="C641" s="23" t="s">
        <v>85</v>
      </c>
      <c r="D641" s="23" t="str">
        <f>VLOOKUP(C641,'[1]1.CUADRO RESUMEN DE SITIOS '!$C$5:$L$1052,2,FALSE())</f>
        <v>JSUC_00008</v>
      </c>
      <c r="E641" s="24">
        <f>VLOOKUP(C641,'[1]1.CUADRO RESUMEN DE SITIOS '!$C$5:$L$1052,3,FALSE())</f>
        <v>45899</v>
      </c>
      <c r="F641" s="23">
        <f>VLOOKUP(C641,'[1]1.CUADRO RESUMEN DE SITIOS '!$C$5:$L$1052,4,FALSE())</f>
        <v>8.4811099999999993</v>
      </c>
      <c r="G641" s="23">
        <f>VLOOKUP(C641,'[1]1.CUADRO RESUMEN DE SITIOS '!$C$5:$L$1052,5,FALSE())</f>
        <v>-74.709400000000002</v>
      </c>
      <c r="H641" s="23" t="str">
        <f>VLOOKUP(C641,'[1]1.CUADRO RESUMEN DE SITIOS '!$C$5:$L$1052,6,FALSE())</f>
        <v>Sucre</v>
      </c>
      <c r="I641" s="23" t="str">
        <f>VLOOKUP(C641,'[1]1.CUADRO RESUMEN DE SITIOS '!$C$5:$L$1052,7,FALSE())</f>
        <v>WOM</v>
      </c>
      <c r="J641" s="25" t="str">
        <f>VLOOKUP(C641,'[1]1.CUADRO RESUMEN DE SITIOS '!$C$5:$L$1052,8,FALSE())</f>
        <v>COSTA</v>
      </c>
      <c r="K641" s="23" t="str">
        <f>VLOOKUP(C641,'[1]1.CUADRO RESUMEN DE SITIOS '!$C$5:$L$1052,9,FALSE())</f>
        <v>Elkis Sandoval</v>
      </c>
      <c r="L641" s="26" t="str">
        <f>VLOOKUP(C641,'[1]1.CUADRO RESUMEN DE SITIOS '!$C$5:$L$1052,10,FALSE())</f>
        <v>Terminado</v>
      </c>
      <c r="M641" s="26">
        <v>8828119980</v>
      </c>
      <c r="N641" s="26">
        <f>VLOOKUP(M641,[1]LPU!$A$2:$G$1512,2,FALSE())</f>
        <v>169</v>
      </c>
      <c r="O641" s="26" t="str">
        <f>VLOOKUP(M641,[1]LPU!$A$2:$G$1512,3,FALSE)</f>
        <v>Reforzamiento Protección Concreto para Rack de Baterías Incluye Materiales</v>
      </c>
      <c r="P641" s="26" t="str">
        <f>VLOOKUP(M641,[1]LPU!$A$2:$G$1512,4,FALSE())</f>
        <v>LOCATIVO</v>
      </c>
      <c r="Q641" s="26" t="str">
        <f>VLOOKUP(M641,[1]LPU!$A$2:$G$1512,5,FALSE())</f>
        <v>U</v>
      </c>
      <c r="R641" s="27">
        <f>VLOOKUP(M641,[1]LPU!$A$2:$G$1512,6,FALSE())</f>
        <v>114750</v>
      </c>
      <c r="S641" s="27" t="str">
        <f>VLOOKUP(M641,[1]LPU!$A$2:$G$1512,7,FALSE())</f>
        <v>LPU FLM</v>
      </c>
      <c r="T641" s="28">
        <v>1</v>
      </c>
      <c r="U641" s="29">
        <f t="shared" si="8"/>
        <v>114750</v>
      </c>
      <c r="V641" s="29" t="s">
        <v>77</v>
      </c>
      <c r="W641" s="30"/>
      <c r="X641" s="29" t="s">
        <v>254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ht="21" customHeight="1" x14ac:dyDescent="0.3">
      <c r="A642" s="22">
        <v>638</v>
      </c>
      <c r="B642" s="23">
        <v>1</v>
      </c>
      <c r="C642" s="23" t="s">
        <v>85</v>
      </c>
      <c r="D642" s="23" t="str">
        <f>VLOOKUP(C642,'[1]1.CUADRO RESUMEN DE SITIOS '!$C$5:$L$1052,2,FALSE())</f>
        <v>JSUC_00008</v>
      </c>
      <c r="E642" s="24">
        <f>VLOOKUP(C642,'[1]1.CUADRO RESUMEN DE SITIOS '!$C$5:$L$1052,3,FALSE())</f>
        <v>45899</v>
      </c>
      <c r="F642" s="23">
        <f>VLOOKUP(C642,'[1]1.CUADRO RESUMEN DE SITIOS '!$C$5:$L$1052,4,FALSE())</f>
        <v>8.4811099999999993</v>
      </c>
      <c r="G642" s="23">
        <f>VLOOKUP(C642,'[1]1.CUADRO RESUMEN DE SITIOS '!$C$5:$L$1052,5,FALSE())</f>
        <v>-74.709400000000002</v>
      </c>
      <c r="H642" s="23" t="str">
        <f>VLOOKUP(C642,'[1]1.CUADRO RESUMEN DE SITIOS '!$C$5:$L$1052,6,FALSE())</f>
        <v>Sucre</v>
      </c>
      <c r="I642" s="23" t="str">
        <f>VLOOKUP(C642,'[1]1.CUADRO RESUMEN DE SITIOS '!$C$5:$L$1052,7,FALSE())</f>
        <v>WOM</v>
      </c>
      <c r="J642" s="25" t="str">
        <f>VLOOKUP(C642,'[1]1.CUADRO RESUMEN DE SITIOS '!$C$5:$L$1052,8,FALSE())</f>
        <v>COSTA</v>
      </c>
      <c r="K642" s="23" t="str">
        <f>VLOOKUP(C642,'[1]1.CUADRO RESUMEN DE SITIOS '!$C$5:$L$1052,9,FALSE())</f>
        <v>Elkis Sandoval</v>
      </c>
      <c r="L642" s="26" t="str">
        <f>VLOOKUP(C642,'[1]1.CUADRO RESUMEN DE SITIOS '!$C$5:$L$1052,10,FALSE())</f>
        <v>Terminado</v>
      </c>
      <c r="M642" s="26">
        <v>8828119848</v>
      </c>
      <c r="N642" s="26">
        <f>VLOOKUP(M642,[1]LPU!$A$2:$G$1512,2,FALSE())</f>
        <v>157</v>
      </c>
      <c r="O642" s="26" t="str">
        <f>VLOOKUP(M642,[1]LPU!$A$2:$G$1512,3,FALSE)</f>
        <v>Reja para equipo cabinet x 2 baterías</v>
      </c>
      <c r="P642" s="26" t="str">
        <f>VLOOKUP(M642,[1]LPU!$A$2:$G$1512,4,FALSE())</f>
        <v>LOCATIVO</v>
      </c>
      <c r="Q642" s="26" t="str">
        <f>VLOOKUP(M642,[1]LPU!$A$2:$G$1512,5,FALSE())</f>
        <v>U</v>
      </c>
      <c r="R642" s="27">
        <f>VLOOKUP(M642,[1]LPU!$A$2:$G$1512,6,FALSE())</f>
        <v>415303</v>
      </c>
      <c r="S642" s="27" t="str">
        <f>VLOOKUP(M642,[1]LPU!$A$2:$G$1512,7,FALSE())</f>
        <v>LPU FLM</v>
      </c>
      <c r="T642" s="28">
        <v>1</v>
      </c>
      <c r="U642" s="29">
        <f t="shared" si="8"/>
        <v>415303</v>
      </c>
      <c r="V642" s="29" t="s">
        <v>77</v>
      </c>
      <c r="W642" s="30"/>
      <c r="X642" s="29" t="s">
        <v>254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ht="21" customHeight="1" x14ac:dyDescent="0.3">
      <c r="A643" s="22">
        <v>639</v>
      </c>
      <c r="B643" s="23">
        <v>1</v>
      </c>
      <c r="C643" s="23" t="s">
        <v>85</v>
      </c>
      <c r="D643" s="23" t="str">
        <f>VLOOKUP(C643,'[1]1.CUADRO RESUMEN DE SITIOS '!$C$5:$L$1052,2,FALSE())</f>
        <v>JSUC_00008</v>
      </c>
      <c r="E643" s="24">
        <f>VLOOKUP(C643,'[1]1.CUADRO RESUMEN DE SITIOS '!$C$5:$L$1052,3,FALSE())</f>
        <v>45899</v>
      </c>
      <c r="F643" s="23">
        <f>VLOOKUP(C643,'[1]1.CUADRO RESUMEN DE SITIOS '!$C$5:$L$1052,4,FALSE())</f>
        <v>8.4811099999999993</v>
      </c>
      <c r="G643" s="23">
        <f>VLOOKUP(C643,'[1]1.CUADRO RESUMEN DE SITIOS '!$C$5:$L$1052,5,FALSE())</f>
        <v>-74.709400000000002</v>
      </c>
      <c r="H643" s="23" t="str">
        <f>VLOOKUP(C643,'[1]1.CUADRO RESUMEN DE SITIOS '!$C$5:$L$1052,6,FALSE())</f>
        <v>Sucre</v>
      </c>
      <c r="I643" s="23" t="str">
        <f>VLOOKUP(C643,'[1]1.CUADRO RESUMEN DE SITIOS '!$C$5:$L$1052,7,FALSE())</f>
        <v>WOM</v>
      </c>
      <c r="J643" s="25" t="str">
        <f>VLOOKUP(C643,'[1]1.CUADRO RESUMEN DE SITIOS '!$C$5:$L$1052,8,FALSE())</f>
        <v>COSTA</v>
      </c>
      <c r="K643" s="23" t="str">
        <f>VLOOKUP(C643,'[1]1.CUADRO RESUMEN DE SITIOS '!$C$5:$L$1052,9,FALSE())</f>
        <v>Elkis Sandoval</v>
      </c>
      <c r="L643" s="26" t="str">
        <f>VLOOKUP(C643,'[1]1.CUADRO RESUMEN DE SITIOS '!$C$5:$L$1052,10,FALSE())</f>
        <v>Terminado</v>
      </c>
      <c r="M643" s="26">
        <v>8828119045</v>
      </c>
      <c r="N643" s="26">
        <f>VLOOKUP(M643,[1]LPU!$A$2:$G$1512,2,FALSE())</f>
        <v>5.29</v>
      </c>
      <c r="O643" s="26" t="str">
        <f>VLOOKUP(M643,[1]LPU!$A$2:$G$1512,3,FALSE)</f>
        <v>Suministro e instalación de estructura metálica en acero galvanizado para refuerzo, soportes, bases y adecuaciones en general.</v>
      </c>
      <c r="P643" s="26" t="str">
        <f>VLOOKUP(M643,[1]LPU!$A$2:$G$1512,4,FALSE())</f>
        <v>Mantenimiento CW</v>
      </c>
      <c r="Q643" s="26" t="str">
        <f>VLOOKUP(M643,[1]LPU!$A$2:$G$1512,5,FALSE())</f>
        <v>Kg</v>
      </c>
      <c r="R643" s="27">
        <f>VLOOKUP(M643,[1]LPU!$A$2:$G$1512,6,FALSE())</f>
        <v>12911.5</v>
      </c>
      <c r="S643" s="27" t="str">
        <f>VLOOKUP(M643,[1]LPU!$A$2:$G$1512,7,FALSE())</f>
        <v>Mantenimiento CW</v>
      </c>
      <c r="T643" s="28">
        <v>22</v>
      </c>
      <c r="U643" s="29">
        <f t="shared" si="8"/>
        <v>284053</v>
      </c>
      <c r="V643" s="29" t="s">
        <v>77</v>
      </c>
      <c r="W643" s="30"/>
      <c r="X643" s="29" t="s">
        <v>254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ht="21" customHeight="1" x14ac:dyDescent="0.3">
      <c r="A644" s="22">
        <v>640</v>
      </c>
      <c r="B644" s="23">
        <v>1</v>
      </c>
      <c r="C644" s="23" t="s">
        <v>85</v>
      </c>
      <c r="D644" s="23" t="str">
        <f>VLOOKUP(C644,'[1]1.CUADRO RESUMEN DE SITIOS '!$C$5:$L$1052,2,FALSE())</f>
        <v>JSUC_00008</v>
      </c>
      <c r="E644" s="24">
        <f>VLOOKUP(C644,'[1]1.CUADRO RESUMEN DE SITIOS '!$C$5:$L$1052,3,FALSE())</f>
        <v>45899</v>
      </c>
      <c r="F644" s="23">
        <f>VLOOKUP(C644,'[1]1.CUADRO RESUMEN DE SITIOS '!$C$5:$L$1052,4,FALSE())</f>
        <v>8.4811099999999993</v>
      </c>
      <c r="G644" s="23">
        <f>VLOOKUP(C644,'[1]1.CUADRO RESUMEN DE SITIOS '!$C$5:$L$1052,5,FALSE())</f>
        <v>-74.709400000000002</v>
      </c>
      <c r="H644" s="23" t="str">
        <f>VLOOKUP(C644,'[1]1.CUADRO RESUMEN DE SITIOS '!$C$5:$L$1052,6,FALSE())</f>
        <v>Sucre</v>
      </c>
      <c r="I644" s="23" t="str">
        <f>VLOOKUP(C644,'[1]1.CUADRO RESUMEN DE SITIOS '!$C$5:$L$1052,7,FALSE())</f>
        <v>WOM</v>
      </c>
      <c r="J644" s="25" t="str">
        <f>VLOOKUP(C644,'[1]1.CUADRO RESUMEN DE SITIOS '!$C$5:$L$1052,8,FALSE())</f>
        <v>COSTA</v>
      </c>
      <c r="K644" s="23" t="str">
        <f>VLOOKUP(C644,'[1]1.CUADRO RESUMEN DE SITIOS '!$C$5:$L$1052,9,FALSE())</f>
        <v>Elkis Sandoval</v>
      </c>
      <c r="L644" s="26" t="str">
        <f>VLOOKUP(C644,'[1]1.CUADRO RESUMEN DE SITIOS '!$C$5:$L$1052,10,FALSE())</f>
        <v>Terminado</v>
      </c>
      <c r="M644" s="26">
        <v>8828119599</v>
      </c>
      <c r="N644" s="26">
        <f>VLOOKUP(M644,[1]LPU!$A$2:$G$1512,2,FALSE())</f>
        <v>197</v>
      </c>
      <c r="O644" s="26" t="str">
        <f>VLOOKUP(M644,[1]LPU!$A$2:$G$1512,3,FALSE)</f>
        <v>Transporte de Equipos y Materiales, Carga y Descarga, desde y hacía Bodega Regional. Mas de 1 Tonelada. ZONA 2 (Resolución 5078 de 2016)</v>
      </c>
      <c r="P644" s="26" t="str">
        <f>VLOOKUP(M644,[1]LPU!$A$2:$G$1512,4,FALSE())</f>
        <v>LOCATIVO</v>
      </c>
      <c r="Q644" s="26" t="str">
        <f>VLOOKUP(M644,[1]LPU!$A$2:$G$1512,5,FALSE())</f>
        <v>U</v>
      </c>
      <c r="R644" s="27">
        <f>VLOOKUP(M644,[1]LPU!$A$2:$G$1512,6,FALSE())</f>
        <v>680680</v>
      </c>
      <c r="S644" s="27" t="str">
        <f>VLOOKUP(M644,[1]LPU!$A$2:$G$1512,7,FALSE())</f>
        <v>LPU FLM</v>
      </c>
      <c r="T644" s="28">
        <v>1</v>
      </c>
      <c r="U644" s="29">
        <f t="shared" si="8"/>
        <v>680680</v>
      </c>
      <c r="V644" s="29" t="s">
        <v>77</v>
      </c>
      <c r="W644" s="30"/>
      <c r="X644" s="29" t="s">
        <v>254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ht="21" customHeight="1" x14ac:dyDescent="0.3">
      <c r="A645" s="22">
        <v>641</v>
      </c>
      <c r="B645" s="23">
        <v>1</v>
      </c>
      <c r="C645" s="23" t="s">
        <v>85</v>
      </c>
      <c r="D645" s="23" t="str">
        <f>VLOOKUP(C645,'[1]1.CUADRO RESUMEN DE SITIOS '!$C$5:$L$1052,2,FALSE())</f>
        <v>JSUC_00008</v>
      </c>
      <c r="E645" s="24">
        <f>VLOOKUP(C645,'[1]1.CUADRO RESUMEN DE SITIOS '!$C$5:$L$1052,3,FALSE())</f>
        <v>45899</v>
      </c>
      <c r="F645" s="23">
        <f>VLOOKUP(C645,'[1]1.CUADRO RESUMEN DE SITIOS '!$C$5:$L$1052,4,FALSE())</f>
        <v>8.4811099999999993</v>
      </c>
      <c r="G645" s="23">
        <f>VLOOKUP(C645,'[1]1.CUADRO RESUMEN DE SITIOS '!$C$5:$L$1052,5,FALSE())</f>
        <v>-74.709400000000002</v>
      </c>
      <c r="H645" s="23" t="str">
        <f>VLOOKUP(C645,'[1]1.CUADRO RESUMEN DE SITIOS '!$C$5:$L$1052,6,FALSE())</f>
        <v>Sucre</v>
      </c>
      <c r="I645" s="23" t="str">
        <f>VLOOKUP(C645,'[1]1.CUADRO RESUMEN DE SITIOS '!$C$5:$L$1052,7,FALSE())</f>
        <v>WOM</v>
      </c>
      <c r="J645" s="25" t="str">
        <f>VLOOKUP(C645,'[1]1.CUADRO RESUMEN DE SITIOS '!$C$5:$L$1052,8,FALSE())</f>
        <v>COSTA</v>
      </c>
      <c r="K645" s="23" t="str">
        <f>VLOOKUP(C645,'[1]1.CUADRO RESUMEN DE SITIOS '!$C$5:$L$1052,9,FALSE())</f>
        <v>Elkis Sandoval</v>
      </c>
      <c r="L645" s="26" t="str">
        <f>VLOOKUP(C645,'[1]1.CUADRO RESUMEN DE SITIOS '!$C$5:$L$1052,10,FALSE())</f>
        <v>Terminado</v>
      </c>
      <c r="M645" s="26">
        <v>8828119110</v>
      </c>
      <c r="N645" s="26">
        <f>VLOOKUP(M645,[1]LPU!$A$2:$G$1512,2,FALSE())</f>
        <v>107</v>
      </c>
      <c r="O645" s="26" t="str">
        <f>VLOOKUP(M645,[1]LPU!$A$2:$G$1512,3,FALSE)</f>
        <v>Mano de Obra Tecnico Electricista Certficado CONTE</v>
      </c>
      <c r="P645" s="26" t="str">
        <f>VLOOKUP(M645,[1]LPU!$A$2:$G$1512,4,FALSE())</f>
        <v>ENERGÍA</v>
      </c>
      <c r="Q645" s="26" t="str">
        <f>VLOOKUP(M645,[1]LPU!$A$2:$G$1512,5,FALSE())</f>
        <v>DIA</v>
      </c>
      <c r="R645" s="27">
        <f>VLOOKUP(M645,[1]LPU!$A$2:$G$1512,6,FALSE())</f>
        <v>136000</v>
      </c>
      <c r="S645" s="27" t="str">
        <f>VLOOKUP(M645,[1]LPU!$A$2:$G$1512,7,FALSE())</f>
        <v>LPU FLM</v>
      </c>
      <c r="T645" s="28">
        <v>1</v>
      </c>
      <c r="U645" s="29">
        <f t="shared" si="8"/>
        <v>136000</v>
      </c>
      <c r="V645" s="29" t="s">
        <v>77</v>
      </c>
      <c r="W645" s="30"/>
      <c r="X645" s="29" t="s">
        <v>254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ht="21" customHeight="1" x14ac:dyDescent="0.3">
      <c r="A646" s="22">
        <v>642</v>
      </c>
      <c r="B646" s="23">
        <v>1</v>
      </c>
      <c r="C646" s="23" t="s">
        <v>85</v>
      </c>
      <c r="D646" s="23" t="str">
        <f>VLOOKUP(C646,'[1]1.CUADRO RESUMEN DE SITIOS '!$C$5:$L$1052,2,FALSE())</f>
        <v>JSUC_00008</v>
      </c>
      <c r="E646" s="24">
        <f>VLOOKUP(C646,'[1]1.CUADRO RESUMEN DE SITIOS '!$C$5:$L$1052,3,FALSE())</f>
        <v>45899</v>
      </c>
      <c r="F646" s="23">
        <f>VLOOKUP(C646,'[1]1.CUADRO RESUMEN DE SITIOS '!$C$5:$L$1052,4,FALSE())</f>
        <v>8.4811099999999993</v>
      </c>
      <c r="G646" s="23">
        <f>VLOOKUP(C646,'[1]1.CUADRO RESUMEN DE SITIOS '!$C$5:$L$1052,5,FALSE())</f>
        <v>-74.709400000000002</v>
      </c>
      <c r="H646" s="23" t="str">
        <f>VLOOKUP(C646,'[1]1.CUADRO RESUMEN DE SITIOS '!$C$5:$L$1052,6,FALSE())</f>
        <v>Sucre</v>
      </c>
      <c r="I646" s="23" t="str">
        <f>VLOOKUP(C646,'[1]1.CUADRO RESUMEN DE SITIOS '!$C$5:$L$1052,7,FALSE())</f>
        <v>WOM</v>
      </c>
      <c r="J646" s="25" t="str">
        <f>VLOOKUP(C646,'[1]1.CUADRO RESUMEN DE SITIOS '!$C$5:$L$1052,8,FALSE())</f>
        <v>COSTA</v>
      </c>
      <c r="K646" s="23" t="str">
        <f>VLOOKUP(C646,'[1]1.CUADRO RESUMEN DE SITIOS '!$C$5:$L$1052,9,FALSE())</f>
        <v>Elkis Sandoval</v>
      </c>
      <c r="L646" s="26" t="str">
        <f>VLOOKUP(C646,'[1]1.CUADRO RESUMEN DE SITIOS '!$C$5:$L$1052,10,FALSE())</f>
        <v>Terminado</v>
      </c>
      <c r="M646" s="26">
        <v>8828119938</v>
      </c>
      <c r="N646" s="26">
        <f>VLOOKUP(M646,[1]LPU!$A$2:$G$1512,2,FALSE())</f>
        <v>23</v>
      </c>
      <c r="O646" s="26" t="str">
        <f>VLOOKUP(M646,[1]LPU!$A$2:$G$1512,3,FALSE)</f>
        <v>Reubicación de 01 BBU desde gabinete existente hacia nuevo gabinete, incluye conexión de alimentación en ambos planos y etiquetado</v>
      </c>
      <c r="P646" s="26" t="str">
        <f>VLOOKUP(M646,[1]LPU!$A$2:$G$1512,4,FALSE())</f>
        <v>ACCESO</v>
      </c>
      <c r="Q646" s="26" t="str">
        <f>VLOOKUP(M646,[1]LPU!$A$2:$G$1512,5,FALSE())</f>
        <v>Por sector</v>
      </c>
      <c r="R646" s="27">
        <f>VLOOKUP(M646,[1]LPU!$A$2:$G$1512,6,FALSE())</f>
        <v>217413</v>
      </c>
      <c r="S646" s="27" t="str">
        <f>VLOOKUP(M646,[1]LPU!$A$2:$G$1512,7,FALSE())</f>
        <v>LPU FLM</v>
      </c>
      <c r="T646" s="28">
        <v>1</v>
      </c>
      <c r="U646" s="29">
        <f t="shared" si="8"/>
        <v>217413</v>
      </c>
      <c r="V646" s="29" t="s">
        <v>77</v>
      </c>
      <c r="W646" s="30"/>
      <c r="X646" s="29" t="s">
        <v>254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ht="21" customHeight="1" x14ac:dyDescent="0.3">
      <c r="A647" s="22">
        <v>643</v>
      </c>
      <c r="B647" s="23">
        <v>1</v>
      </c>
      <c r="C647" s="23" t="s">
        <v>85</v>
      </c>
      <c r="D647" s="23" t="str">
        <f>VLOOKUP(C647,'[1]1.CUADRO RESUMEN DE SITIOS '!$C$5:$L$1052,2,FALSE())</f>
        <v>JSUC_00008</v>
      </c>
      <c r="E647" s="24">
        <f>VLOOKUP(C647,'[1]1.CUADRO RESUMEN DE SITIOS '!$C$5:$L$1052,3,FALSE())</f>
        <v>45899</v>
      </c>
      <c r="F647" s="23">
        <f>VLOOKUP(C647,'[1]1.CUADRO RESUMEN DE SITIOS '!$C$5:$L$1052,4,FALSE())</f>
        <v>8.4811099999999993</v>
      </c>
      <c r="G647" s="23">
        <f>VLOOKUP(C647,'[1]1.CUADRO RESUMEN DE SITIOS '!$C$5:$L$1052,5,FALSE())</f>
        <v>-74.709400000000002</v>
      </c>
      <c r="H647" s="23" t="str">
        <f>VLOOKUP(C647,'[1]1.CUADRO RESUMEN DE SITIOS '!$C$5:$L$1052,6,FALSE())</f>
        <v>Sucre</v>
      </c>
      <c r="I647" s="23" t="str">
        <f>VLOOKUP(C647,'[1]1.CUADRO RESUMEN DE SITIOS '!$C$5:$L$1052,7,FALSE())</f>
        <v>WOM</v>
      </c>
      <c r="J647" s="25" t="str">
        <f>VLOOKUP(C647,'[1]1.CUADRO RESUMEN DE SITIOS '!$C$5:$L$1052,8,FALSE())</f>
        <v>COSTA</v>
      </c>
      <c r="K647" s="23" t="str">
        <f>VLOOKUP(C647,'[1]1.CUADRO RESUMEN DE SITIOS '!$C$5:$L$1052,9,FALSE())</f>
        <v>Elkis Sandoval</v>
      </c>
      <c r="L647" s="26" t="str">
        <f>VLOOKUP(C647,'[1]1.CUADRO RESUMEN DE SITIOS '!$C$5:$L$1052,10,FALSE())</f>
        <v>Terminado</v>
      </c>
      <c r="M647" s="26">
        <v>8828119402</v>
      </c>
      <c r="N647" s="26">
        <f>VLOOKUP(M647,[1]LPU!$A$2:$G$1512,2,FALSE())</f>
        <v>4</v>
      </c>
      <c r="O647" s="26" t="str">
        <f>VLOOKUP(M647,[1]LPU!$A$2:$G$1512,3,FALSE)</f>
        <v>Apertura y Cierre de Reja de Seguridad para Revisión de Baterías</v>
      </c>
      <c r="P647" s="26" t="str">
        <f>VLOOKUP(M647,[1]LPU!$A$2:$G$1512,4,FALSE())</f>
        <v>ACCESO</v>
      </c>
      <c r="Q647" s="26" t="str">
        <f>VLOOKUP(M647,[1]LPU!$A$2:$G$1512,5,FALSE())</f>
        <v>U</v>
      </c>
      <c r="R647" s="27">
        <f>VLOOKUP(M647,[1]LPU!$A$2:$G$1512,6,FALSE())</f>
        <v>96900</v>
      </c>
      <c r="S647" s="27" t="str">
        <f>VLOOKUP(M647,[1]LPU!$A$2:$G$1512,7,FALSE())</f>
        <v>LPU FLM</v>
      </c>
      <c r="T647" s="28">
        <v>1</v>
      </c>
      <c r="U647" s="29">
        <f t="shared" si="8"/>
        <v>96900</v>
      </c>
      <c r="V647" s="29" t="s">
        <v>77</v>
      </c>
      <c r="W647" s="30"/>
      <c r="X647" s="29" t="s">
        <v>254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ht="21" customHeight="1" x14ac:dyDescent="0.3">
      <c r="A648" s="22">
        <v>644</v>
      </c>
      <c r="B648" s="23">
        <v>1</v>
      </c>
      <c r="C648" s="23" t="s">
        <v>85</v>
      </c>
      <c r="D648" s="23" t="str">
        <f>VLOOKUP(C648,'[1]1.CUADRO RESUMEN DE SITIOS '!$C$5:$L$1052,2,FALSE())</f>
        <v>JSUC_00008</v>
      </c>
      <c r="E648" s="24">
        <f>VLOOKUP(C648,'[1]1.CUADRO RESUMEN DE SITIOS '!$C$5:$L$1052,3,FALSE())</f>
        <v>45899</v>
      </c>
      <c r="F648" s="23">
        <f>VLOOKUP(C648,'[1]1.CUADRO RESUMEN DE SITIOS '!$C$5:$L$1052,4,FALSE())</f>
        <v>8.4811099999999993</v>
      </c>
      <c r="G648" s="23">
        <f>VLOOKUP(C648,'[1]1.CUADRO RESUMEN DE SITIOS '!$C$5:$L$1052,5,FALSE())</f>
        <v>-74.709400000000002</v>
      </c>
      <c r="H648" s="23" t="str">
        <f>VLOOKUP(C648,'[1]1.CUADRO RESUMEN DE SITIOS '!$C$5:$L$1052,6,FALSE())</f>
        <v>Sucre</v>
      </c>
      <c r="I648" s="23" t="str">
        <f>VLOOKUP(C648,'[1]1.CUADRO RESUMEN DE SITIOS '!$C$5:$L$1052,7,FALSE())</f>
        <v>WOM</v>
      </c>
      <c r="J648" s="25" t="str">
        <f>VLOOKUP(C648,'[1]1.CUADRO RESUMEN DE SITIOS '!$C$5:$L$1052,8,FALSE())</f>
        <v>COSTA</v>
      </c>
      <c r="K648" s="23" t="str">
        <f>VLOOKUP(C648,'[1]1.CUADRO RESUMEN DE SITIOS '!$C$5:$L$1052,9,FALSE())</f>
        <v>Elkis Sandoval</v>
      </c>
      <c r="L648" s="26" t="str">
        <f>VLOOKUP(C648,'[1]1.CUADRO RESUMEN DE SITIOS '!$C$5:$L$1052,10,FALSE())</f>
        <v>Terminado</v>
      </c>
      <c r="M648" s="26">
        <v>8828119250</v>
      </c>
      <c r="N648" s="26">
        <f>VLOOKUP(M648,[1]LPU!$A$2:$G$1512,2,FALSE())</f>
        <v>0</v>
      </c>
      <c r="O648" s="26" t="str">
        <f>VLOOKUP(M648,[1]LPU!$A$2:$G$1512,3,FALSE)</f>
        <v>Suministro e instalación coraza americana de 1 1/2" - Incluye 100% accesorios</v>
      </c>
      <c r="P648" s="26" t="str">
        <f>VLOOKUP(M648,[1]LPU!$A$2:$G$1512,4,FALSE())</f>
        <v>Variables</v>
      </c>
      <c r="Q648" s="26" t="str">
        <f>VLOOKUP(M648,[1]LPU!$A$2:$G$1512,5,FALSE())</f>
        <v>ml</v>
      </c>
      <c r="R648" s="27">
        <f>VLOOKUP(M648,[1]LPU!$A$2:$G$1512,6,FALSE())</f>
        <v>12410</v>
      </c>
      <c r="S648" s="27" t="str">
        <f>VLOOKUP(M648,[1]LPU!$A$2:$G$1512,7,FALSE())</f>
        <v>LPU FO</v>
      </c>
      <c r="T648" s="28">
        <v>8</v>
      </c>
      <c r="U648" s="29">
        <f t="shared" si="8"/>
        <v>99280</v>
      </c>
      <c r="V648" s="29" t="s">
        <v>77</v>
      </c>
      <c r="W648" s="30"/>
      <c r="X648" s="29" t="s">
        <v>254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ht="21" customHeight="1" x14ac:dyDescent="0.3">
      <c r="A649" s="22">
        <v>645</v>
      </c>
      <c r="B649" s="23">
        <v>1</v>
      </c>
      <c r="C649" s="23" t="s">
        <v>85</v>
      </c>
      <c r="D649" s="23" t="str">
        <f>VLOOKUP(C649,'[1]1.CUADRO RESUMEN DE SITIOS '!$C$5:$L$1052,2,FALSE())</f>
        <v>JSUC_00008</v>
      </c>
      <c r="E649" s="24">
        <f>VLOOKUP(C649,'[1]1.CUADRO RESUMEN DE SITIOS '!$C$5:$L$1052,3,FALSE())</f>
        <v>45899</v>
      </c>
      <c r="F649" s="23">
        <f>VLOOKUP(C649,'[1]1.CUADRO RESUMEN DE SITIOS '!$C$5:$L$1052,4,FALSE())</f>
        <v>8.4811099999999993</v>
      </c>
      <c r="G649" s="23">
        <f>VLOOKUP(C649,'[1]1.CUADRO RESUMEN DE SITIOS '!$C$5:$L$1052,5,FALSE())</f>
        <v>-74.709400000000002</v>
      </c>
      <c r="H649" s="23" t="str">
        <f>VLOOKUP(C649,'[1]1.CUADRO RESUMEN DE SITIOS '!$C$5:$L$1052,6,FALSE())</f>
        <v>Sucre</v>
      </c>
      <c r="I649" s="23" t="str">
        <f>VLOOKUP(C649,'[1]1.CUADRO RESUMEN DE SITIOS '!$C$5:$L$1052,7,FALSE())</f>
        <v>WOM</v>
      </c>
      <c r="J649" s="25" t="str">
        <f>VLOOKUP(C649,'[1]1.CUADRO RESUMEN DE SITIOS '!$C$5:$L$1052,8,FALSE())</f>
        <v>COSTA</v>
      </c>
      <c r="K649" s="23" t="str">
        <f>VLOOKUP(C649,'[1]1.CUADRO RESUMEN DE SITIOS '!$C$5:$L$1052,9,FALSE())</f>
        <v>Elkis Sandoval</v>
      </c>
      <c r="L649" s="26" t="str">
        <f>VLOOKUP(C649,'[1]1.CUADRO RESUMEN DE SITIOS '!$C$5:$L$1052,10,FALSE())</f>
        <v>Terminado</v>
      </c>
      <c r="M649" s="26">
        <v>8828120088</v>
      </c>
      <c r="N649" s="26">
        <f>VLOOKUP(M649,[1]LPU!$A$2:$G$1512,2,FALSE())</f>
        <v>180</v>
      </c>
      <c r="O649" s="26" t="str">
        <f>VLOOKUP(M649,[1]LPU!$A$2:$G$1512,3,FALSE)</f>
        <v>Limpieza de Estación Base y Disposición de Residuos.</v>
      </c>
      <c r="P649" s="26" t="str">
        <f>VLOOKUP(M649,[1]LPU!$A$2:$G$1512,4,FALSE())</f>
        <v>LOCATIVO</v>
      </c>
      <c r="Q649" s="26" t="str">
        <f>VLOOKUP(M649,[1]LPU!$A$2:$G$1512,5,FALSE())</f>
        <v>U</v>
      </c>
      <c r="R649" s="27">
        <f>VLOOKUP(M649,[1]LPU!$A$2:$G$1512,6,FALSE())</f>
        <v>167960</v>
      </c>
      <c r="S649" s="27" t="str">
        <f>VLOOKUP(M649,[1]LPU!$A$2:$G$1512,7,FALSE())</f>
        <v>LPU FLM</v>
      </c>
      <c r="T649" s="28">
        <v>1</v>
      </c>
      <c r="U649" s="29">
        <f t="shared" si="8"/>
        <v>167960</v>
      </c>
      <c r="V649" s="29" t="s">
        <v>77</v>
      </c>
      <c r="W649" s="30"/>
      <c r="X649" s="29" t="s">
        <v>254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ht="21" customHeight="1" x14ac:dyDescent="0.3">
      <c r="A650" s="22">
        <v>646</v>
      </c>
      <c r="B650" s="23">
        <v>1</v>
      </c>
      <c r="C650" s="23" t="s">
        <v>85</v>
      </c>
      <c r="D650" s="23" t="str">
        <f>VLOOKUP(C650,'[1]1.CUADRO RESUMEN DE SITIOS '!$C$5:$L$1052,2,FALSE())</f>
        <v>JSUC_00008</v>
      </c>
      <c r="E650" s="24">
        <f>VLOOKUP(C650,'[1]1.CUADRO RESUMEN DE SITIOS '!$C$5:$L$1052,3,FALSE())</f>
        <v>45899</v>
      </c>
      <c r="F650" s="23">
        <f>VLOOKUP(C650,'[1]1.CUADRO RESUMEN DE SITIOS '!$C$5:$L$1052,4,FALSE())</f>
        <v>8.4811099999999993</v>
      </c>
      <c r="G650" s="23">
        <f>VLOOKUP(C650,'[1]1.CUADRO RESUMEN DE SITIOS '!$C$5:$L$1052,5,FALSE())</f>
        <v>-74.709400000000002</v>
      </c>
      <c r="H650" s="23" t="str">
        <f>VLOOKUP(C650,'[1]1.CUADRO RESUMEN DE SITIOS '!$C$5:$L$1052,6,FALSE())</f>
        <v>Sucre</v>
      </c>
      <c r="I650" s="23" t="str">
        <f>VLOOKUP(C650,'[1]1.CUADRO RESUMEN DE SITIOS '!$C$5:$L$1052,7,FALSE())</f>
        <v>WOM</v>
      </c>
      <c r="J650" s="25" t="str">
        <f>VLOOKUP(C650,'[1]1.CUADRO RESUMEN DE SITIOS '!$C$5:$L$1052,8,FALSE())</f>
        <v>COSTA</v>
      </c>
      <c r="K650" s="23" t="str">
        <f>VLOOKUP(C650,'[1]1.CUADRO RESUMEN DE SITIOS '!$C$5:$L$1052,9,FALSE())</f>
        <v>Elkis Sandoval</v>
      </c>
      <c r="L650" s="26" t="str">
        <f>VLOOKUP(C650,'[1]1.CUADRO RESUMEN DE SITIOS '!$C$5:$L$1052,10,FALSE())</f>
        <v>Terminado</v>
      </c>
      <c r="M650" s="26">
        <v>8828120073</v>
      </c>
      <c r="N650" s="26">
        <f>VLOOKUP(M650,[1]LPU!$A$2:$G$1512,2,FALSE())</f>
        <v>178</v>
      </c>
      <c r="O650" s="26" t="str">
        <f>VLOOKUP(M650,[1]LPU!$A$2:$G$1512,3,FALSE)</f>
        <v>Desmalezamiento (incluye poda y fumigación)</v>
      </c>
      <c r="P650" s="26" t="str">
        <f>VLOOKUP(M650,[1]LPU!$A$2:$G$1512,4,FALSE())</f>
        <v>LOCATIVO</v>
      </c>
      <c r="Q650" s="26" t="str">
        <f>VLOOKUP(M650,[1]LPU!$A$2:$G$1512,5,FALSE())</f>
        <v>Sitio</v>
      </c>
      <c r="R650" s="27">
        <f>VLOOKUP(M650,[1]LPU!$A$2:$G$1512,6,FALSE())</f>
        <v>88400</v>
      </c>
      <c r="S650" s="27" t="str">
        <f>VLOOKUP(M650,[1]LPU!$A$2:$G$1512,7,FALSE())</f>
        <v>LPU FLM</v>
      </c>
      <c r="T650" s="28">
        <v>1</v>
      </c>
      <c r="U650" s="29">
        <f t="shared" si="8"/>
        <v>88400</v>
      </c>
      <c r="V650" s="29" t="s">
        <v>77</v>
      </c>
      <c r="W650" s="30"/>
      <c r="X650" s="29" t="s">
        <v>254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ht="21" customHeight="1" x14ac:dyDescent="0.3">
      <c r="A651" s="22">
        <v>647</v>
      </c>
      <c r="B651" s="23">
        <v>1</v>
      </c>
      <c r="C651" s="23" t="s">
        <v>271</v>
      </c>
      <c r="D651" s="23" t="str">
        <f>VLOOKUP(C651,'[1]1.CUADRO RESUMEN DE SITIOS '!$C$5:$L$1052,2,FALSE())</f>
        <v>JSUC_00020</v>
      </c>
      <c r="E651" s="24">
        <f>VLOOKUP(C651,'[1]1.CUADRO RESUMEN DE SITIOS '!$C$5:$L$1052,3,FALSE())</f>
        <v>45940</v>
      </c>
      <c r="F651" s="23">
        <f>VLOOKUP(C651,'[1]1.CUADRO RESUMEN DE SITIOS '!$C$5:$L$1052,4,FALSE())</f>
        <v>9.5497200000000007</v>
      </c>
      <c r="G651" s="23">
        <f>VLOOKUP(C651,'[1]1.CUADRO RESUMEN DE SITIOS '!$C$5:$L$1052,5,FALSE())</f>
        <v>-75.182869999999994</v>
      </c>
      <c r="H651" s="23" t="str">
        <f>VLOOKUP(C651,'[1]1.CUADRO RESUMEN DE SITIOS '!$C$5:$L$1052,6,FALSE())</f>
        <v>Sucre</v>
      </c>
      <c r="I651" s="23" t="str">
        <f>VLOOKUP(C651,'[1]1.CUADRO RESUMEN DE SITIOS '!$C$5:$L$1052,7,FALSE())</f>
        <v>WOM</v>
      </c>
      <c r="J651" s="25" t="str">
        <f>VLOOKUP(C651,'[1]1.CUADRO RESUMEN DE SITIOS '!$C$5:$L$1052,8,FALSE())</f>
        <v>COSTA</v>
      </c>
      <c r="K651" s="23" t="str">
        <f>VLOOKUP(C651,'[1]1.CUADRO RESUMEN DE SITIOS '!$C$5:$L$1052,9,FALSE())</f>
        <v>Alfredo de la Cruz</v>
      </c>
      <c r="L651" s="26" t="str">
        <f>VLOOKUP(C651,'[1]1.CUADRO RESUMEN DE SITIOS '!$C$5:$L$1052,10,FALSE())</f>
        <v>Terminado</v>
      </c>
      <c r="M651" s="26">
        <v>8828119492</v>
      </c>
      <c r="N651" s="26">
        <f>VLOOKUP(M651,[1]LPU!$A$2:$G$1512,2,FALSE())</f>
        <v>53</v>
      </c>
      <c r="O651" s="26" t="str">
        <f>VLOOKUP(M651,[1]LPU!$A$2:$G$1512,3,FALSE)</f>
        <v>Instalación Banco de Baterias para Rectificadores - Aplica para ampliaciones.</v>
      </c>
      <c r="P651" s="26" t="str">
        <f>VLOOKUP(M651,[1]LPU!$A$2:$G$1512,4,FALSE())</f>
        <v>ENERGÍA</v>
      </c>
      <c r="Q651" s="26" t="str">
        <f>VLOOKUP(M651,[1]LPU!$A$2:$G$1512,5,FALSE())</f>
        <v>U</v>
      </c>
      <c r="R651" s="27">
        <f>VLOOKUP(M651,[1]LPU!$A$2:$G$1512,6,FALSE())</f>
        <v>102340</v>
      </c>
      <c r="S651" s="27" t="str">
        <f>VLOOKUP(M651,[1]LPU!$A$2:$G$1512,7,FALSE())</f>
        <v>LPU FLM</v>
      </c>
      <c r="T651" s="28">
        <v>1</v>
      </c>
      <c r="U651" s="29">
        <f t="shared" si="8"/>
        <v>102340</v>
      </c>
      <c r="V651" s="29" t="s">
        <v>77</v>
      </c>
      <c r="W651" s="30"/>
      <c r="X651" s="29" t="s">
        <v>254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ht="21" customHeight="1" x14ac:dyDescent="0.3">
      <c r="A652" s="22">
        <v>648</v>
      </c>
      <c r="B652" s="23">
        <v>1</v>
      </c>
      <c r="C652" s="23" t="s">
        <v>271</v>
      </c>
      <c r="D652" s="23" t="str">
        <f>VLOOKUP(C652,'[1]1.CUADRO RESUMEN DE SITIOS '!$C$5:$L$1052,2,FALSE())</f>
        <v>JSUC_00020</v>
      </c>
      <c r="E652" s="24">
        <f>VLOOKUP(C652,'[1]1.CUADRO RESUMEN DE SITIOS '!$C$5:$L$1052,3,FALSE())</f>
        <v>45940</v>
      </c>
      <c r="F652" s="23">
        <f>VLOOKUP(C652,'[1]1.CUADRO RESUMEN DE SITIOS '!$C$5:$L$1052,4,FALSE())</f>
        <v>9.5497200000000007</v>
      </c>
      <c r="G652" s="23">
        <f>VLOOKUP(C652,'[1]1.CUADRO RESUMEN DE SITIOS '!$C$5:$L$1052,5,FALSE())</f>
        <v>-75.182869999999994</v>
      </c>
      <c r="H652" s="23" t="str">
        <f>VLOOKUP(C652,'[1]1.CUADRO RESUMEN DE SITIOS '!$C$5:$L$1052,6,FALSE())</f>
        <v>Sucre</v>
      </c>
      <c r="I652" s="23" t="str">
        <f>VLOOKUP(C652,'[1]1.CUADRO RESUMEN DE SITIOS '!$C$5:$L$1052,7,FALSE())</f>
        <v>WOM</v>
      </c>
      <c r="J652" s="25" t="str">
        <f>VLOOKUP(C652,'[1]1.CUADRO RESUMEN DE SITIOS '!$C$5:$L$1052,8,FALSE())</f>
        <v>COSTA</v>
      </c>
      <c r="K652" s="23" t="str">
        <f>VLOOKUP(C652,'[1]1.CUADRO RESUMEN DE SITIOS '!$C$5:$L$1052,9,FALSE())</f>
        <v>Alfredo de la Cruz</v>
      </c>
      <c r="L652" s="26" t="str">
        <f>VLOOKUP(C652,'[1]1.CUADRO RESUMEN DE SITIOS '!$C$5:$L$1052,10,FALSE())</f>
        <v>Terminado</v>
      </c>
      <c r="M652" s="26">
        <v>8828119512</v>
      </c>
      <c r="N652" s="26">
        <f>VLOOKUP(M652,[1]LPU!$A$2:$G$1512,2,FALSE())</f>
        <v>55</v>
      </c>
      <c r="O652" s="26" t="str">
        <f>VLOOKUP(M652,[1]LPU!$A$2:$G$1512,3,FALSE)</f>
        <v>Transporte Banco de Baterias</v>
      </c>
      <c r="P652" s="26" t="str">
        <f>VLOOKUP(M652,[1]LPU!$A$2:$G$1512,4,FALSE())</f>
        <v>ENERGÍA</v>
      </c>
      <c r="Q652" s="26" t="str">
        <f>VLOOKUP(M652,[1]LPU!$A$2:$G$1512,5,FALSE())</f>
        <v>U</v>
      </c>
      <c r="R652" s="27">
        <f>VLOOKUP(M652,[1]LPU!$A$2:$G$1512,6,FALSE())</f>
        <v>82212</v>
      </c>
      <c r="S652" s="27" t="str">
        <f>VLOOKUP(M652,[1]LPU!$A$2:$G$1512,7,FALSE())</f>
        <v>LPU FLM</v>
      </c>
      <c r="T652" s="28">
        <v>1</v>
      </c>
      <c r="U652" s="29">
        <f t="shared" si="8"/>
        <v>82212</v>
      </c>
      <c r="V652" s="29" t="s">
        <v>77</v>
      </c>
      <c r="W652" s="30"/>
      <c r="X652" s="29" t="s">
        <v>254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ht="21" customHeight="1" x14ac:dyDescent="0.3">
      <c r="A653" s="22">
        <v>649</v>
      </c>
      <c r="B653" s="23">
        <v>1</v>
      </c>
      <c r="C653" s="23" t="s">
        <v>271</v>
      </c>
      <c r="D653" s="23" t="str">
        <f>VLOOKUP(C653,'[1]1.CUADRO RESUMEN DE SITIOS '!$C$5:$L$1052,2,FALSE())</f>
        <v>JSUC_00020</v>
      </c>
      <c r="E653" s="24">
        <f>VLOOKUP(C653,'[1]1.CUADRO RESUMEN DE SITIOS '!$C$5:$L$1052,3,FALSE())</f>
        <v>45940</v>
      </c>
      <c r="F653" s="23">
        <f>VLOOKUP(C653,'[1]1.CUADRO RESUMEN DE SITIOS '!$C$5:$L$1052,4,FALSE())</f>
        <v>9.5497200000000007</v>
      </c>
      <c r="G653" s="23">
        <f>VLOOKUP(C653,'[1]1.CUADRO RESUMEN DE SITIOS '!$C$5:$L$1052,5,FALSE())</f>
        <v>-75.182869999999994</v>
      </c>
      <c r="H653" s="23" t="str">
        <f>VLOOKUP(C653,'[1]1.CUADRO RESUMEN DE SITIOS '!$C$5:$L$1052,6,FALSE())</f>
        <v>Sucre</v>
      </c>
      <c r="I653" s="23" t="str">
        <f>VLOOKUP(C653,'[1]1.CUADRO RESUMEN DE SITIOS '!$C$5:$L$1052,7,FALSE())</f>
        <v>WOM</v>
      </c>
      <c r="J653" s="25" t="str">
        <f>VLOOKUP(C653,'[1]1.CUADRO RESUMEN DE SITIOS '!$C$5:$L$1052,8,FALSE())</f>
        <v>COSTA</v>
      </c>
      <c r="K653" s="23" t="str">
        <f>VLOOKUP(C653,'[1]1.CUADRO RESUMEN DE SITIOS '!$C$5:$L$1052,9,FALSE())</f>
        <v>Alfredo de la Cruz</v>
      </c>
      <c r="L653" s="26" t="str">
        <f>VLOOKUP(C653,'[1]1.CUADRO RESUMEN DE SITIOS '!$C$5:$L$1052,10,FALSE())</f>
        <v>Terminado</v>
      </c>
      <c r="M653" s="26">
        <v>8828118999</v>
      </c>
      <c r="N653" s="26">
        <f>VLOOKUP(M653,[1]LPU!$A$2:$G$1512,2,FALSE())</f>
        <v>0</v>
      </c>
      <c r="O653" s="26" t="str">
        <f>VLOOKUP(M653,[1]LPU!$A$2:$G$1512,3,FALSE)</f>
        <v>Suministro e instalación de cable UTP Categoría 6, con conectores en sus extremos, certificado</v>
      </c>
      <c r="P653" s="26" t="str">
        <f>VLOOKUP(M653,[1]LPU!$A$2:$G$1512,4,FALSE())</f>
        <v>Item Critico</v>
      </c>
      <c r="Q653" s="26" t="str">
        <f>VLOOKUP(M653,[1]LPU!$A$2:$G$1512,5,FALSE())</f>
        <v>m</v>
      </c>
      <c r="R653" s="27">
        <f>VLOOKUP(M653,[1]LPU!$A$2:$G$1512,6,FALSE())</f>
        <v>5913</v>
      </c>
      <c r="S653" s="27" t="str">
        <f>VLOOKUP(M653,[1]LPU!$A$2:$G$1512,7,FALSE())</f>
        <v>LPU FO Propia</v>
      </c>
      <c r="T653" s="28">
        <v>3</v>
      </c>
      <c r="U653" s="29">
        <f t="shared" si="8"/>
        <v>17739</v>
      </c>
      <c r="V653" s="29" t="s">
        <v>77</v>
      </c>
      <c r="W653" s="30"/>
      <c r="X653" s="29" t="s">
        <v>254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ht="21" customHeight="1" x14ac:dyDescent="0.3">
      <c r="A654" s="22">
        <v>650</v>
      </c>
      <c r="B654" s="23">
        <v>1</v>
      </c>
      <c r="C654" s="23" t="s">
        <v>271</v>
      </c>
      <c r="D654" s="23" t="str">
        <f>VLOOKUP(C654,'[1]1.CUADRO RESUMEN DE SITIOS '!$C$5:$L$1052,2,FALSE())</f>
        <v>JSUC_00020</v>
      </c>
      <c r="E654" s="24">
        <f>VLOOKUP(C654,'[1]1.CUADRO RESUMEN DE SITIOS '!$C$5:$L$1052,3,FALSE())</f>
        <v>45940</v>
      </c>
      <c r="F654" s="23">
        <f>VLOOKUP(C654,'[1]1.CUADRO RESUMEN DE SITIOS '!$C$5:$L$1052,4,FALSE())</f>
        <v>9.5497200000000007</v>
      </c>
      <c r="G654" s="23">
        <f>VLOOKUP(C654,'[1]1.CUADRO RESUMEN DE SITIOS '!$C$5:$L$1052,5,FALSE())</f>
        <v>-75.182869999999994</v>
      </c>
      <c r="H654" s="23" t="str">
        <f>VLOOKUP(C654,'[1]1.CUADRO RESUMEN DE SITIOS '!$C$5:$L$1052,6,FALSE())</f>
        <v>Sucre</v>
      </c>
      <c r="I654" s="23" t="str">
        <f>VLOOKUP(C654,'[1]1.CUADRO RESUMEN DE SITIOS '!$C$5:$L$1052,7,FALSE())</f>
        <v>WOM</v>
      </c>
      <c r="J654" s="25" t="str">
        <f>VLOOKUP(C654,'[1]1.CUADRO RESUMEN DE SITIOS '!$C$5:$L$1052,8,FALSE())</f>
        <v>COSTA</v>
      </c>
      <c r="K654" s="23" t="str">
        <f>VLOOKUP(C654,'[1]1.CUADRO RESUMEN DE SITIOS '!$C$5:$L$1052,9,FALSE())</f>
        <v>Alfredo de la Cruz</v>
      </c>
      <c r="L654" s="26" t="str">
        <f>VLOOKUP(C654,'[1]1.CUADRO RESUMEN DE SITIOS '!$C$5:$L$1052,10,FALSE())</f>
        <v>Terminado</v>
      </c>
      <c r="M654" s="26">
        <v>8828118925</v>
      </c>
      <c r="N654" s="26">
        <f>VLOOKUP(M654,[1]LPU!$A$2:$G$1512,2,FALSE())</f>
        <v>87</v>
      </c>
      <c r="O654" s="26" t="str">
        <f>VLOOKUP(M654,[1]LPU!$A$2:$G$1512,3,FALSE)</f>
        <v>Suministro e Instalacion de cable multifilar #4 awg tipo soldador.</v>
      </c>
      <c r="P654" s="26" t="str">
        <f>VLOOKUP(M654,[1]LPU!$A$2:$G$1512,4,FALSE())</f>
        <v>ENERGÍA</v>
      </c>
      <c r="Q654" s="26" t="str">
        <f>VLOOKUP(M654,[1]LPU!$A$2:$G$1512,5,FALSE())</f>
        <v>ML</v>
      </c>
      <c r="R654" s="27">
        <f>VLOOKUP(M654,[1]LPU!$A$2:$G$1512,6,FALSE())</f>
        <v>60815.8</v>
      </c>
      <c r="S654" s="27" t="str">
        <f>VLOOKUP(M654,[1]LPU!$A$2:$G$1512,7,FALSE())</f>
        <v>LPU FLM</v>
      </c>
      <c r="T654" s="28">
        <v>10</v>
      </c>
      <c r="U654" s="29">
        <f t="shared" si="8"/>
        <v>608158</v>
      </c>
      <c r="V654" s="29" t="s">
        <v>77</v>
      </c>
      <c r="W654" s="30"/>
      <c r="X654" s="29" t="s">
        <v>254</v>
      </c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ht="21" customHeight="1" x14ac:dyDescent="0.3">
      <c r="A655" s="22">
        <v>651</v>
      </c>
      <c r="B655" s="23">
        <v>1</v>
      </c>
      <c r="C655" s="23" t="s">
        <v>271</v>
      </c>
      <c r="D655" s="23" t="str">
        <f>VLOOKUP(C655,'[1]1.CUADRO RESUMEN DE SITIOS '!$C$5:$L$1052,2,FALSE())</f>
        <v>JSUC_00020</v>
      </c>
      <c r="E655" s="24">
        <f>VLOOKUP(C655,'[1]1.CUADRO RESUMEN DE SITIOS '!$C$5:$L$1052,3,FALSE())</f>
        <v>45940</v>
      </c>
      <c r="F655" s="23">
        <f>VLOOKUP(C655,'[1]1.CUADRO RESUMEN DE SITIOS '!$C$5:$L$1052,4,FALSE())</f>
        <v>9.5497200000000007</v>
      </c>
      <c r="G655" s="23">
        <f>VLOOKUP(C655,'[1]1.CUADRO RESUMEN DE SITIOS '!$C$5:$L$1052,5,FALSE())</f>
        <v>-75.182869999999994</v>
      </c>
      <c r="H655" s="23" t="str">
        <f>VLOOKUP(C655,'[1]1.CUADRO RESUMEN DE SITIOS '!$C$5:$L$1052,6,FALSE())</f>
        <v>Sucre</v>
      </c>
      <c r="I655" s="23" t="str">
        <f>VLOOKUP(C655,'[1]1.CUADRO RESUMEN DE SITIOS '!$C$5:$L$1052,7,FALSE())</f>
        <v>WOM</v>
      </c>
      <c r="J655" s="25" t="str">
        <f>VLOOKUP(C655,'[1]1.CUADRO RESUMEN DE SITIOS '!$C$5:$L$1052,8,FALSE())</f>
        <v>COSTA</v>
      </c>
      <c r="K655" s="23" t="str">
        <f>VLOOKUP(C655,'[1]1.CUADRO RESUMEN DE SITIOS '!$C$5:$L$1052,9,FALSE())</f>
        <v>Alfredo de la Cruz</v>
      </c>
      <c r="L655" s="26" t="str">
        <f>VLOOKUP(C655,'[1]1.CUADRO RESUMEN DE SITIOS '!$C$5:$L$1052,10,FALSE())</f>
        <v>Terminado</v>
      </c>
      <c r="M655" s="26">
        <v>8828118868</v>
      </c>
      <c r="N655" s="26">
        <f>VLOOKUP(M655,[1]LPU!$A$2:$G$1512,2,FALSE())</f>
        <v>81</v>
      </c>
      <c r="O655" s="26" t="str">
        <f>VLOOKUP(M655,[1]LPU!$A$2:$G$1512,3,FALSE)</f>
        <v>Suministro e Instalacion de terminal para cable awg # 2 en cobre estañado un ojo</v>
      </c>
      <c r="P655" s="26" t="str">
        <f>VLOOKUP(M655,[1]LPU!$A$2:$G$1512,4,FALSE())</f>
        <v>ENERGÍA</v>
      </c>
      <c r="Q655" s="26" t="str">
        <f>VLOOKUP(M655,[1]LPU!$A$2:$G$1512,5,FALSE())</f>
        <v>U</v>
      </c>
      <c r="R655" s="27">
        <f>VLOOKUP(M655,[1]LPU!$A$2:$G$1512,6,FALSE())</f>
        <v>2347</v>
      </c>
      <c r="S655" s="27" t="str">
        <f>VLOOKUP(M655,[1]LPU!$A$2:$G$1512,7,FALSE())</f>
        <v>LPU FLM</v>
      </c>
      <c r="T655" s="28">
        <v>4</v>
      </c>
      <c r="U655" s="29">
        <f t="shared" si="8"/>
        <v>9388</v>
      </c>
      <c r="V655" s="29" t="s">
        <v>77</v>
      </c>
      <c r="W655" s="30"/>
      <c r="X655" s="29" t="s">
        <v>254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ht="21" customHeight="1" x14ac:dyDescent="0.3">
      <c r="A656" s="22">
        <v>652</v>
      </c>
      <c r="B656" s="23">
        <v>1</v>
      </c>
      <c r="C656" s="23" t="s">
        <v>271</v>
      </c>
      <c r="D656" s="23" t="str">
        <f>VLOOKUP(C656,'[1]1.CUADRO RESUMEN DE SITIOS '!$C$5:$L$1052,2,FALSE())</f>
        <v>JSUC_00020</v>
      </c>
      <c r="E656" s="24">
        <f>VLOOKUP(C656,'[1]1.CUADRO RESUMEN DE SITIOS '!$C$5:$L$1052,3,FALSE())</f>
        <v>45940</v>
      </c>
      <c r="F656" s="23">
        <f>VLOOKUP(C656,'[1]1.CUADRO RESUMEN DE SITIOS '!$C$5:$L$1052,4,FALSE())</f>
        <v>9.5497200000000007</v>
      </c>
      <c r="G656" s="23">
        <f>VLOOKUP(C656,'[1]1.CUADRO RESUMEN DE SITIOS '!$C$5:$L$1052,5,FALSE())</f>
        <v>-75.182869999999994</v>
      </c>
      <c r="H656" s="23" t="str">
        <f>VLOOKUP(C656,'[1]1.CUADRO RESUMEN DE SITIOS '!$C$5:$L$1052,6,FALSE())</f>
        <v>Sucre</v>
      </c>
      <c r="I656" s="23" t="str">
        <f>VLOOKUP(C656,'[1]1.CUADRO RESUMEN DE SITIOS '!$C$5:$L$1052,7,FALSE())</f>
        <v>WOM</v>
      </c>
      <c r="J656" s="25" t="str">
        <f>VLOOKUP(C656,'[1]1.CUADRO RESUMEN DE SITIOS '!$C$5:$L$1052,8,FALSE())</f>
        <v>COSTA</v>
      </c>
      <c r="K656" s="23" t="str">
        <f>VLOOKUP(C656,'[1]1.CUADRO RESUMEN DE SITIOS '!$C$5:$L$1052,9,FALSE())</f>
        <v>Alfredo de la Cruz</v>
      </c>
      <c r="L656" s="26" t="str">
        <f>VLOOKUP(C656,'[1]1.CUADRO RESUMEN DE SITIOS '!$C$5:$L$1052,10,FALSE())</f>
        <v>Terminado</v>
      </c>
      <c r="M656" s="26">
        <v>8828119980</v>
      </c>
      <c r="N656" s="26">
        <f>VLOOKUP(M656,[1]LPU!$A$2:$G$1512,2,FALSE())</f>
        <v>169</v>
      </c>
      <c r="O656" s="26" t="str">
        <f>VLOOKUP(M656,[1]LPU!$A$2:$G$1512,3,FALSE)</f>
        <v>Reforzamiento Protección Concreto para Rack de Baterías Incluye Materiales</v>
      </c>
      <c r="P656" s="26" t="str">
        <f>VLOOKUP(M656,[1]LPU!$A$2:$G$1512,4,FALSE())</f>
        <v>LOCATIVO</v>
      </c>
      <c r="Q656" s="26" t="str">
        <f>VLOOKUP(M656,[1]LPU!$A$2:$G$1512,5,FALSE())</f>
        <v>U</v>
      </c>
      <c r="R656" s="27">
        <f>VLOOKUP(M656,[1]LPU!$A$2:$G$1512,6,FALSE())</f>
        <v>114750</v>
      </c>
      <c r="S656" s="27" t="str">
        <f>VLOOKUP(M656,[1]LPU!$A$2:$G$1512,7,FALSE())</f>
        <v>LPU FLM</v>
      </c>
      <c r="T656" s="28">
        <v>1</v>
      </c>
      <c r="U656" s="29">
        <f t="shared" si="8"/>
        <v>114750</v>
      </c>
      <c r="V656" s="29" t="s">
        <v>77</v>
      </c>
      <c r="W656" s="30"/>
      <c r="X656" s="29" t="s">
        <v>254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ht="21" customHeight="1" x14ac:dyDescent="0.3">
      <c r="A657" s="22">
        <v>653</v>
      </c>
      <c r="B657" s="23">
        <v>1</v>
      </c>
      <c r="C657" s="23" t="s">
        <v>271</v>
      </c>
      <c r="D657" s="23" t="str">
        <f>VLOOKUP(C657,'[1]1.CUADRO RESUMEN DE SITIOS '!$C$5:$L$1052,2,FALSE())</f>
        <v>JSUC_00020</v>
      </c>
      <c r="E657" s="24">
        <f>VLOOKUP(C657,'[1]1.CUADRO RESUMEN DE SITIOS '!$C$5:$L$1052,3,FALSE())</f>
        <v>45940</v>
      </c>
      <c r="F657" s="23">
        <f>VLOOKUP(C657,'[1]1.CUADRO RESUMEN DE SITIOS '!$C$5:$L$1052,4,FALSE())</f>
        <v>9.5497200000000007</v>
      </c>
      <c r="G657" s="23">
        <f>VLOOKUP(C657,'[1]1.CUADRO RESUMEN DE SITIOS '!$C$5:$L$1052,5,FALSE())</f>
        <v>-75.182869999999994</v>
      </c>
      <c r="H657" s="23" t="str">
        <f>VLOOKUP(C657,'[1]1.CUADRO RESUMEN DE SITIOS '!$C$5:$L$1052,6,FALSE())</f>
        <v>Sucre</v>
      </c>
      <c r="I657" s="23" t="str">
        <f>VLOOKUP(C657,'[1]1.CUADRO RESUMEN DE SITIOS '!$C$5:$L$1052,7,FALSE())</f>
        <v>WOM</v>
      </c>
      <c r="J657" s="25" t="str">
        <f>VLOOKUP(C657,'[1]1.CUADRO RESUMEN DE SITIOS '!$C$5:$L$1052,8,FALSE())</f>
        <v>COSTA</v>
      </c>
      <c r="K657" s="23" t="str">
        <f>VLOOKUP(C657,'[1]1.CUADRO RESUMEN DE SITIOS '!$C$5:$L$1052,9,FALSE())</f>
        <v>Alfredo de la Cruz</v>
      </c>
      <c r="L657" s="26" t="str">
        <f>VLOOKUP(C657,'[1]1.CUADRO RESUMEN DE SITIOS '!$C$5:$L$1052,10,FALSE())</f>
        <v>Terminado</v>
      </c>
      <c r="M657" s="26">
        <v>8828119848</v>
      </c>
      <c r="N657" s="26">
        <f>VLOOKUP(M657,[1]LPU!$A$2:$G$1512,2,FALSE())</f>
        <v>157</v>
      </c>
      <c r="O657" s="26" t="str">
        <f>VLOOKUP(M657,[1]LPU!$A$2:$G$1512,3,FALSE)</f>
        <v>Reja para equipo cabinet x 2 baterías</v>
      </c>
      <c r="P657" s="26" t="str">
        <f>VLOOKUP(M657,[1]LPU!$A$2:$G$1512,4,FALSE())</f>
        <v>LOCATIVO</v>
      </c>
      <c r="Q657" s="26" t="str">
        <f>VLOOKUP(M657,[1]LPU!$A$2:$G$1512,5,FALSE())</f>
        <v>U</v>
      </c>
      <c r="R657" s="27">
        <f>VLOOKUP(M657,[1]LPU!$A$2:$G$1512,6,FALSE())</f>
        <v>415303</v>
      </c>
      <c r="S657" s="27" t="str">
        <f>VLOOKUP(M657,[1]LPU!$A$2:$G$1512,7,FALSE())</f>
        <v>LPU FLM</v>
      </c>
      <c r="T657" s="28">
        <v>1</v>
      </c>
      <c r="U657" s="29">
        <f t="shared" si="8"/>
        <v>415303</v>
      </c>
      <c r="V657" s="29" t="s">
        <v>77</v>
      </c>
      <c r="W657" s="30"/>
      <c r="X657" s="29" t="s">
        <v>254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ht="21" customHeight="1" x14ac:dyDescent="0.3">
      <c r="A658" s="22">
        <v>654</v>
      </c>
      <c r="B658" s="23">
        <v>1</v>
      </c>
      <c r="C658" s="23" t="s">
        <v>271</v>
      </c>
      <c r="D658" s="23" t="str">
        <f>VLOOKUP(C658,'[1]1.CUADRO RESUMEN DE SITIOS '!$C$5:$L$1052,2,FALSE())</f>
        <v>JSUC_00020</v>
      </c>
      <c r="E658" s="24">
        <f>VLOOKUP(C658,'[1]1.CUADRO RESUMEN DE SITIOS '!$C$5:$L$1052,3,FALSE())</f>
        <v>45940</v>
      </c>
      <c r="F658" s="23">
        <f>VLOOKUP(C658,'[1]1.CUADRO RESUMEN DE SITIOS '!$C$5:$L$1052,4,FALSE())</f>
        <v>9.5497200000000007</v>
      </c>
      <c r="G658" s="23">
        <f>VLOOKUP(C658,'[1]1.CUADRO RESUMEN DE SITIOS '!$C$5:$L$1052,5,FALSE())</f>
        <v>-75.182869999999994</v>
      </c>
      <c r="H658" s="23" t="str">
        <f>VLOOKUP(C658,'[1]1.CUADRO RESUMEN DE SITIOS '!$C$5:$L$1052,6,FALSE())</f>
        <v>Sucre</v>
      </c>
      <c r="I658" s="23" t="str">
        <f>VLOOKUP(C658,'[1]1.CUADRO RESUMEN DE SITIOS '!$C$5:$L$1052,7,FALSE())</f>
        <v>WOM</v>
      </c>
      <c r="J658" s="25" t="str">
        <f>VLOOKUP(C658,'[1]1.CUADRO RESUMEN DE SITIOS '!$C$5:$L$1052,8,FALSE())</f>
        <v>COSTA</v>
      </c>
      <c r="K658" s="23" t="str">
        <f>VLOOKUP(C658,'[1]1.CUADRO RESUMEN DE SITIOS '!$C$5:$L$1052,9,FALSE())</f>
        <v>Alfredo de la Cruz</v>
      </c>
      <c r="L658" s="26" t="str">
        <f>VLOOKUP(C658,'[1]1.CUADRO RESUMEN DE SITIOS '!$C$5:$L$1052,10,FALSE())</f>
        <v>Terminado</v>
      </c>
      <c r="M658" s="26">
        <v>8828119045</v>
      </c>
      <c r="N658" s="26">
        <f>VLOOKUP(M658,[1]LPU!$A$2:$G$1512,2,FALSE())</f>
        <v>5.29</v>
      </c>
      <c r="O658" s="26" t="str">
        <f>VLOOKUP(M658,[1]LPU!$A$2:$G$1512,3,FALSE)</f>
        <v>Suministro e instalación de estructura metálica en acero galvanizado para refuerzo, soportes, bases y adecuaciones en general.</v>
      </c>
      <c r="P658" s="26" t="str">
        <f>VLOOKUP(M658,[1]LPU!$A$2:$G$1512,4,FALSE())</f>
        <v>Mantenimiento CW</v>
      </c>
      <c r="Q658" s="26" t="str">
        <f>VLOOKUP(M658,[1]LPU!$A$2:$G$1512,5,FALSE())</f>
        <v>Kg</v>
      </c>
      <c r="R658" s="27">
        <f>VLOOKUP(M658,[1]LPU!$A$2:$G$1512,6,FALSE())</f>
        <v>12911.5</v>
      </c>
      <c r="S658" s="27" t="str">
        <f>VLOOKUP(M658,[1]LPU!$A$2:$G$1512,7,FALSE())</f>
        <v>Mantenimiento CW</v>
      </c>
      <c r="T658" s="28">
        <v>22</v>
      </c>
      <c r="U658" s="29">
        <f t="shared" si="8"/>
        <v>284053</v>
      </c>
      <c r="V658" s="29" t="s">
        <v>77</v>
      </c>
      <c r="W658" s="30"/>
      <c r="X658" s="29" t="s">
        <v>254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ht="21" customHeight="1" x14ac:dyDescent="0.3">
      <c r="A659" s="22">
        <v>655</v>
      </c>
      <c r="B659" s="23">
        <v>1</v>
      </c>
      <c r="C659" s="23" t="s">
        <v>271</v>
      </c>
      <c r="D659" s="23" t="str">
        <f>VLOOKUP(C659,'[1]1.CUADRO RESUMEN DE SITIOS '!$C$5:$L$1052,2,FALSE())</f>
        <v>JSUC_00020</v>
      </c>
      <c r="E659" s="24">
        <f>VLOOKUP(C659,'[1]1.CUADRO RESUMEN DE SITIOS '!$C$5:$L$1052,3,FALSE())</f>
        <v>45940</v>
      </c>
      <c r="F659" s="23">
        <f>VLOOKUP(C659,'[1]1.CUADRO RESUMEN DE SITIOS '!$C$5:$L$1052,4,FALSE())</f>
        <v>9.5497200000000007</v>
      </c>
      <c r="G659" s="23">
        <f>VLOOKUP(C659,'[1]1.CUADRO RESUMEN DE SITIOS '!$C$5:$L$1052,5,FALSE())</f>
        <v>-75.182869999999994</v>
      </c>
      <c r="H659" s="23" t="str">
        <f>VLOOKUP(C659,'[1]1.CUADRO RESUMEN DE SITIOS '!$C$5:$L$1052,6,FALSE())</f>
        <v>Sucre</v>
      </c>
      <c r="I659" s="23" t="str">
        <f>VLOOKUP(C659,'[1]1.CUADRO RESUMEN DE SITIOS '!$C$5:$L$1052,7,FALSE())</f>
        <v>WOM</v>
      </c>
      <c r="J659" s="25" t="str">
        <f>VLOOKUP(C659,'[1]1.CUADRO RESUMEN DE SITIOS '!$C$5:$L$1052,8,FALSE())</f>
        <v>COSTA</v>
      </c>
      <c r="K659" s="23" t="str">
        <f>VLOOKUP(C659,'[1]1.CUADRO RESUMEN DE SITIOS '!$C$5:$L$1052,9,FALSE())</f>
        <v>Alfredo de la Cruz</v>
      </c>
      <c r="L659" s="26" t="str">
        <f>VLOOKUP(C659,'[1]1.CUADRO RESUMEN DE SITIOS '!$C$5:$L$1052,10,FALSE())</f>
        <v>Terminado</v>
      </c>
      <c r="M659" s="26">
        <v>8828119609</v>
      </c>
      <c r="N659" s="26">
        <f>VLOOKUP(M659,[1]LPU!$A$2:$G$1512,2,FALSE())</f>
        <v>198</v>
      </c>
      <c r="O659" s="26" t="str">
        <f>VLOOKUP(M659,[1]LPU!$A$2:$G$1512,3,FALSE)</f>
        <v>Transporte de Equipos y Materiales, Carga y Descarga, desde y hacía Bodega Regional. Mas de 1 Tonelada. ZONA Satelital (Resolución 5078 de 2016)</v>
      </c>
      <c r="P659" s="26" t="str">
        <f>VLOOKUP(M659,[1]LPU!$A$2:$G$1512,4,FALSE())</f>
        <v>LOCATIVO</v>
      </c>
      <c r="Q659" s="26" t="str">
        <f>VLOOKUP(M659,[1]LPU!$A$2:$G$1512,5,FALSE())</f>
        <v>U</v>
      </c>
      <c r="R659" s="27">
        <f>VLOOKUP(M659,[1]LPU!$A$2:$G$1512,6,FALSE())</f>
        <v>1105000</v>
      </c>
      <c r="S659" s="27" t="str">
        <f>VLOOKUP(M659,[1]LPU!$A$2:$G$1512,7,FALSE())</f>
        <v>LPU FLM</v>
      </c>
      <c r="T659" s="28">
        <v>1</v>
      </c>
      <c r="U659" s="29">
        <f t="shared" si="8"/>
        <v>1105000</v>
      </c>
      <c r="V659" s="29" t="s">
        <v>77</v>
      </c>
      <c r="W659" s="30"/>
      <c r="X659" s="29" t="s">
        <v>254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ht="21" customHeight="1" x14ac:dyDescent="0.3">
      <c r="A660" s="22">
        <v>656</v>
      </c>
      <c r="B660" s="23">
        <v>1</v>
      </c>
      <c r="C660" s="23" t="s">
        <v>271</v>
      </c>
      <c r="D660" s="23" t="str">
        <f>VLOOKUP(C660,'[1]1.CUADRO RESUMEN DE SITIOS '!$C$5:$L$1052,2,FALSE())</f>
        <v>JSUC_00020</v>
      </c>
      <c r="E660" s="24">
        <f>VLOOKUP(C660,'[1]1.CUADRO RESUMEN DE SITIOS '!$C$5:$L$1052,3,FALSE())</f>
        <v>45940</v>
      </c>
      <c r="F660" s="23">
        <f>VLOOKUP(C660,'[1]1.CUADRO RESUMEN DE SITIOS '!$C$5:$L$1052,4,FALSE())</f>
        <v>9.5497200000000007</v>
      </c>
      <c r="G660" s="23">
        <f>VLOOKUP(C660,'[1]1.CUADRO RESUMEN DE SITIOS '!$C$5:$L$1052,5,FALSE())</f>
        <v>-75.182869999999994</v>
      </c>
      <c r="H660" s="23" t="str">
        <f>VLOOKUP(C660,'[1]1.CUADRO RESUMEN DE SITIOS '!$C$5:$L$1052,6,FALSE())</f>
        <v>Sucre</v>
      </c>
      <c r="I660" s="23" t="str">
        <f>VLOOKUP(C660,'[1]1.CUADRO RESUMEN DE SITIOS '!$C$5:$L$1052,7,FALSE())</f>
        <v>WOM</v>
      </c>
      <c r="J660" s="25" t="str">
        <f>VLOOKUP(C660,'[1]1.CUADRO RESUMEN DE SITIOS '!$C$5:$L$1052,8,FALSE())</f>
        <v>COSTA</v>
      </c>
      <c r="K660" s="23" t="str">
        <f>VLOOKUP(C660,'[1]1.CUADRO RESUMEN DE SITIOS '!$C$5:$L$1052,9,FALSE())</f>
        <v>Alfredo de la Cruz</v>
      </c>
      <c r="L660" s="26" t="str">
        <f>VLOOKUP(C660,'[1]1.CUADRO RESUMEN DE SITIOS '!$C$5:$L$1052,10,FALSE())</f>
        <v>Terminado</v>
      </c>
      <c r="M660" s="26">
        <v>8828119110</v>
      </c>
      <c r="N660" s="26">
        <f>VLOOKUP(M660,[1]LPU!$A$2:$G$1512,2,FALSE())</f>
        <v>107</v>
      </c>
      <c r="O660" s="26" t="str">
        <f>VLOOKUP(M660,[1]LPU!$A$2:$G$1512,3,FALSE)</f>
        <v>Mano de Obra Tecnico Electricista Certficado CONTE</v>
      </c>
      <c r="P660" s="26" t="str">
        <f>VLOOKUP(M660,[1]LPU!$A$2:$G$1512,4,FALSE())</f>
        <v>ENERGÍA</v>
      </c>
      <c r="Q660" s="26" t="str">
        <f>VLOOKUP(M660,[1]LPU!$A$2:$G$1512,5,FALSE())</f>
        <v>DIA</v>
      </c>
      <c r="R660" s="27">
        <f>VLOOKUP(M660,[1]LPU!$A$2:$G$1512,6,FALSE())</f>
        <v>136000</v>
      </c>
      <c r="S660" s="27" t="str">
        <f>VLOOKUP(M660,[1]LPU!$A$2:$G$1512,7,FALSE())</f>
        <v>LPU FLM</v>
      </c>
      <c r="T660" s="28">
        <v>1</v>
      </c>
      <c r="U660" s="29">
        <f t="shared" si="8"/>
        <v>136000</v>
      </c>
      <c r="V660" s="29" t="s">
        <v>77</v>
      </c>
      <c r="W660" s="30"/>
      <c r="X660" s="29" t="s">
        <v>254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ht="21" customHeight="1" x14ac:dyDescent="0.3">
      <c r="A661" s="22">
        <v>657</v>
      </c>
      <c r="B661" s="23">
        <v>1</v>
      </c>
      <c r="C661" s="23" t="s">
        <v>271</v>
      </c>
      <c r="D661" s="23" t="str">
        <f>VLOOKUP(C661,'[1]1.CUADRO RESUMEN DE SITIOS '!$C$5:$L$1052,2,FALSE())</f>
        <v>JSUC_00020</v>
      </c>
      <c r="E661" s="24">
        <f>VLOOKUP(C661,'[1]1.CUADRO RESUMEN DE SITIOS '!$C$5:$L$1052,3,FALSE())</f>
        <v>45940</v>
      </c>
      <c r="F661" s="23">
        <f>VLOOKUP(C661,'[1]1.CUADRO RESUMEN DE SITIOS '!$C$5:$L$1052,4,FALSE())</f>
        <v>9.5497200000000007</v>
      </c>
      <c r="G661" s="23">
        <f>VLOOKUP(C661,'[1]1.CUADRO RESUMEN DE SITIOS '!$C$5:$L$1052,5,FALSE())</f>
        <v>-75.182869999999994</v>
      </c>
      <c r="H661" s="23" t="str">
        <f>VLOOKUP(C661,'[1]1.CUADRO RESUMEN DE SITIOS '!$C$5:$L$1052,6,FALSE())</f>
        <v>Sucre</v>
      </c>
      <c r="I661" s="23" t="str">
        <f>VLOOKUP(C661,'[1]1.CUADRO RESUMEN DE SITIOS '!$C$5:$L$1052,7,FALSE())</f>
        <v>WOM</v>
      </c>
      <c r="J661" s="25" t="str">
        <f>VLOOKUP(C661,'[1]1.CUADRO RESUMEN DE SITIOS '!$C$5:$L$1052,8,FALSE())</f>
        <v>COSTA</v>
      </c>
      <c r="K661" s="23" t="str">
        <f>VLOOKUP(C661,'[1]1.CUADRO RESUMEN DE SITIOS '!$C$5:$L$1052,9,FALSE())</f>
        <v>Alfredo de la Cruz</v>
      </c>
      <c r="L661" s="26" t="str">
        <f>VLOOKUP(C661,'[1]1.CUADRO RESUMEN DE SITIOS '!$C$5:$L$1052,10,FALSE())</f>
        <v>Terminado</v>
      </c>
      <c r="M661" s="26">
        <v>8828119938</v>
      </c>
      <c r="N661" s="26">
        <f>VLOOKUP(M661,[1]LPU!$A$2:$G$1512,2,FALSE())</f>
        <v>23</v>
      </c>
      <c r="O661" s="26" t="str">
        <f>VLOOKUP(M661,[1]LPU!$A$2:$G$1512,3,FALSE)</f>
        <v>Reubicación de 01 BBU desde gabinete existente hacia nuevo gabinete, incluye conexión de alimentación en ambos planos y etiquetado</v>
      </c>
      <c r="P661" s="26" t="str">
        <f>VLOOKUP(M661,[1]LPU!$A$2:$G$1512,4,FALSE())</f>
        <v>ACCESO</v>
      </c>
      <c r="Q661" s="26" t="str">
        <f>VLOOKUP(M661,[1]LPU!$A$2:$G$1512,5,FALSE())</f>
        <v>Por sector</v>
      </c>
      <c r="R661" s="27">
        <f>VLOOKUP(M661,[1]LPU!$A$2:$G$1512,6,FALSE())</f>
        <v>217413</v>
      </c>
      <c r="S661" s="27" t="str">
        <f>VLOOKUP(M661,[1]LPU!$A$2:$G$1512,7,FALSE())</f>
        <v>LPU FLM</v>
      </c>
      <c r="T661" s="28">
        <v>1</v>
      </c>
      <c r="U661" s="29">
        <f t="shared" si="8"/>
        <v>217413</v>
      </c>
      <c r="V661" s="29" t="s">
        <v>77</v>
      </c>
      <c r="W661" s="30"/>
      <c r="X661" s="29" t="s">
        <v>254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ht="21" customHeight="1" x14ac:dyDescent="0.3">
      <c r="A662" s="22">
        <v>658</v>
      </c>
      <c r="B662" s="23">
        <v>1</v>
      </c>
      <c r="C662" s="23" t="s">
        <v>271</v>
      </c>
      <c r="D662" s="23" t="str">
        <f>VLOOKUP(C662,'[1]1.CUADRO RESUMEN DE SITIOS '!$C$5:$L$1052,2,FALSE())</f>
        <v>JSUC_00020</v>
      </c>
      <c r="E662" s="24">
        <f>VLOOKUP(C662,'[1]1.CUADRO RESUMEN DE SITIOS '!$C$5:$L$1052,3,FALSE())</f>
        <v>45940</v>
      </c>
      <c r="F662" s="23">
        <f>VLOOKUP(C662,'[1]1.CUADRO RESUMEN DE SITIOS '!$C$5:$L$1052,4,FALSE())</f>
        <v>9.5497200000000007</v>
      </c>
      <c r="G662" s="23">
        <f>VLOOKUP(C662,'[1]1.CUADRO RESUMEN DE SITIOS '!$C$5:$L$1052,5,FALSE())</f>
        <v>-75.182869999999994</v>
      </c>
      <c r="H662" s="23" t="str">
        <f>VLOOKUP(C662,'[1]1.CUADRO RESUMEN DE SITIOS '!$C$5:$L$1052,6,FALSE())</f>
        <v>Sucre</v>
      </c>
      <c r="I662" s="23" t="str">
        <f>VLOOKUP(C662,'[1]1.CUADRO RESUMEN DE SITIOS '!$C$5:$L$1052,7,FALSE())</f>
        <v>WOM</v>
      </c>
      <c r="J662" s="25" t="str">
        <f>VLOOKUP(C662,'[1]1.CUADRO RESUMEN DE SITIOS '!$C$5:$L$1052,8,FALSE())</f>
        <v>COSTA</v>
      </c>
      <c r="K662" s="23" t="str">
        <f>VLOOKUP(C662,'[1]1.CUADRO RESUMEN DE SITIOS '!$C$5:$L$1052,9,FALSE())</f>
        <v>Alfredo de la Cruz</v>
      </c>
      <c r="L662" s="26" t="str">
        <f>VLOOKUP(C662,'[1]1.CUADRO RESUMEN DE SITIOS '!$C$5:$L$1052,10,FALSE())</f>
        <v>Terminado</v>
      </c>
      <c r="M662" s="26">
        <v>8828119402</v>
      </c>
      <c r="N662" s="26">
        <f>VLOOKUP(M662,[1]LPU!$A$2:$G$1512,2,FALSE())</f>
        <v>4</v>
      </c>
      <c r="O662" s="26" t="str">
        <f>VLOOKUP(M662,[1]LPU!$A$2:$G$1512,3,FALSE)</f>
        <v>Apertura y Cierre de Reja de Seguridad para Revisión de Baterías</v>
      </c>
      <c r="P662" s="26" t="str">
        <f>VLOOKUP(M662,[1]LPU!$A$2:$G$1512,4,FALSE())</f>
        <v>ACCESO</v>
      </c>
      <c r="Q662" s="26" t="str">
        <f>VLOOKUP(M662,[1]LPU!$A$2:$G$1512,5,FALSE())</f>
        <v>U</v>
      </c>
      <c r="R662" s="27">
        <f>VLOOKUP(M662,[1]LPU!$A$2:$G$1512,6,FALSE())</f>
        <v>96900</v>
      </c>
      <c r="S662" s="27" t="str">
        <f>VLOOKUP(M662,[1]LPU!$A$2:$G$1512,7,FALSE())</f>
        <v>LPU FLM</v>
      </c>
      <c r="T662" s="28">
        <v>1</v>
      </c>
      <c r="U662" s="29">
        <f t="shared" si="8"/>
        <v>96900</v>
      </c>
      <c r="V662" s="29" t="s">
        <v>77</v>
      </c>
      <c r="W662" s="30"/>
      <c r="X662" s="29" t="s">
        <v>254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ht="21" customHeight="1" x14ac:dyDescent="0.3">
      <c r="A663" s="22">
        <v>659</v>
      </c>
      <c r="B663" s="23">
        <v>1</v>
      </c>
      <c r="C663" s="23" t="s">
        <v>271</v>
      </c>
      <c r="D663" s="23" t="str">
        <f>VLOOKUP(C663,'[1]1.CUADRO RESUMEN DE SITIOS '!$C$5:$L$1052,2,FALSE())</f>
        <v>JSUC_00020</v>
      </c>
      <c r="E663" s="24">
        <f>VLOOKUP(C663,'[1]1.CUADRO RESUMEN DE SITIOS '!$C$5:$L$1052,3,FALSE())</f>
        <v>45940</v>
      </c>
      <c r="F663" s="23">
        <f>VLOOKUP(C663,'[1]1.CUADRO RESUMEN DE SITIOS '!$C$5:$L$1052,4,FALSE())</f>
        <v>9.5497200000000007</v>
      </c>
      <c r="G663" s="23">
        <f>VLOOKUP(C663,'[1]1.CUADRO RESUMEN DE SITIOS '!$C$5:$L$1052,5,FALSE())</f>
        <v>-75.182869999999994</v>
      </c>
      <c r="H663" s="23" t="str">
        <f>VLOOKUP(C663,'[1]1.CUADRO RESUMEN DE SITIOS '!$C$5:$L$1052,6,FALSE())</f>
        <v>Sucre</v>
      </c>
      <c r="I663" s="23" t="str">
        <f>VLOOKUP(C663,'[1]1.CUADRO RESUMEN DE SITIOS '!$C$5:$L$1052,7,FALSE())</f>
        <v>WOM</v>
      </c>
      <c r="J663" s="25" t="str">
        <f>VLOOKUP(C663,'[1]1.CUADRO RESUMEN DE SITIOS '!$C$5:$L$1052,8,FALSE())</f>
        <v>COSTA</v>
      </c>
      <c r="K663" s="23" t="str">
        <f>VLOOKUP(C663,'[1]1.CUADRO RESUMEN DE SITIOS '!$C$5:$L$1052,9,FALSE())</f>
        <v>Alfredo de la Cruz</v>
      </c>
      <c r="L663" s="26" t="str">
        <f>VLOOKUP(C663,'[1]1.CUADRO RESUMEN DE SITIOS '!$C$5:$L$1052,10,FALSE())</f>
        <v>Terminado</v>
      </c>
      <c r="M663" s="26">
        <v>8828119250</v>
      </c>
      <c r="N663" s="26">
        <f>VLOOKUP(M663,[1]LPU!$A$2:$G$1512,2,FALSE())</f>
        <v>0</v>
      </c>
      <c r="O663" s="26" t="str">
        <f>VLOOKUP(M663,[1]LPU!$A$2:$G$1512,3,FALSE)</f>
        <v>Suministro e instalación coraza americana de 1 1/2" - Incluye 100% accesorios</v>
      </c>
      <c r="P663" s="26" t="str">
        <f>VLOOKUP(M663,[1]LPU!$A$2:$G$1512,4,FALSE())</f>
        <v>Variables</v>
      </c>
      <c r="Q663" s="26" t="str">
        <f>VLOOKUP(M663,[1]LPU!$A$2:$G$1512,5,FALSE())</f>
        <v>ml</v>
      </c>
      <c r="R663" s="27">
        <f>VLOOKUP(M663,[1]LPU!$A$2:$G$1512,6,FALSE())</f>
        <v>12410</v>
      </c>
      <c r="S663" s="27" t="str">
        <f>VLOOKUP(M663,[1]LPU!$A$2:$G$1512,7,FALSE())</f>
        <v>LPU FO</v>
      </c>
      <c r="T663" s="28">
        <v>8</v>
      </c>
      <c r="U663" s="29">
        <f t="shared" si="8"/>
        <v>99280</v>
      </c>
      <c r="V663" s="29" t="s">
        <v>77</v>
      </c>
      <c r="W663" s="30"/>
      <c r="X663" s="29" t="s">
        <v>254</v>
      </c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ht="21" customHeight="1" x14ac:dyDescent="0.3">
      <c r="A664" s="22">
        <v>660</v>
      </c>
      <c r="B664" s="23">
        <v>1</v>
      </c>
      <c r="C664" s="23" t="s">
        <v>272</v>
      </c>
      <c r="D664" s="23" t="str">
        <f>VLOOKUP(C664,'[1]1.CUADRO RESUMEN DE SITIOS '!$C$5:$L$1052,2,FALSE())</f>
        <v>JSUC_00276</v>
      </c>
      <c r="E664" s="24">
        <f>VLOOKUP(C664,'[1]1.CUADRO RESUMEN DE SITIOS '!$C$5:$L$1052,3,FALSE())</f>
        <v>45940</v>
      </c>
      <c r="F664" s="23">
        <f>VLOOKUP(C664,'[1]1.CUADRO RESUMEN DE SITIOS '!$C$5:$L$1052,4,FALSE())</f>
        <v>8.6429200000000002</v>
      </c>
      <c r="G664" s="23">
        <f>VLOOKUP(C664,'[1]1.CUADRO RESUMEN DE SITIOS '!$C$5:$L$1052,5,FALSE())</f>
        <v>-74.692530000000005</v>
      </c>
      <c r="H664" s="23" t="str">
        <f>VLOOKUP(C664,'[1]1.CUADRO RESUMEN DE SITIOS '!$C$5:$L$1052,6,FALSE())</f>
        <v>Sucre</v>
      </c>
      <c r="I664" s="23" t="str">
        <f>VLOOKUP(C664,'[1]1.CUADRO RESUMEN DE SITIOS '!$C$5:$L$1052,7,FALSE())</f>
        <v>WOM</v>
      </c>
      <c r="J664" s="25" t="str">
        <f>VLOOKUP(C664,'[1]1.CUADRO RESUMEN DE SITIOS '!$C$5:$L$1052,8,FALSE())</f>
        <v>COSTA</v>
      </c>
      <c r="K664" s="23" t="str">
        <f>VLOOKUP(C664,'[1]1.CUADRO RESUMEN DE SITIOS '!$C$5:$L$1052,9,FALSE())</f>
        <v>Alfredo de la Cruz</v>
      </c>
      <c r="L664" s="26" t="str">
        <f>VLOOKUP(C664,'[1]1.CUADRO RESUMEN DE SITIOS '!$C$5:$L$1052,10,FALSE())</f>
        <v>Terminado</v>
      </c>
      <c r="M664" s="26">
        <v>8828119492</v>
      </c>
      <c r="N664" s="26">
        <f>VLOOKUP(M664,[1]LPU!$A$2:$G$1512,2,FALSE())</f>
        <v>53</v>
      </c>
      <c r="O664" s="26" t="str">
        <f>VLOOKUP(M664,[1]LPU!$A$2:$G$1512,3,FALSE)</f>
        <v>Instalación Banco de Baterias para Rectificadores - Aplica para ampliaciones.</v>
      </c>
      <c r="P664" s="26" t="str">
        <f>VLOOKUP(M664,[1]LPU!$A$2:$G$1512,4,FALSE())</f>
        <v>ENERGÍA</v>
      </c>
      <c r="Q664" s="26" t="str">
        <f>VLOOKUP(M664,[1]LPU!$A$2:$G$1512,5,FALSE())</f>
        <v>U</v>
      </c>
      <c r="R664" s="27">
        <f>VLOOKUP(M664,[1]LPU!$A$2:$G$1512,6,FALSE())</f>
        <v>102340</v>
      </c>
      <c r="S664" s="27" t="str">
        <f>VLOOKUP(M664,[1]LPU!$A$2:$G$1512,7,FALSE())</f>
        <v>LPU FLM</v>
      </c>
      <c r="T664" s="28">
        <v>1</v>
      </c>
      <c r="U664" s="29">
        <f t="shared" si="8"/>
        <v>102340</v>
      </c>
      <c r="V664" s="29" t="s">
        <v>77</v>
      </c>
      <c r="W664" s="30"/>
      <c r="X664" s="29" t="s">
        <v>254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ht="21" customHeight="1" x14ac:dyDescent="0.3">
      <c r="A665" s="22">
        <v>661</v>
      </c>
      <c r="B665" s="23">
        <v>1</v>
      </c>
      <c r="C665" s="23" t="s">
        <v>272</v>
      </c>
      <c r="D665" s="23" t="str">
        <f>VLOOKUP(C665,'[1]1.CUADRO RESUMEN DE SITIOS '!$C$5:$L$1052,2,FALSE())</f>
        <v>JSUC_00276</v>
      </c>
      <c r="E665" s="24">
        <f>VLOOKUP(C665,'[1]1.CUADRO RESUMEN DE SITIOS '!$C$5:$L$1052,3,FALSE())</f>
        <v>45940</v>
      </c>
      <c r="F665" s="23">
        <f>VLOOKUP(C665,'[1]1.CUADRO RESUMEN DE SITIOS '!$C$5:$L$1052,4,FALSE())</f>
        <v>8.6429200000000002</v>
      </c>
      <c r="G665" s="23">
        <f>VLOOKUP(C665,'[1]1.CUADRO RESUMEN DE SITIOS '!$C$5:$L$1052,5,FALSE())</f>
        <v>-74.692530000000005</v>
      </c>
      <c r="H665" s="23" t="str">
        <f>VLOOKUP(C665,'[1]1.CUADRO RESUMEN DE SITIOS '!$C$5:$L$1052,6,FALSE())</f>
        <v>Sucre</v>
      </c>
      <c r="I665" s="23" t="str">
        <f>VLOOKUP(C665,'[1]1.CUADRO RESUMEN DE SITIOS '!$C$5:$L$1052,7,FALSE())</f>
        <v>WOM</v>
      </c>
      <c r="J665" s="25" t="str">
        <f>VLOOKUP(C665,'[1]1.CUADRO RESUMEN DE SITIOS '!$C$5:$L$1052,8,FALSE())</f>
        <v>COSTA</v>
      </c>
      <c r="K665" s="23" t="str">
        <f>VLOOKUP(C665,'[1]1.CUADRO RESUMEN DE SITIOS '!$C$5:$L$1052,9,FALSE())</f>
        <v>Alfredo de la Cruz</v>
      </c>
      <c r="L665" s="26" t="str">
        <f>VLOOKUP(C665,'[1]1.CUADRO RESUMEN DE SITIOS '!$C$5:$L$1052,10,FALSE())</f>
        <v>Terminado</v>
      </c>
      <c r="M665" s="26">
        <v>8828119512</v>
      </c>
      <c r="N665" s="26">
        <f>VLOOKUP(M665,[1]LPU!$A$2:$G$1512,2,FALSE())</f>
        <v>55</v>
      </c>
      <c r="O665" s="26" t="str">
        <f>VLOOKUP(M665,[1]LPU!$A$2:$G$1512,3,FALSE)</f>
        <v>Transporte Banco de Baterias</v>
      </c>
      <c r="P665" s="26" t="str">
        <f>VLOOKUP(M665,[1]LPU!$A$2:$G$1512,4,FALSE())</f>
        <v>ENERGÍA</v>
      </c>
      <c r="Q665" s="26" t="str">
        <f>VLOOKUP(M665,[1]LPU!$A$2:$G$1512,5,FALSE())</f>
        <v>U</v>
      </c>
      <c r="R665" s="27">
        <f>VLOOKUP(M665,[1]LPU!$A$2:$G$1512,6,FALSE())</f>
        <v>82212</v>
      </c>
      <c r="S665" s="27" t="str">
        <f>VLOOKUP(M665,[1]LPU!$A$2:$G$1512,7,FALSE())</f>
        <v>LPU FLM</v>
      </c>
      <c r="T665" s="28">
        <v>1</v>
      </c>
      <c r="U665" s="29">
        <f t="shared" si="8"/>
        <v>82212</v>
      </c>
      <c r="V665" s="29" t="s">
        <v>77</v>
      </c>
      <c r="W665" s="30"/>
      <c r="X665" s="29" t="s">
        <v>254</v>
      </c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ht="21" customHeight="1" x14ac:dyDescent="0.3">
      <c r="A666" s="22">
        <v>662</v>
      </c>
      <c r="B666" s="23">
        <v>1</v>
      </c>
      <c r="C666" s="23" t="s">
        <v>272</v>
      </c>
      <c r="D666" s="23" t="str">
        <f>VLOOKUP(C666,'[1]1.CUADRO RESUMEN DE SITIOS '!$C$5:$L$1052,2,FALSE())</f>
        <v>JSUC_00276</v>
      </c>
      <c r="E666" s="24">
        <f>VLOOKUP(C666,'[1]1.CUADRO RESUMEN DE SITIOS '!$C$5:$L$1052,3,FALSE())</f>
        <v>45940</v>
      </c>
      <c r="F666" s="23">
        <f>VLOOKUP(C666,'[1]1.CUADRO RESUMEN DE SITIOS '!$C$5:$L$1052,4,FALSE())</f>
        <v>8.6429200000000002</v>
      </c>
      <c r="G666" s="23">
        <f>VLOOKUP(C666,'[1]1.CUADRO RESUMEN DE SITIOS '!$C$5:$L$1052,5,FALSE())</f>
        <v>-74.692530000000005</v>
      </c>
      <c r="H666" s="23" t="str">
        <f>VLOOKUP(C666,'[1]1.CUADRO RESUMEN DE SITIOS '!$C$5:$L$1052,6,FALSE())</f>
        <v>Sucre</v>
      </c>
      <c r="I666" s="23" t="str">
        <f>VLOOKUP(C666,'[1]1.CUADRO RESUMEN DE SITIOS '!$C$5:$L$1052,7,FALSE())</f>
        <v>WOM</v>
      </c>
      <c r="J666" s="25" t="str">
        <f>VLOOKUP(C666,'[1]1.CUADRO RESUMEN DE SITIOS '!$C$5:$L$1052,8,FALSE())</f>
        <v>COSTA</v>
      </c>
      <c r="K666" s="23" t="str">
        <f>VLOOKUP(C666,'[1]1.CUADRO RESUMEN DE SITIOS '!$C$5:$L$1052,9,FALSE())</f>
        <v>Alfredo de la Cruz</v>
      </c>
      <c r="L666" s="26" t="str">
        <f>VLOOKUP(C666,'[1]1.CUADRO RESUMEN DE SITIOS '!$C$5:$L$1052,10,FALSE())</f>
        <v>Terminado</v>
      </c>
      <c r="M666" s="26">
        <v>8828118999</v>
      </c>
      <c r="N666" s="26">
        <f>VLOOKUP(M666,[1]LPU!$A$2:$G$1512,2,FALSE())</f>
        <v>0</v>
      </c>
      <c r="O666" s="26" t="str">
        <f>VLOOKUP(M666,[1]LPU!$A$2:$G$1512,3,FALSE)</f>
        <v>Suministro e instalación de cable UTP Categoría 6, con conectores en sus extremos, certificado</v>
      </c>
      <c r="P666" s="26" t="str">
        <f>VLOOKUP(M666,[1]LPU!$A$2:$G$1512,4,FALSE())</f>
        <v>Item Critico</v>
      </c>
      <c r="Q666" s="26" t="str">
        <f>VLOOKUP(M666,[1]LPU!$A$2:$G$1512,5,FALSE())</f>
        <v>m</v>
      </c>
      <c r="R666" s="27">
        <f>VLOOKUP(M666,[1]LPU!$A$2:$G$1512,6,FALSE())</f>
        <v>5913</v>
      </c>
      <c r="S666" s="27" t="str">
        <f>VLOOKUP(M666,[1]LPU!$A$2:$G$1512,7,FALSE())</f>
        <v>LPU FO Propia</v>
      </c>
      <c r="T666" s="28">
        <v>3</v>
      </c>
      <c r="U666" s="29">
        <f t="shared" si="8"/>
        <v>17739</v>
      </c>
      <c r="V666" s="29" t="s">
        <v>77</v>
      </c>
      <c r="W666" s="30"/>
      <c r="X666" s="29" t="s">
        <v>254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ht="21" customHeight="1" x14ac:dyDescent="0.3">
      <c r="A667" s="22">
        <v>663</v>
      </c>
      <c r="B667" s="23">
        <v>1</v>
      </c>
      <c r="C667" s="23" t="s">
        <v>272</v>
      </c>
      <c r="D667" s="23" t="str">
        <f>VLOOKUP(C667,'[1]1.CUADRO RESUMEN DE SITIOS '!$C$5:$L$1052,2,FALSE())</f>
        <v>JSUC_00276</v>
      </c>
      <c r="E667" s="24">
        <f>VLOOKUP(C667,'[1]1.CUADRO RESUMEN DE SITIOS '!$C$5:$L$1052,3,FALSE())</f>
        <v>45940</v>
      </c>
      <c r="F667" s="23">
        <f>VLOOKUP(C667,'[1]1.CUADRO RESUMEN DE SITIOS '!$C$5:$L$1052,4,FALSE())</f>
        <v>8.6429200000000002</v>
      </c>
      <c r="G667" s="23">
        <f>VLOOKUP(C667,'[1]1.CUADRO RESUMEN DE SITIOS '!$C$5:$L$1052,5,FALSE())</f>
        <v>-74.692530000000005</v>
      </c>
      <c r="H667" s="23" t="str">
        <f>VLOOKUP(C667,'[1]1.CUADRO RESUMEN DE SITIOS '!$C$5:$L$1052,6,FALSE())</f>
        <v>Sucre</v>
      </c>
      <c r="I667" s="23" t="str">
        <f>VLOOKUP(C667,'[1]1.CUADRO RESUMEN DE SITIOS '!$C$5:$L$1052,7,FALSE())</f>
        <v>WOM</v>
      </c>
      <c r="J667" s="25" t="str">
        <f>VLOOKUP(C667,'[1]1.CUADRO RESUMEN DE SITIOS '!$C$5:$L$1052,8,FALSE())</f>
        <v>COSTA</v>
      </c>
      <c r="K667" s="23" t="str">
        <f>VLOOKUP(C667,'[1]1.CUADRO RESUMEN DE SITIOS '!$C$5:$L$1052,9,FALSE())</f>
        <v>Alfredo de la Cruz</v>
      </c>
      <c r="L667" s="26" t="str">
        <f>VLOOKUP(C667,'[1]1.CUADRO RESUMEN DE SITIOS '!$C$5:$L$1052,10,FALSE())</f>
        <v>Terminado</v>
      </c>
      <c r="M667" s="26">
        <v>8828118925</v>
      </c>
      <c r="N667" s="26">
        <f>VLOOKUP(M667,[1]LPU!$A$2:$G$1512,2,FALSE())</f>
        <v>87</v>
      </c>
      <c r="O667" s="26" t="str">
        <f>VLOOKUP(M667,[1]LPU!$A$2:$G$1512,3,FALSE)</f>
        <v>Suministro e Instalacion de cable multifilar #4 awg tipo soldador.</v>
      </c>
      <c r="P667" s="26" t="str">
        <f>VLOOKUP(M667,[1]LPU!$A$2:$G$1512,4,FALSE())</f>
        <v>ENERGÍA</v>
      </c>
      <c r="Q667" s="26" t="str">
        <f>VLOOKUP(M667,[1]LPU!$A$2:$G$1512,5,FALSE())</f>
        <v>ML</v>
      </c>
      <c r="R667" s="27">
        <f>VLOOKUP(M667,[1]LPU!$A$2:$G$1512,6,FALSE())</f>
        <v>60815.8</v>
      </c>
      <c r="S667" s="27" t="str">
        <f>VLOOKUP(M667,[1]LPU!$A$2:$G$1512,7,FALSE())</f>
        <v>LPU FLM</v>
      </c>
      <c r="T667" s="28">
        <v>10</v>
      </c>
      <c r="U667" s="29">
        <f t="shared" si="8"/>
        <v>608158</v>
      </c>
      <c r="V667" s="29" t="s">
        <v>77</v>
      </c>
      <c r="W667" s="30"/>
      <c r="X667" s="29" t="s">
        <v>254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ht="21" customHeight="1" x14ac:dyDescent="0.3">
      <c r="A668" s="22">
        <v>664</v>
      </c>
      <c r="B668" s="23">
        <v>1</v>
      </c>
      <c r="C668" s="23" t="s">
        <v>272</v>
      </c>
      <c r="D668" s="23" t="str">
        <f>VLOOKUP(C668,'[1]1.CUADRO RESUMEN DE SITIOS '!$C$5:$L$1052,2,FALSE())</f>
        <v>JSUC_00276</v>
      </c>
      <c r="E668" s="24">
        <f>VLOOKUP(C668,'[1]1.CUADRO RESUMEN DE SITIOS '!$C$5:$L$1052,3,FALSE())</f>
        <v>45940</v>
      </c>
      <c r="F668" s="23">
        <f>VLOOKUP(C668,'[1]1.CUADRO RESUMEN DE SITIOS '!$C$5:$L$1052,4,FALSE())</f>
        <v>8.6429200000000002</v>
      </c>
      <c r="G668" s="23">
        <f>VLOOKUP(C668,'[1]1.CUADRO RESUMEN DE SITIOS '!$C$5:$L$1052,5,FALSE())</f>
        <v>-74.692530000000005</v>
      </c>
      <c r="H668" s="23" t="str">
        <f>VLOOKUP(C668,'[1]1.CUADRO RESUMEN DE SITIOS '!$C$5:$L$1052,6,FALSE())</f>
        <v>Sucre</v>
      </c>
      <c r="I668" s="23" t="str">
        <f>VLOOKUP(C668,'[1]1.CUADRO RESUMEN DE SITIOS '!$C$5:$L$1052,7,FALSE())</f>
        <v>WOM</v>
      </c>
      <c r="J668" s="25" t="str">
        <f>VLOOKUP(C668,'[1]1.CUADRO RESUMEN DE SITIOS '!$C$5:$L$1052,8,FALSE())</f>
        <v>COSTA</v>
      </c>
      <c r="K668" s="23" t="str">
        <f>VLOOKUP(C668,'[1]1.CUADRO RESUMEN DE SITIOS '!$C$5:$L$1052,9,FALSE())</f>
        <v>Alfredo de la Cruz</v>
      </c>
      <c r="L668" s="26" t="str">
        <f>VLOOKUP(C668,'[1]1.CUADRO RESUMEN DE SITIOS '!$C$5:$L$1052,10,FALSE())</f>
        <v>Terminado</v>
      </c>
      <c r="M668" s="26">
        <v>8828118868</v>
      </c>
      <c r="N668" s="26">
        <f>VLOOKUP(M668,[1]LPU!$A$2:$G$1512,2,FALSE())</f>
        <v>81</v>
      </c>
      <c r="O668" s="26" t="str">
        <f>VLOOKUP(M668,[1]LPU!$A$2:$G$1512,3,FALSE)</f>
        <v>Suministro e Instalacion de terminal para cable awg # 2 en cobre estañado un ojo</v>
      </c>
      <c r="P668" s="26" t="str">
        <f>VLOOKUP(M668,[1]LPU!$A$2:$G$1512,4,FALSE())</f>
        <v>ENERGÍA</v>
      </c>
      <c r="Q668" s="26" t="str">
        <f>VLOOKUP(M668,[1]LPU!$A$2:$G$1512,5,FALSE())</f>
        <v>U</v>
      </c>
      <c r="R668" s="27">
        <f>VLOOKUP(M668,[1]LPU!$A$2:$G$1512,6,FALSE())</f>
        <v>2347</v>
      </c>
      <c r="S668" s="27" t="str">
        <f>VLOOKUP(M668,[1]LPU!$A$2:$G$1512,7,FALSE())</f>
        <v>LPU FLM</v>
      </c>
      <c r="T668" s="28">
        <v>4</v>
      </c>
      <c r="U668" s="29">
        <f t="shared" si="8"/>
        <v>9388</v>
      </c>
      <c r="V668" s="29" t="s">
        <v>77</v>
      </c>
      <c r="W668" s="30"/>
      <c r="X668" s="29" t="s">
        <v>254</v>
      </c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ht="21" customHeight="1" x14ac:dyDescent="0.3">
      <c r="A669" s="22">
        <v>665</v>
      </c>
      <c r="B669" s="23">
        <v>1</v>
      </c>
      <c r="C669" s="23" t="s">
        <v>272</v>
      </c>
      <c r="D669" s="23" t="str">
        <f>VLOOKUP(C669,'[1]1.CUADRO RESUMEN DE SITIOS '!$C$5:$L$1052,2,FALSE())</f>
        <v>JSUC_00276</v>
      </c>
      <c r="E669" s="24">
        <f>VLOOKUP(C669,'[1]1.CUADRO RESUMEN DE SITIOS '!$C$5:$L$1052,3,FALSE())</f>
        <v>45940</v>
      </c>
      <c r="F669" s="23">
        <f>VLOOKUP(C669,'[1]1.CUADRO RESUMEN DE SITIOS '!$C$5:$L$1052,4,FALSE())</f>
        <v>8.6429200000000002</v>
      </c>
      <c r="G669" s="23">
        <f>VLOOKUP(C669,'[1]1.CUADRO RESUMEN DE SITIOS '!$C$5:$L$1052,5,FALSE())</f>
        <v>-74.692530000000005</v>
      </c>
      <c r="H669" s="23" t="str">
        <f>VLOOKUP(C669,'[1]1.CUADRO RESUMEN DE SITIOS '!$C$5:$L$1052,6,FALSE())</f>
        <v>Sucre</v>
      </c>
      <c r="I669" s="23" t="str">
        <f>VLOOKUP(C669,'[1]1.CUADRO RESUMEN DE SITIOS '!$C$5:$L$1052,7,FALSE())</f>
        <v>WOM</v>
      </c>
      <c r="J669" s="25" t="str">
        <f>VLOOKUP(C669,'[1]1.CUADRO RESUMEN DE SITIOS '!$C$5:$L$1052,8,FALSE())</f>
        <v>COSTA</v>
      </c>
      <c r="K669" s="23" t="str">
        <f>VLOOKUP(C669,'[1]1.CUADRO RESUMEN DE SITIOS '!$C$5:$L$1052,9,FALSE())</f>
        <v>Alfredo de la Cruz</v>
      </c>
      <c r="L669" s="26" t="str">
        <f>VLOOKUP(C669,'[1]1.CUADRO RESUMEN DE SITIOS '!$C$5:$L$1052,10,FALSE())</f>
        <v>Terminado</v>
      </c>
      <c r="M669" s="26">
        <v>8828119980</v>
      </c>
      <c r="N669" s="26">
        <f>VLOOKUP(M669,[1]LPU!$A$2:$G$1512,2,FALSE())</f>
        <v>169</v>
      </c>
      <c r="O669" s="26" t="str">
        <f>VLOOKUP(M669,[1]LPU!$A$2:$G$1512,3,FALSE)</f>
        <v>Reforzamiento Protección Concreto para Rack de Baterías Incluye Materiales</v>
      </c>
      <c r="P669" s="26" t="str">
        <f>VLOOKUP(M669,[1]LPU!$A$2:$G$1512,4,FALSE())</f>
        <v>LOCATIVO</v>
      </c>
      <c r="Q669" s="26" t="str">
        <f>VLOOKUP(M669,[1]LPU!$A$2:$G$1512,5,FALSE())</f>
        <v>U</v>
      </c>
      <c r="R669" s="27">
        <f>VLOOKUP(M669,[1]LPU!$A$2:$G$1512,6,FALSE())</f>
        <v>114750</v>
      </c>
      <c r="S669" s="27" t="str">
        <f>VLOOKUP(M669,[1]LPU!$A$2:$G$1512,7,FALSE())</f>
        <v>LPU FLM</v>
      </c>
      <c r="T669" s="28">
        <v>1</v>
      </c>
      <c r="U669" s="29">
        <f t="shared" si="8"/>
        <v>114750</v>
      </c>
      <c r="V669" s="29" t="s">
        <v>77</v>
      </c>
      <c r="W669" s="30"/>
      <c r="X669" s="29" t="s">
        <v>254</v>
      </c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ht="21" customHeight="1" x14ac:dyDescent="0.3">
      <c r="A670" s="22">
        <v>666</v>
      </c>
      <c r="B670" s="23">
        <v>1</v>
      </c>
      <c r="C670" s="23" t="s">
        <v>272</v>
      </c>
      <c r="D670" s="23" t="str">
        <f>VLOOKUP(C670,'[1]1.CUADRO RESUMEN DE SITIOS '!$C$5:$L$1052,2,FALSE())</f>
        <v>JSUC_00276</v>
      </c>
      <c r="E670" s="24">
        <f>VLOOKUP(C670,'[1]1.CUADRO RESUMEN DE SITIOS '!$C$5:$L$1052,3,FALSE())</f>
        <v>45940</v>
      </c>
      <c r="F670" s="23">
        <f>VLOOKUP(C670,'[1]1.CUADRO RESUMEN DE SITIOS '!$C$5:$L$1052,4,FALSE())</f>
        <v>8.6429200000000002</v>
      </c>
      <c r="G670" s="23">
        <f>VLOOKUP(C670,'[1]1.CUADRO RESUMEN DE SITIOS '!$C$5:$L$1052,5,FALSE())</f>
        <v>-74.692530000000005</v>
      </c>
      <c r="H670" s="23" t="str">
        <f>VLOOKUP(C670,'[1]1.CUADRO RESUMEN DE SITIOS '!$C$5:$L$1052,6,FALSE())</f>
        <v>Sucre</v>
      </c>
      <c r="I670" s="23" t="str">
        <f>VLOOKUP(C670,'[1]1.CUADRO RESUMEN DE SITIOS '!$C$5:$L$1052,7,FALSE())</f>
        <v>WOM</v>
      </c>
      <c r="J670" s="25" t="str">
        <f>VLOOKUP(C670,'[1]1.CUADRO RESUMEN DE SITIOS '!$C$5:$L$1052,8,FALSE())</f>
        <v>COSTA</v>
      </c>
      <c r="K670" s="23" t="str">
        <f>VLOOKUP(C670,'[1]1.CUADRO RESUMEN DE SITIOS '!$C$5:$L$1052,9,FALSE())</f>
        <v>Alfredo de la Cruz</v>
      </c>
      <c r="L670" s="26" t="str">
        <f>VLOOKUP(C670,'[1]1.CUADRO RESUMEN DE SITIOS '!$C$5:$L$1052,10,FALSE())</f>
        <v>Terminado</v>
      </c>
      <c r="M670" s="26">
        <v>8828119848</v>
      </c>
      <c r="N670" s="26">
        <f>VLOOKUP(M670,[1]LPU!$A$2:$G$1512,2,FALSE())</f>
        <v>157</v>
      </c>
      <c r="O670" s="26" t="str">
        <f>VLOOKUP(M670,[1]LPU!$A$2:$G$1512,3,FALSE)</f>
        <v>Reja para equipo cabinet x 2 baterías</v>
      </c>
      <c r="P670" s="26" t="str">
        <f>VLOOKUP(M670,[1]LPU!$A$2:$G$1512,4,FALSE())</f>
        <v>LOCATIVO</v>
      </c>
      <c r="Q670" s="26" t="str">
        <f>VLOOKUP(M670,[1]LPU!$A$2:$G$1512,5,FALSE())</f>
        <v>U</v>
      </c>
      <c r="R670" s="27">
        <f>VLOOKUP(M670,[1]LPU!$A$2:$G$1512,6,FALSE())</f>
        <v>415303</v>
      </c>
      <c r="S670" s="27" t="str">
        <f>VLOOKUP(M670,[1]LPU!$A$2:$G$1512,7,FALSE())</f>
        <v>LPU FLM</v>
      </c>
      <c r="T670" s="28">
        <v>1</v>
      </c>
      <c r="U670" s="29">
        <f t="shared" si="8"/>
        <v>415303</v>
      </c>
      <c r="V670" s="29" t="s">
        <v>77</v>
      </c>
      <c r="W670" s="30"/>
      <c r="X670" s="29" t="s">
        <v>254</v>
      </c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ht="21" customHeight="1" x14ac:dyDescent="0.3">
      <c r="A671" s="22">
        <v>667</v>
      </c>
      <c r="B671" s="23">
        <v>1</v>
      </c>
      <c r="C671" s="23" t="s">
        <v>272</v>
      </c>
      <c r="D671" s="23" t="str">
        <f>VLOOKUP(C671,'[1]1.CUADRO RESUMEN DE SITIOS '!$C$5:$L$1052,2,FALSE())</f>
        <v>JSUC_00276</v>
      </c>
      <c r="E671" s="24">
        <f>VLOOKUP(C671,'[1]1.CUADRO RESUMEN DE SITIOS '!$C$5:$L$1052,3,FALSE())</f>
        <v>45940</v>
      </c>
      <c r="F671" s="23">
        <f>VLOOKUP(C671,'[1]1.CUADRO RESUMEN DE SITIOS '!$C$5:$L$1052,4,FALSE())</f>
        <v>8.6429200000000002</v>
      </c>
      <c r="G671" s="23">
        <f>VLOOKUP(C671,'[1]1.CUADRO RESUMEN DE SITIOS '!$C$5:$L$1052,5,FALSE())</f>
        <v>-74.692530000000005</v>
      </c>
      <c r="H671" s="23" t="str">
        <f>VLOOKUP(C671,'[1]1.CUADRO RESUMEN DE SITIOS '!$C$5:$L$1052,6,FALSE())</f>
        <v>Sucre</v>
      </c>
      <c r="I671" s="23" t="str">
        <f>VLOOKUP(C671,'[1]1.CUADRO RESUMEN DE SITIOS '!$C$5:$L$1052,7,FALSE())</f>
        <v>WOM</v>
      </c>
      <c r="J671" s="25" t="str">
        <f>VLOOKUP(C671,'[1]1.CUADRO RESUMEN DE SITIOS '!$C$5:$L$1052,8,FALSE())</f>
        <v>COSTA</v>
      </c>
      <c r="K671" s="23" t="str">
        <f>VLOOKUP(C671,'[1]1.CUADRO RESUMEN DE SITIOS '!$C$5:$L$1052,9,FALSE())</f>
        <v>Alfredo de la Cruz</v>
      </c>
      <c r="L671" s="26" t="str">
        <f>VLOOKUP(C671,'[1]1.CUADRO RESUMEN DE SITIOS '!$C$5:$L$1052,10,FALSE())</f>
        <v>Terminado</v>
      </c>
      <c r="M671" s="26">
        <v>8828119045</v>
      </c>
      <c r="N671" s="26">
        <f>VLOOKUP(M671,[1]LPU!$A$2:$G$1512,2,FALSE())</f>
        <v>5.29</v>
      </c>
      <c r="O671" s="26" t="str">
        <f>VLOOKUP(M671,[1]LPU!$A$2:$G$1512,3,FALSE)</f>
        <v>Suministro e instalación de estructura metálica en acero galvanizado para refuerzo, soportes, bases y adecuaciones en general.</v>
      </c>
      <c r="P671" s="26" t="str">
        <f>VLOOKUP(M671,[1]LPU!$A$2:$G$1512,4,FALSE())</f>
        <v>Mantenimiento CW</v>
      </c>
      <c r="Q671" s="26" t="str">
        <f>VLOOKUP(M671,[1]LPU!$A$2:$G$1512,5,FALSE())</f>
        <v>Kg</v>
      </c>
      <c r="R671" s="27">
        <f>VLOOKUP(M671,[1]LPU!$A$2:$G$1512,6,FALSE())</f>
        <v>12911.5</v>
      </c>
      <c r="S671" s="27" t="str">
        <f>VLOOKUP(M671,[1]LPU!$A$2:$G$1512,7,FALSE())</f>
        <v>Mantenimiento CW</v>
      </c>
      <c r="T671" s="28">
        <v>22</v>
      </c>
      <c r="U671" s="29">
        <f t="shared" si="8"/>
        <v>284053</v>
      </c>
      <c r="V671" s="29" t="s">
        <v>77</v>
      </c>
      <c r="W671" s="30"/>
      <c r="X671" s="29" t="s">
        <v>254</v>
      </c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ht="21" customHeight="1" x14ac:dyDescent="0.3">
      <c r="A672" s="22">
        <v>668</v>
      </c>
      <c r="B672" s="23">
        <v>1</v>
      </c>
      <c r="C672" s="23" t="s">
        <v>272</v>
      </c>
      <c r="D672" s="23" t="str">
        <f>VLOOKUP(C672,'[1]1.CUADRO RESUMEN DE SITIOS '!$C$5:$L$1052,2,FALSE())</f>
        <v>JSUC_00276</v>
      </c>
      <c r="E672" s="24">
        <f>VLOOKUP(C672,'[1]1.CUADRO RESUMEN DE SITIOS '!$C$5:$L$1052,3,FALSE())</f>
        <v>45940</v>
      </c>
      <c r="F672" s="23">
        <f>VLOOKUP(C672,'[1]1.CUADRO RESUMEN DE SITIOS '!$C$5:$L$1052,4,FALSE())</f>
        <v>8.6429200000000002</v>
      </c>
      <c r="G672" s="23">
        <f>VLOOKUP(C672,'[1]1.CUADRO RESUMEN DE SITIOS '!$C$5:$L$1052,5,FALSE())</f>
        <v>-74.692530000000005</v>
      </c>
      <c r="H672" s="23" t="str">
        <f>VLOOKUP(C672,'[1]1.CUADRO RESUMEN DE SITIOS '!$C$5:$L$1052,6,FALSE())</f>
        <v>Sucre</v>
      </c>
      <c r="I672" s="23" t="str">
        <f>VLOOKUP(C672,'[1]1.CUADRO RESUMEN DE SITIOS '!$C$5:$L$1052,7,FALSE())</f>
        <v>WOM</v>
      </c>
      <c r="J672" s="25" t="str">
        <f>VLOOKUP(C672,'[1]1.CUADRO RESUMEN DE SITIOS '!$C$5:$L$1052,8,FALSE())</f>
        <v>COSTA</v>
      </c>
      <c r="K672" s="23" t="str">
        <f>VLOOKUP(C672,'[1]1.CUADRO RESUMEN DE SITIOS '!$C$5:$L$1052,9,FALSE())</f>
        <v>Alfredo de la Cruz</v>
      </c>
      <c r="L672" s="26" t="str">
        <f>VLOOKUP(C672,'[1]1.CUADRO RESUMEN DE SITIOS '!$C$5:$L$1052,10,FALSE())</f>
        <v>Terminado</v>
      </c>
      <c r="M672" s="26">
        <v>8828119599</v>
      </c>
      <c r="N672" s="26">
        <f>VLOOKUP(M672,[1]LPU!$A$2:$G$1512,2,FALSE())</f>
        <v>197</v>
      </c>
      <c r="O672" s="26" t="str">
        <f>VLOOKUP(M672,[1]LPU!$A$2:$G$1512,3,FALSE)</f>
        <v>Transporte de Equipos y Materiales, Carga y Descarga, desde y hacía Bodega Regional. Mas de 1 Tonelada. ZONA 2 (Resolución 5078 de 2016)</v>
      </c>
      <c r="P672" s="26" t="str">
        <f>VLOOKUP(M672,[1]LPU!$A$2:$G$1512,4,FALSE())</f>
        <v>LOCATIVO</v>
      </c>
      <c r="Q672" s="26" t="str">
        <f>VLOOKUP(M672,[1]LPU!$A$2:$G$1512,5,FALSE())</f>
        <v>U</v>
      </c>
      <c r="R672" s="27">
        <f>VLOOKUP(M672,[1]LPU!$A$2:$G$1512,6,FALSE())</f>
        <v>680680</v>
      </c>
      <c r="S672" s="27" t="str">
        <f>VLOOKUP(M672,[1]LPU!$A$2:$G$1512,7,FALSE())</f>
        <v>LPU FLM</v>
      </c>
      <c r="T672" s="28">
        <v>1</v>
      </c>
      <c r="U672" s="29">
        <f t="shared" si="8"/>
        <v>680680</v>
      </c>
      <c r="V672" s="29" t="s">
        <v>77</v>
      </c>
      <c r="W672" s="30"/>
      <c r="X672" s="29" t="s">
        <v>254</v>
      </c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ht="21" customHeight="1" x14ac:dyDescent="0.3">
      <c r="A673" s="22">
        <v>669</v>
      </c>
      <c r="B673" s="23">
        <v>1</v>
      </c>
      <c r="C673" s="23" t="s">
        <v>272</v>
      </c>
      <c r="D673" s="23" t="str">
        <f>VLOOKUP(C673,'[1]1.CUADRO RESUMEN DE SITIOS '!$C$5:$L$1052,2,FALSE())</f>
        <v>JSUC_00276</v>
      </c>
      <c r="E673" s="24">
        <f>VLOOKUP(C673,'[1]1.CUADRO RESUMEN DE SITIOS '!$C$5:$L$1052,3,FALSE())</f>
        <v>45940</v>
      </c>
      <c r="F673" s="23">
        <f>VLOOKUP(C673,'[1]1.CUADRO RESUMEN DE SITIOS '!$C$5:$L$1052,4,FALSE())</f>
        <v>8.6429200000000002</v>
      </c>
      <c r="G673" s="23">
        <f>VLOOKUP(C673,'[1]1.CUADRO RESUMEN DE SITIOS '!$C$5:$L$1052,5,FALSE())</f>
        <v>-74.692530000000005</v>
      </c>
      <c r="H673" s="23" t="str">
        <f>VLOOKUP(C673,'[1]1.CUADRO RESUMEN DE SITIOS '!$C$5:$L$1052,6,FALSE())</f>
        <v>Sucre</v>
      </c>
      <c r="I673" s="23" t="str">
        <f>VLOOKUP(C673,'[1]1.CUADRO RESUMEN DE SITIOS '!$C$5:$L$1052,7,FALSE())</f>
        <v>WOM</v>
      </c>
      <c r="J673" s="25" t="str">
        <f>VLOOKUP(C673,'[1]1.CUADRO RESUMEN DE SITIOS '!$C$5:$L$1052,8,FALSE())</f>
        <v>COSTA</v>
      </c>
      <c r="K673" s="23" t="str">
        <f>VLOOKUP(C673,'[1]1.CUADRO RESUMEN DE SITIOS '!$C$5:$L$1052,9,FALSE())</f>
        <v>Alfredo de la Cruz</v>
      </c>
      <c r="L673" s="26" t="str">
        <f>VLOOKUP(C673,'[1]1.CUADRO RESUMEN DE SITIOS '!$C$5:$L$1052,10,FALSE())</f>
        <v>Terminado</v>
      </c>
      <c r="M673" s="26">
        <v>8828119110</v>
      </c>
      <c r="N673" s="26">
        <f>VLOOKUP(M673,[1]LPU!$A$2:$G$1512,2,FALSE())</f>
        <v>107</v>
      </c>
      <c r="O673" s="26" t="str">
        <f>VLOOKUP(M673,[1]LPU!$A$2:$G$1512,3,FALSE)</f>
        <v>Mano de Obra Tecnico Electricista Certficado CONTE</v>
      </c>
      <c r="P673" s="26" t="str">
        <f>VLOOKUP(M673,[1]LPU!$A$2:$G$1512,4,FALSE())</f>
        <v>ENERGÍA</v>
      </c>
      <c r="Q673" s="26" t="str">
        <f>VLOOKUP(M673,[1]LPU!$A$2:$G$1512,5,FALSE())</f>
        <v>DIA</v>
      </c>
      <c r="R673" s="27">
        <f>VLOOKUP(M673,[1]LPU!$A$2:$G$1512,6,FALSE())</f>
        <v>136000</v>
      </c>
      <c r="S673" s="27" t="str">
        <f>VLOOKUP(M673,[1]LPU!$A$2:$G$1512,7,FALSE())</f>
        <v>LPU FLM</v>
      </c>
      <c r="T673" s="28">
        <v>1</v>
      </c>
      <c r="U673" s="29">
        <f t="shared" si="8"/>
        <v>136000</v>
      </c>
      <c r="V673" s="29" t="s">
        <v>77</v>
      </c>
      <c r="W673" s="30"/>
      <c r="X673" s="29" t="s">
        <v>254</v>
      </c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ht="21" customHeight="1" x14ac:dyDescent="0.3">
      <c r="A674" s="22">
        <v>670</v>
      </c>
      <c r="B674" s="23">
        <v>1</v>
      </c>
      <c r="C674" s="23" t="s">
        <v>272</v>
      </c>
      <c r="D674" s="23" t="str">
        <f>VLOOKUP(C674,'[1]1.CUADRO RESUMEN DE SITIOS '!$C$5:$L$1052,2,FALSE())</f>
        <v>JSUC_00276</v>
      </c>
      <c r="E674" s="24">
        <f>VLOOKUP(C674,'[1]1.CUADRO RESUMEN DE SITIOS '!$C$5:$L$1052,3,FALSE())</f>
        <v>45940</v>
      </c>
      <c r="F674" s="23">
        <f>VLOOKUP(C674,'[1]1.CUADRO RESUMEN DE SITIOS '!$C$5:$L$1052,4,FALSE())</f>
        <v>8.6429200000000002</v>
      </c>
      <c r="G674" s="23">
        <f>VLOOKUP(C674,'[1]1.CUADRO RESUMEN DE SITIOS '!$C$5:$L$1052,5,FALSE())</f>
        <v>-74.692530000000005</v>
      </c>
      <c r="H674" s="23" t="str">
        <f>VLOOKUP(C674,'[1]1.CUADRO RESUMEN DE SITIOS '!$C$5:$L$1052,6,FALSE())</f>
        <v>Sucre</v>
      </c>
      <c r="I674" s="23" t="str">
        <f>VLOOKUP(C674,'[1]1.CUADRO RESUMEN DE SITIOS '!$C$5:$L$1052,7,FALSE())</f>
        <v>WOM</v>
      </c>
      <c r="J674" s="25" t="str">
        <f>VLOOKUP(C674,'[1]1.CUADRO RESUMEN DE SITIOS '!$C$5:$L$1052,8,FALSE())</f>
        <v>COSTA</v>
      </c>
      <c r="K674" s="23" t="str">
        <f>VLOOKUP(C674,'[1]1.CUADRO RESUMEN DE SITIOS '!$C$5:$L$1052,9,FALSE())</f>
        <v>Alfredo de la Cruz</v>
      </c>
      <c r="L674" s="26" t="str">
        <f>VLOOKUP(C674,'[1]1.CUADRO RESUMEN DE SITIOS '!$C$5:$L$1052,10,FALSE())</f>
        <v>Terminado</v>
      </c>
      <c r="M674" s="26">
        <v>8828119938</v>
      </c>
      <c r="N674" s="26">
        <f>VLOOKUP(M674,[1]LPU!$A$2:$G$1512,2,FALSE())</f>
        <v>23</v>
      </c>
      <c r="O674" s="26" t="str">
        <f>VLOOKUP(M674,[1]LPU!$A$2:$G$1512,3,FALSE)</f>
        <v>Reubicación de 01 BBU desde gabinete existente hacia nuevo gabinete, incluye conexión de alimentación en ambos planos y etiquetado</v>
      </c>
      <c r="P674" s="26" t="str">
        <f>VLOOKUP(M674,[1]LPU!$A$2:$G$1512,4,FALSE())</f>
        <v>ACCESO</v>
      </c>
      <c r="Q674" s="26" t="str">
        <f>VLOOKUP(M674,[1]LPU!$A$2:$G$1512,5,FALSE())</f>
        <v>Por sector</v>
      </c>
      <c r="R674" s="27">
        <f>VLOOKUP(M674,[1]LPU!$A$2:$G$1512,6,FALSE())</f>
        <v>217413</v>
      </c>
      <c r="S674" s="27" t="str">
        <f>VLOOKUP(M674,[1]LPU!$A$2:$G$1512,7,FALSE())</f>
        <v>LPU FLM</v>
      </c>
      <c r="T674" s="28">
        <v>1</v>
      </c>
      <c r="U674" s="29">
        <f t="shared" si="8"/>
        <v>217413</v>
      </c>
      <c r="V674" s="29" t="s">
        <v>77</v>
      </c>
      <c r="W674" s="30"/>
      <c r="X674" s="29" t="s">
        <v>254</v>
      </c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ht="21" customHeight="1" x14ac:dyDescent="0.3">
      <c r="A675" s="22">
        <v>671</v>
      </c>
      <c r="B675" s="23">
        <v>1</v>
      </c>
      <c r="C675" s="23" t="s">
        <v>272</v>
      </c>
      <c r="D675" s="23" t="str">
        <f>VLOOKUP(C675,'[1]1.CUADRO RESUMEN DE SITIOS '!$C$5:$L$1052,2,FALSE())</f>
        <v>JSUC_00276</v>
      </c>
      <c r="E675" s="24">
        <f>VLOOKUP(C675,'[1]1.CUADRO RESUMEN DE SITIOS '!$C$5:$L$1052,3,FALSE())</f>
        <v>45940</v>
      </c>
      <c r="F675" s="23">
        <f>VLOOKUP(C675,'[1]1.CUADRO RESUMEN DE SITIOS '!$C$5:$L$1052,4,FALSE())</f>
        <v>8.6429200000000002</v>
      </c>
      <c r="G675" s="23">
        <f>VLOOKUP(C675,'[1]1.CUADRO RESUMEN DE SITIOS '!$C$5:$L$1052,5,FALSE())</f>
        <v>-74.692530000000005</v>
      </c>
      <c r="H675" s="23" t="str">
        <f>VLOOKUP(C675,'[1]1.CUADRO RESUMEN DE SITIOS '!$C$5:$L$1052,6,FALSE())</f>
        <v>Sucre</v>
      </c>
      <c r="I675" s="23" t="str">
        <f>VLOOKUP(C675,'[1]1.CUADRO RESUMEN DE SITIOS '!$C$5:$L$1052,7,FALSE())</f>
        <v>WOM</v>
      </c>
      <c r="J675" s="25" t="str">
        <f>VLOOKUP(C675,'[1]1.CUADRO RESUMEN DE SITIOS '!$C$5:$L$1052,8,FALSE())</f>
        <v>COSTA</v>
      </c>
      <c r="K675" s="23" t="str">
        <f>VLOOKUP(C675,'[1]1.CUADRO RESUMEN DE SITIOS '!$C$5:$L$1052,9,FALSE())</f>
        <v>Alfredo de la Cruz</v>
      </c>
      <c r="L675" s="26" t="str">
        <f>VLOOKUP(C675,'[1]1.CUADRO RESUMEN DE SITIOS '!$C$5:$L$1052,10,FALSE())</f>
        <v>Terminado</v>
      </c>
      <c r="M675" s="26">
        <v>8828119402</v>
      </c>
      <c r="N675" s="26">
        <f>VLOOKUP(M675,[1]LPU!$A$2:$G$1512,2,FALSE())</f>
        <v>4</v>
      </c>
      <c r="O675" s="26" t="str">
        <f>VLOOKUP(M675,[1]LPU!$A$2:$G$1512,3,FALSE)</f>
        <v>Apertura y Cierre de Reja de Seguridad para Revisión de Baterías</v>
      </c>
      <c r="P675" s="26" t="str">
        <f>VLOOKUP(M675,[1]LPU!$A$2:$G$1512,4,FALSE())</f>
        <v>ACCESO</v>
      </c>
      <c r="Q675" s="26" t="str">
        <f>VLOOKUP(M675,[1]LPU!$A$2:$G$1512,5,FALSE())</f>
        <v>U</v>
      </c>
      <c r="R675" s="27">
        <f>VLOOKUP(M675,[1]LPU!$A$2:$G$1512,6,FALSE())</f>
        <v>96900</v>
      </c>
      <c r="S675" s="27" t="str">
        <f>VLOOKUP(M675,[1]LPU!$A$2:$G$1512,7,FALSE())</f>
        <v>LPU FLM</v>
      </c>
      <c r="T675" s="28">
        <v>1</v>
      </c>
      <c r="U675" s="29">
        <f t="shared" si="8"/>
        <v>96900</v>
      </c>
      <c r="V675" s="29" t="s">
        <v>77</v>
      </c>
      <c r="W675" s="30"/>
      <c r="X675" s="29" t="s">
        <v>254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ht="21" customHeight="1" x14ac:dyDescent="0.3">
      <c r="A676" s="22">
        <v>672</v>
      </c>
      <c r="B676" s="23">
        <v>1</v>
      </c>
      <c r="C676" s="23" t="s">
        <v>272</v>
      </c>
      <c r="D676" s="23" t="str">
        <f>VLOOKUP(C676,'[1]1.CUADRO RESUMEN DE SITIOS '!$C$5:$L$1052,2,FALSE())</f>
        <v>JSUC_00276</v>
      </c>
      <c r="E676" s="24">
        <f>VLOOKUP(C676,'[1]1.CUADRO RESUMEN DE SITIOS '!$C$5:$L$1052,3,FALSE())</f>
        <v>45940</v>
      </c>
      <c r="F676" s="23">
        <f>VLOOKUP(C676,'[1]1.CUADRO RESUMEN DE SITIOS '!$C$5:$L$1052,4,FALSE())</f>
        <v>8.6429200000000002</v>
      </c>
      <c r="G676" s="23">
        <f>VLOOKUP(C676,'[1]1.CUADRO RESUMEN DE SITIOS '!$C$5:$L$1052,5,FALSE())</f>
        <v>-74.692530000000005</v>
      </c>
      <c r="H676" s="23" t="str">
        <f>VLOOKUP(C676,'[1]1.CUADRO RESUMEN DE SITIOS '!$C$5:$L$1052,6,FALSE())</f>
        <v>Sucre</v>
      </c>
      <c r="I676" s="23" t="str">
        <f>VLOOKUP(C676,'[1]1.CUADRO RESUMEN DE SITIOS '!$C$5:$L$1052,7,FALSE())</f>
        <v>WOM</v>
      </c>
      <c r="J676" s="25" t="str">
        <f>VLOOKUP(C676,'[1]1.CUADRO RESUMEN DE SITIOS '!$C$5:$L$1052,8,FALSE())</f>
        <v>COSTA</v>
      </c>
      <c r="K676" s="23" t="str">
        <f>VLOOKUP(C676,'[1]1.CUADRO RESUMEN DE SITIOS '!$C$5:$L$1052,9,FALSE())</f>
        <v>Alfredo de la Cruz</v>
      </c>
      <c r="L676" s="26" t="str">
        <f>VLOOKUP(C676,'[1]1.CUADRO RESUMEN DE SITIOS '!$C$5:$L$1052,10,FALSE())</f>
        <v>Terminado</v>
      </c>
      <c r="M676" s="26">
        <v>8828119250</v>
      </c>
      <c r="N676" s="26">
        <f>VLOOKUP(M676,[1]LPU!$A$2:$G$1512,2,FALSE())</f>
        <v>0</v>
      </c>
      <c r="O676" s="26" t="str">
        <f>VLOOKUP(M676,[1]LPU!$A$2:$G$1512,3,FALSE)</f>
        <v>Suministro e instalación coraza americana de 1 1/2" - Incluye 100% accesorios</v>
      </c>
      <c r="P676" s="26" t="str">
        <f>VLOOKUP(M676,[1]LPU!$A$2:$G$1512,4,FALSE())</f>
        <v>Variables</v>
      </c>
      <c r="Q676" s="26" t="str">
        <f>VLOOKUP(M676,[1]LPU!$A$2:$G$1512,5,FALSE())</f>
        <v>ml</v>
      </c>
      <c r="R676" s="27">
        <f>VLOOKUP(M676,[1]LPU!$A$2:$G$1512,6,FALSE())</f>
        <v>12410</v>
      </c>
      <c r="S676" s="27" t="str">
        <f>VLOOKUP(M676,[1]LPU!$A$2:$G$1512,7,FALSE())</f>
        <v>LPU FO</v>
      </c>
      <c r="T676" s="28">
        <v>8</v>
      </c>
      <c r="U676" s="29">
        <f t="shared" si="8"/>
        <v>99280</v>
      </c>
      <c r="V676" s="29" t="s">
        <v>77</v>
      </c>
      <c r="W676" s="30"/>
      <c r="X676" s="29" t="s">
        <v>254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ht="21" customHeight="1" x14ac:dyDescent="0.3">
      <c r="A677" s="22">
        <v>673</v>
      </c>
      <c r="B677" s="23">
        <v>1</v>
      </c>
      <c r="C677" s="23" t="s">
        <v>29</v>
      </c>
      <c r="D677" s="23" t="str">
        <f>VLOOKUP(C677,'[1]1.CUADRO RESUMEN DE SITIOS '!$C$5:$L$1052,2,FALSE())</f>
        <v>JSUC_00036</v>
      </c>
      <c r="E677" s="24">
        <f>VLOOKUP(C677,'[1]1.CUADRO RESUMEN DE SITIOS '!$C$5:$L$1052,3,FALSE())</f>
        <v>45783</v>
      </c>
      <c r="F677" s="23">
        <f>VLOOKUP(C677,'[1]1.CUADRO RESUMEN DE SITIOS '!$C$5:$L$1052,4,FALSE())</f>
        <v>8.4451000000000001</v>
      </c>
      <c r="G677" s="23">
        <f>VLOOKUP(C677,'[1]1.CUADRO RESUMEN DE SITIOS '!$C$5:$L$1052,5,FALSE())</f>
        <v>-74.642240000000001</v>
      </c>
      <c r="H677" s="23" t="str">
        <f>VLOOKUP(C677,'[1]1.CUADRO RESUMEN DE SITIOS '!$C$5:$L$1052,6,FALSE())</f>
        <v>Sucre</v>
      </c>
      <c r="I677" s="23" t="str">
        <f>VLOOKUP(C677,'[1]1.CUADRO RESUMEN DE SITIOS '!$C$5:$L$1052,7,FALSE())</f>
        <v>WOM</v>
      </c>
      <c r="J677" s="25" t="str">
        <f>VLOOKUP(C677,'[1]1.CUADRO RESUMEN DE SITIOS '!$C$5:$L$1052,8,FALSE())</f>
        <v>COSTA</v>
      </c>
      <c r="K677" s="23" t="str">
        <f>VLOOKUP(C677,'[1]1.CUADRO RESUMEN DE SITIOS '!$C$5:$L$1052,9,FALSE())</f>
        <v>Elkis Sandoval</v>
      </c>
      <c r="L677" s="26" t="str">
        <f>VLOOKUP(C677,'[1]1.CUADRO RESUMEN DE SITIOS '!$C$5:$L$1052,10,FALSE())</f>
        <v>Terminado</v>
      </c>
      <c r="M677" s="26">
        <v>8828119492</v>
      </c>
      <c r="N677" s="26">
        <f>VLOOKUP(M677,[1]LPU!$A$2:$G$1512,2,FALSE())</f>
        <v>53</v>
      </c>
      <c r="O677" s="26" t="str">
        <f>VLOOKUP(M677,[1]LPU!$A$2:$G$1512,3,FALSE)</f>
        <v>Instalación Banco de Baterias para Rectificadores - Aplica para ampliaciones.</v>
      </c>
      <c r="P677" s="26" t="str">
        <f>VLOOKUP(M677,[1]LPU!$A$2:$G$1512,4,FALSE())</f>
        <v>ENERGÍA</v>
      </c>
      <c r="Q677" s="26" t="str">
        <f>VLOOKUP(M677,[1]LPU!$A$2:$G$1512,5,FALSE())</f>
        <v>U</v>
      </c>
      <c r="R677" s="27">
        <f>VLOOKUP(M677,[1]LPU!$A$2:$G$1512,6,FALSE())</f>
        <v>102340</v>
      </c>
      <c r="S677" s="27" t="str">
        <f>VLOOKUP(M677,[1]LPU!$A$2:$G$1512,7,FALSE())</f>
        <v>LPU FLM</v>
      </c>
      <c r="T677" s="28">
        <v>1</v>
      </c>
      <c r="U677" s="29">
        <f t="shared" si="8"/>
        <v>102340</v>
      </c>
      <c r="V677" s="29" t="s">
        <v>77</v>
      </c>
      <c r="W677" s="30"/>
      <c r="X677" s="29" t="s">
        <v>254</v>
      </c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21" customHeight="1" x14ac:dyDescent="0.3">
      <c r="A678" s="22">
        <v>674</v>
      </c>
      <c r="B678" s="23">
        <v>1</v>
      </c>
      <c r="C678" s="23" t="s">
        <v>29</v>
      </c>
      <c r="D678" s="23" t="str">
        <f>VLOOKUP(C678,'[1]1.CUADRO RESUMEN DE SITIOS '!$C$5:$L$1052,2,FALSE())</f>
        <v>JSUC_00036</v>
      </c>
      <c r="E678" s="24">
        <f>VLOOKUP(C678,'[1]1.CUADRO RESUMEN DE SITIOS '!$C$5:$L$1052,3,FALSE())</f>
        <v>45783</v>
      </c>
      <c r="F678" s="23">
        <f>VLOOKUP(C678,'[1]1.CUADRO RESUMEN DE SITIOS '!$C$5:$L$1052,4,FALSE())</f>
        <v>8.4451000000000001</v>
      </c>
      <c r="G678" s="23">
        <f>VLOOKUP(C678,'[1]1.CUADRO RESUMEN DE SITIOS '!$C$5:$L$1052,5,FALSE())</f>
        <v>-74.642240000000001</v>
      </c>
      <c r="H678" s="23" t="str">
        <f>VLOOKUP(C678,'[1]1.CUADRO RESUMEN DE SITIOS '!$C$5:$L$1052,6,FALSE())</f>
        <v>Sucre</v>
      </c>
      <c r="I678" s="23" t="str">
        <f>VLOOKUP(C678,'[1]1.CUADRO RESUMEN DE SITIOS '!$C$5:$L$1052,7,FALSE())</f>
        <v>WOM</v>
      </c>
      <c r="J678" s="25" t="str">
        <f>VLOOKUP(C678,'[1]1.CUADRO RESUMEN DE SITIOS '!$C$5:$L$1052,8,FALSE())</f>
        <v>COSTA</v>
      </c>
      <c r="K678" s="23" t="str">
        <f>VLOOKUP(C678,'[1]1.CUADRO RESUMEN DE SITIOS '!$C$5:$L$1052,9,FALSE())</f>
        <v>Elkis Sandoval</v>
      </c>
      <c r="L678" s="26" t="str">
        <f>VLOOKUP(C678,'[1]1.CUADRO RESUMEN DE SITIOS '!$C$5:$L$1052,10,FALSE())</f>
        <v>Terminado</v>
      </c>
      <c r="M678" s="26">
        <v>8828119512</v>
      </c>
      <c r="N678" s="26">
        <f>VLOOKUP(M678,[1]LPU!$A$2:$G$1512,2,FALSE())</f>
        <v>55</v>
      </c>
      <c r="O678" s="26" t="str">
        <f>VLOOKUP(M678,[1]LPU!$A$2:$G$1512,3,FALSE)</f>
        <v>Transporte Banco de Baterias</v>
      </c>
      <c r="P678" s="26" t="str">
        <f>VLOOKUP(M678,[1]LPU!$A$2:$G$1512,4,FALSE())</f>
        <v>ENERGÍA</v>
      </c>
      <c r="Q678" s="26" t="str">
        <f>VLOOKUP(M678,[1]LPU!$A$2:$G$1512,5,FALSE())</f>
        <v>U</v>
      </c>
      <c r="R678" s="27">
        <f>VLOOKUP(M678,[1]LPU!$A$2:$G$1512,6,FALSE())</f>
        <v>82212</v>
      </c>
      <c r="S678" s="27" t="str">
        <f>VLOOKUP(M678,[1]LPU!$A$2:$G$1512,7,FALSE())</f>
        <v>LPU FLM</v>
      </c>
      <c r="T678" s="28">
        <v>1</v>
      </c>
      <c r="U678" s="29">
        <f t="shared" si="8"/>
        <v>82212</v>
      </c>
      <c r="V678" s="29" t="s">
        <v>77</v>
      </c>
      <c r="W678" s="30"/>
      <c r="X678" s="29" t="s">
        <v>254</v>
      </c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21" customHeight="1" x14ac:dyDescent="0.3">
      <c r="A679" s="22">
        <v>675</v>
      </c>
      <c r="B679" s="23">
        <v>1</v>
      </c>
      <c r="C679" s="23" t="s">
        <v>29</v>
      </c>
      <c r="D679" s="23" t="str">
        <f>VLOOKUP(C679,'[1]1.CUADRO RESUMEN DE SITIOS '!$C$5:$L$1052,2,FALSE())</f>
        <v>JSUC_00036</v>
      </c>
      <c r="E679" s="24">
        <f>VLOOKUP(C679,'[1]1.CUADRO RESUMEN DE SITIOS '!$C$5:$L$1052,3,FALSE())</f>
        <v>45783</v>
      </c>
      <c r="F679" s="23">
        <f>VLOOKUP(C679,'[1]1.CUADRO RESUMEN DE SITIOS '!$C$5:$L$1052,4,FALSE())</f>
        <v>8.4451000000000001</v>
      </c>
      <c r="G679" s="23">
        <f>VLOOKUP(C679,'[1]1.CUADRO RESUMEN DE SITIOS '!$C$5:$L$1052,5,FALSE())</f>
        <v>-74.642240000000001</v>
      </c>
      <c r="H679" s="23" t="str">
        <f>VLOOKUP(C679,'[1]1.CUADRO RESUMEN DE SITIOS '!$C$5:$L$1052,6,FALSE())</f>
        <v>Sucre</v>
      </c>
      <c r="I679" s="23" t="str">
        <f>VLOOKUP(C679,'[1]1.CUADRO RESUMEN DE SITIOS '!$C$5:$L$1052,7,FALSE())</f>
        <v>WOM</v>
      </c>
      <c r="J679" s="25" t="str">
        <f>VLOOKUP(C679,'[1]1.CUADRO RESUMEN DE SITIOS '!$C$5:$L$1052,8,FALSE())</f>
        <v>COSTA</v>
      </c>
      <c r="K679" s="23" t="str">
        <f>VLOOKUP(C679,'[1]1.CUADRO RESUMEN DE SITIOS '!$C$5:$L$1052,9,FALSE())</f>
        <v>Elkis Sandoval</v>
      </c>
      <c r="L679" s="26" t="str">
        <f>VLOOKUP(C679,'[1]1.CUADRO RESUMEN DE SITIOS '!$C$5:$L$1052,10,FALSE())</f>
        <v>Terminado</v>
      </c>
      <c r="M679" s="26">
        <v>8828118999</v>
      </c>
      <c r="N679" s="26">
        <f>VLOOKUP(M679,[1]LPU!$A$2:$G$1512,2,FALSE())</f>
        <v>0</v>
      </c>
      <c r="O679" s="26" t="str">
        <f>VLOOKUP(M679,[1]LPU!$A$2:$G$1512,3,FALSE)</f>
        <v>Suministro e instalación de cable UTP Categoría 6, con conectores en sus extremos, certificado</v>
      </c>
      <c r="P679" s="26" t="str">
        <f>VLOOKUP(M679,[1]LPU!$A$2:$G$1512,4,FALSE())</f>
        <v>Item Critico</v>
      </c>
      <c r="Q679" s="26" t="str">
        <f>VLOOKUP(M679,[1]LPU!$A$2:$G$1512,5,FALSE())</f>
        <v>m</v>
      </c>
      <c r="R679" s="27">
        <f>VLOOKUP(M679,[1]LPU!$A$2:$G$1512,6,FALSE())</f>
        <v>5913</v>
      </c>
      <c r="S679" s="27" t="str">
        <f>VLOOKUP(M679,[1]LPU!$A$2:$G$1512,7,FALSE())</f>
        <v>LPU FO Propia</v>
      </c>
      <c r="T679" s="28">
        <v>3</v>
      </c>
      <c r="U679" s="29">
        <f t="shared" si="8"/>
        <v>17739</v>
      </c>
      <c r="V679" s="29" t="s">
        <v>77</v>
      </c>
      <c r="W679" s="30"/>
      <c r="X679" s="29" t="s">
        <v>254</v>
      </c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21" customHeight="1" x14ac:dyDescent="0.3">
      <c r="A680" s="22">
        <v>676</v>
      </c>
      <c r="B680" s="23">
        <v>1</v>
      </c>
      <c r="C680" s="23" t="s">
        <v>29</v>
      </c>
      <c r="D680" s="23" t="str">
        <f>VLOOKUP(C680,'[1]1.CUADRO RESUMEN DE SITIOS '!$C$5:$L$1052,2,FALSE())</f>
        <v>JSUC_00036</v>
      </c>
      <c r="E680" s="24">
        <f>VLOOKUP(C680,'[1]1.CUADRO RESUMEN DE SITIOS '!$C$5:$L$1052,3,FALSE())</f>
        <v>45783</v>
      </c>
      <c r="F680" s="23">
        <f>VLOOKUP(C680,'[1]1.CUADRO RESUMEN DE SITIOS '!$C$5:$L$1052,4,FALSE())</f>
        <v>8.4451000000000001</v>
      </c>
      <c r="G680" s="23">
        <f>VLOOKUP(C680,'[1]1.CUADRO RESUMEN DE SITIOS '!$C$5:$L$1052,5,FALSE())</f>
        <v>-74.642240000000001</v>
      </c>
      <c r="H680" s="23" t="str">
        <f>VLOOKUP(C680,'[1]1.CUADRO RESUMEN DE SITIOS '!$C$5:$L$1052,6,FALSE())</f>
        <v>Sucre</v>
      </c>
      <c r="I680" s="23" t="str">
        <f>VLOOKUP(C680,'[1]1.CUADRO RESUMEN DE SITIOS '!$C$5:$L$1052,7,FALSE())</f>
        <v>WOM</v>
      </c>
      <c r="J680" s="25" t="str">
        <f>VLOOKUP(C680,'[1]1.CUADRO RESUMEN DE SITIOS '!$C$5:$L$1052,8,FALSE())</f>
        <v>COSTA</v>
      </c>
      <c r="K680" s="23" t="str">
        <f>VLOOKUP(C680,'[1]1.CUADRO RESUMEN DE SITIOS '!$C$5:$L$1052,9,FALSE())</f>
        <v>Elkis Sandoval</v>
      </c>
      <c r="L680" s="26" t="str">
        <f>VLOOKUP(C680,'[1]1.CUADRO RESUMEN DE SITIOS '!$C$5:$L$1052,10,FALSE())</f>
        <v>Terminado</v>
      </c>
      <c r="M680" s="26">
        <v>8828118925</v>
      </c>
      <c r="N680" s="26">
        <f>VLOOKUP(M680,[1]LPU!$A$2:$G$1512,2,FALSE())</f>
        <v>87</v>
      </c>
      <c r="O680" s="26" t="str">
        <f>VLOOKUP(M680,[1]LPU!$A$2:$G$1512,3,FALSE)</f>
        <v>Suministro e Instalacion de cable multifilar #4 awg tipo soldador.</v>
      </c>
      <c r="P680" s="26" t="str">
        <f>VLOOKUP(M680,[1]LPU!$A$2:$G$1512,4,FALSE())</f>
        <v>ENERGÍA</v>
      </c>
      <c r="Q680" s="26" t="str">
        <f>VLOOKUP(M680,[1]LPU!$A$2:$G$1512,5,FALSE())</f>
        <v>ML</v>
      </c>
      <c r="R680" s="27">
        <f>VLOOKUP(M680,[1]LPU!$A$2:$G$1512,6,FALSE())</f>
        <v>60815.8</v>
      </c>
      <c r="S680" s="27" t="str">
        <f>VLOOKUP(M680,[1]LPU!$A$2:$G$1512,7,FALSE())</f>
        <v>LPU FLM</v>
      </c>
      <c r="T680" s="28">
        <v>10</v>
      </c>
      <c r="U680" s="29">
        <f t="shared" si="8"/>
        <v>608158</v>
      </c>
      <c r="V680" s="29" t="s">
        <v>77</v>
      </c>
      <c r="W680" s="30"/>
      <c r="X680" s="29" t="s">
        <v>254</v>
      </c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21" customHeight="1" x14ac:dyDescent="0.3">
      <c r="A681" s="22">
        <v>677</v>
      </c>
      <c r="B681" s="23">
        <v>1</v>
      </c>
      <c r="C681" s="23" t="s">
        <v>29</v>
      </c>
      <c r="D681" s="23" t="str">
        <f>VLOOKUP(C681,'[1]1.CUADRO RESUMEN DE SITIOS '!$C$5:$L$1052,2,FALSE())</f>
        <v>JSUC_00036</v>
      </c>
      <c r="E681" s="24">
        <f>VLOOKUP(C681,'[1]1.CUADRO RESUMEN DE SITIOS '!$C$5:$L$1052,3,FALSE())</f>
        <v>45783</v>
      </c>
      <c r="F681" s="23">
        <f>VLOOKUP(C681,'[1]1.CUADRO RESUMEN DE SITIOS '!$C$5:$L$1052,4,FALSE())</f>
        <v>8.4451000000000001</v>
      </c>
      <c r="G681" s="23">
        <f>VLOOKUP(C681,'[1]1.CUADRO RESUMEN DE SITIOS '!$C$5:$L$1052,5,FALSE())</f>
        <v>-74.642240000000001</v>
      </c>
      <c r="H681" s="23" t="str">
        <f>VLOOKUP(C681,'[1]1.CUADRO RESUMEN DE SITIOS '!$C$5:$L$1052,6,FALSE())</f>
        <v>Sucre</v>
      </c>
      <c r="I681" s="23" t="str">
        <f>VLOOKUP(C681,'[1]1.CUADRO RESUMEN DE SITIOS '!$C$5:$L$1052,7,FALSE())</f>
        <v>WOM</v>
      </c>
      <c r="J681" s="25" t="str">
        <f>VLOOKUP(C681,'[1]1.CUADRO RESUMEN DE SITIOS '!$C$5:$L$1052,8,FALSE())</f>
        <v>COSTA</v>
      </c>
      <c r="K681" s="23" t="str">
        <f>VLOOKUP(C681,'[1]1.CUADRO RESUMEN DE SITIOS '!$C$5:$L$1052,9,FALSE())</f>
        <v>Elkis Sandoval</v>
      </c>
      <c r="L681" s="26" t="str">
        <f>VLOOKUP(C681,'[1]1.CUADRO RESUMEN DE SITIOS '!$C$5:$L$1052,10,FALSE())</f>
        <v>Terminado</v>
      </c>
      <c r="M681" s="26">
        <v>8828118868</v>
      </c>
      <c r="N681" s="26">
        <f>VLOOKUP(M681,[1]LPU!$A$2:$G$1512,2,FALSE())</f>
        <v>81</v>
      </c>
      <c r="O681" s="26" t="str">
        <f>VLOOKUP(M681,[1]LPU!$A$2:$G$1512,3,FALSE)</f>
        <v>Suministro e Instalacion de terminal para cable awg # 2 en cobre estañado un ojo</v>
      </c>
      <c r="P681" s="26" t="str">
        <f>VLOOKUP(M681,[1]LPU!$A$2:$G$1512,4,FALSE())</f>
        <v>ENERGÍA</v>
      </c>
      <c r="Q681" s="26" t="str">
        <f>VLOOKUP(M681,[1]LPU!$A$2:$G$1512,5,FALSE())</f>
        <v>U</v>
      </c>
      <c r="R681" s="27">
        <f>VLOOKUP(M681,[1]LPU!$A$2:$G$1512,6,FALSE())</f>
        <v>2347</v>
      </c>
      <c r="S681" s="27" t="str">
        <f>VLOOKUP(M681,[1]LPU!$A$2:$G$1512,7,FALSE())</f>
        <v>LPU FLM</v>
      </c>
      <c r="T681" s="28">
        <v>4</v>
      </c>
      <c r="U681" s="29">
        <f t="shared" si="8"/>
        <v>9388</v>
      </c>
      <c r="V681" s="29" t="s">
        <v>77</v>
      </c>
      <c r="W681" s="30"/>
      <c r="X681" s="29" t="s">
        <v>254</v>
      </c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21" customHeight="1" x14ac:dyDescent="0.3">
      <c r="A682" s="22">
        <v>678</v>
      </c>
      <c r="B682" s="23">
        <v>1</v>
      </c>
      <c r="C682" s="23" t="s">
        <v>29</v>
      </c>
      <c r="D682" s="23" t="str">
        <f>VLOOKUP(C682,'[1]1.CUADRO RESUMEN DE SITIOS '!$C$5:$L$1052,2,FALSE())</f>
        <v>JSUC_00036</v>
      </c>
      <c r="E682" s="24">
        <f>VLOOKUP(C682,'[1]1.CUADRO RESUMEN DE SITIOS '!$C$5:$L$1052,3,FALSE())</f>
        <v>45783</v>
      </c>
      <c r="F682" s="23">
        <f>VLOOKUP(C682,'[1]1.CUADRO RESUMEN DE SITIOS '!$C$5:$L$1052,4,FALSE())</f>
        <v>8.4451000000000001</v>
      </c>
      <c r="G682" s="23">
        <f>VLOOKUP(C682,'[1]1.CUADRO RESUMEN DE SITIOS '!$C$5:$L$1052,5,FALSE())</f>
        <v>-74.642240000000001</v>
      </c>
      <c r="H682" s="23" t="str">
        <f>VLOOKUP(C682,'[1]1.CUADRO RESUMEN DE SITIOS '!$C$5:$L$1052,6,FALSE())</f>
        <v>Sucre</v>
      </c>
      <c r="I682" s="23" t="str">
        <f>VLOOKUP(C682,'[1]1.CUADRO RESUMEN DE SITIOS '!$C$5:$L$1052,7,FALSE())</f>
        <v>WOM</v>
      </c>
      <c r="J682" s="25" t="str">
        <f>VLOOKUP(C682,'[1]1.CUADRO RESUMEN DE SITIOS '!$C$5:$L$1052,8,FALSE())</f>
        <v>COSTA</v>
      </c>
      <c r="K682" s="23" t="str">
        <f>VLOOKUP(C682,'[1]1.CUADRO RESUMEN DE SITIOS '!$C$5:$L$1052,9,FALSE())</f>
        <v>Elkis Sandoval</v>
      </c>
      <c r="L682" s="26" t="str">
        <f>VLOOKUP(C682,'[1]1.CUADRO RESUMEN DE SITIOS '!$C$5:$L$1052,10,FALSE())</f>
        <v>Terminado</v>
      </c>
      <c r="M682" s="26">
        <v>8828119980</v>
      </c>
      <c r="N682" s="26">
        <f>VLOOKUP(M682,[1]LPU!$A$2:$G$1512,2,FALSE())</f>
        <v>169</v>
      </c>
      <c r="O682" s="26" t="str">
        <f>VLOOKUP(M682,[1]LPU!$A$2:$G$1512,3,FALSE)</f>
        <v>Reforzamiento Protección Concreto para Rack de Baterías Incluye Materiales</v>
      </c>
      <c r="P682" s="26" t="str">
        <f>VLOOKUP(M682,[1]LPU!$A$2:$G$1512,4,FALSE())</f>
        <v>LOCATIVO</v>
      </c>
      <c r="Q682" s="26" t="str">
        <f>VLOOKUP(M682,[1]LPU!$A$2:$G$1512,5,FALSE())</f>
        <v>U</v>
      </c>
      <c r="R682" s="27">
        <f>VLOOKUP(M682,[1]LPU!$A$2:$G$1512,6,FALSE())</f>
        <v>114750</v>
      </c>
      <c r="S682" s="27" t="str">
        <f>VLOOKUP(M682,[1]LPU!$A$2:$G$1512,7,FALSE())</f>
        <v>LPU FLM</v>
      </c>
      <c r="T682" s="28">
        <v>1</v>
      </c>
      <c r="U682" s="29">
        <f t="shared" si="8"/>
        <v>114750</v>
      </c>
      <c r="V682" s="29" t="s">
        <v>77</v>
      </c>
      <c r="W682" s="30"/>
      <c r="X682" s="29" t="s">
        <v>254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21" customHeight="1" x14ac:dyDescent="0.3">
      <c r="A683" s="22">
        <v>679</v>
      </c>
      <c r="B683" s="23">
        <v>1</v>
      </c>
      <c r="C683" s="23" t="s">
        <v>29</v>
      </c>
      <c r="D683" s="23" t="str">
        <f>VLOOKUP(C683,'[1]1.CUADRO RESUMEN DE SITIOS '!$C$5:$L$1052,2,FALSE())</f>
        <v>JSUC_00036</v>
      </c>
      <c r="E683" s="24">
        <f>VLOOKUP(C683,'[1]1.CUADRO RESUMEN DE SITIOS '!$C$5:$L$1052,3,FALSE())</f>
        <v>45783</v>
      </c>
      <c r="F683" s="23">
        <f>VLOOKUP(C683,'[1]1.CUADRO RESUMEN DE SITIOS '!$C$5:$L$1052,4,FALSE())</f>
        <v>8.4451000000000001</v>
      </c>
      <c r="G683" s="23">
        <f>VLOOKUP(C683,'[1]1.CUADRO RESUMEN DE SITIOS '!$C$5:$L$1052,5,FALSE())</f>
        <v>-74.642240000000001</v>
      </c>
      <c r="H683" s="23" t="str">
        <f>VLOOKUP(C683,'[1]1.CUADRO RESUMEN DE SITIOS '!$C$5:$L$1052,6,FALSE())</f>
        <v>Sucre</v>
      </c>
      <c r="I683" s="23" t="str">
        <f>VLOOKUP(C683,'[1]1.CUADRO RESUMEN DE SITIOS '!$C$5:$L$1052,7,FALSE())</f>
        <v>WOM</v>
      </c>
      <c r="J683" s="25" t="str">
        <f>VLOOKUP(C683,'[1]1.CUADRO RESUMEN DE SITIOS '!$C$5:$L$1052,8,FALSE())</f>
        <v>COSTA</v>
      </c>
      <c r="K683" s="23" t="str">
        <f>VLOOKUP(C683,'[1]1.CUADRO RESUMEN DE SITIOS '!$C$5:$L$1052,9,FALSE())</f>
        <v>Elkis Sandoval</v>
      </c>
      <c r="L683" s="26" t="str">
        <f>VLOOKUP(C683,'[1]1.CUADRO RESUMEN DE SITIOS '!$C$5:$L$1052,10,FALSE())</f>
        <v>Terminado</v>
      </c>
      <c r="M683" s="26">
        <v>8828119848</v>
      </c>
      <c r="N683" s="26">
        <f>VLOOKUP(M683,[1]LPU!$A$2:$G$1512,2,FALSE())</f>
        <v>157</v>
      </c>
      <c r="O683" s="26" t="str">
        <f>VLOOKUP(M683,[1]LPU!$A$2:$G$1512,3,FALSE)</f>
        <v>Reja para equipo cabinet x 2 baterías</v>
      </c>
      <c r="P683" s="26" t="str">
        <f>VLOOKUP(M683,[1]LPU!$A$2:$G$1512,4,FALSE())</f>
        <v>LOCATIVO</v>
      </c>
      <c r="Q683" s="26" t="str">
        <f>VLOOKUP(M683,[1]LPU!$A$2:$G$1512,5,FALSE())</f>
        <v>U</v>
      </c>
      <c r="R683" s="27">
        <f>VLOOKUP(M683,[1]LPU!$A$2:$G$1512,6,FALSE())</f>
        <v>415303</v>
      </c>
      <c r="S683" s="27" t="str">
        <f>VLOOKUP(M683,[1]LPU!$A$2:$G$1512,7,FALSE())</f>
        <v>LPU FLM</v>
      </c>
      <c r="T683" s="28">
        <v>1</v>
      </c>
      <c r="U683" s="29">
        <f t="shared" si="8"/>
        <v>415303</v>
      </c>
      <c r="V683" s="29" t="s">
        <v>77</v>
      </c>
      <c r="W683" s="30"/>
      <c r="X683" s="29" t="s">
        <v>254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21" customHeight="1" x14ac:dyDescent="0.3">
      <c r="A684" s="22">
        <v>680</v>
      </c>
      <c r="B684" s="23">
        <v>1</v>
      </c>
      <c r="C684" s="23" t="s">
        <v>29</v>
      </c>
      <c r="D684" s="23" t="str">
        <f>VLOOKUP(C684,'[1]1.CUADRO RESUMEN DE SITIOS '!$C$5:$L$1052,2,FALSE())</f>
        <v>JSUC_00036</v>
      </c>
      <c r="E684" s="24">
        <f>VLOOKUP(C684,'[1]1.CUADRO RESUMEN DE SITIOS '!$C$5:$L$1052,3,FALSE())</f>
        <v>45783</v>
      </c>
      <c r="F684" s="23">
        <f>VLOOKUP(C684,'[1]1.CUADRO RESUMEN DE SITIOS '!$C$5:$L$1052,4,FALSE())</f>
        <v>8.4451000000000001</v>
      </c>
      <c r="G684" s="23">
        <f>VLOOKUP(C684,'[1]1.CUADRO RESUMEN DE SITIOS '!$C$5:$L$1052,5,FALSE())</f>
        <v>-74.642240000000001</v>
      </c>
      <c r="H684" s="23" t="str">
        <f>VLOOKUP(C684,'[1]1.CUADRO RESUMEN DE SITIOS '!$C$5:$L$1052,6,FALSE())</f>
        <v>Sucre</v>
      </c>
      <c r="I684" s="23" t="str">
        <f>VLOOKUP(C684,'[1]1.CUADRO RESUMEN DE SITIOS '!$C$5:$L$1052,7,FALSE())</f>
        <v>WOM</v>
      </c>
      <c r="J684" s="25" t="str">
        <f>VLOOKUP(C684,'[1]1.CUADRO RESUMEN DE SITIOS '!$C$5:$L$1052,8,FALSE())</f>
        <v>COSTA</v>
      </c>
      <c r="K684" s="23" t="str">
        <f>VLOOKUP(C684,'[1]1.CUADRO RESUMEN DE SITIOS '!$C$5:$L$1052,9,FALSE())</f>
        <v>Elkis Sandoval</v>
      </c>
      <c r="L684" s="26" t="str">
        <f>VLOOKUP(C684,'[1]1.CUADRO RESUMEN DE SITIOS '!$C$5:$L$1052,10,FALSE())</f>
        <v>Terminado</v>
      </c>
      <c r="M684" s="26">
        <v>8828119045</v>
      </c>
      <c r="N684" s="26">
        <f>VLOOKUP(M684,[1]LPU!$A$2:$G$1512,2,FALSE())</f>
        <v>5.29</v>
      </c>
      <c r="O684" s="26" t="str">
        <f>VLOOKUP(M684,[1]LPU!$A$2:$G$1512,3,FALSE)</f>
        <v>Suministro e instalación de estructura metálica en acero galvanizado para refuerzo, soportes, bases y adecuaciones en general.</v>
      </c>
      <c r="P684" s="26" t="str">
        <f>VLOOKUP(M684,[1]LPU!$A$2:$G$1512,4,FALSE())</f>
        <v>Mantenimiento CW</v>
      </c>
      <c r="Q684" s="26" t="str">
        <f>VLOOKUP(M684,[1]LPU!$A$2:$G$1512,5,FALSE())</f>
        <v>Kg</v>
      </c>
      <c r="R684" s="27">
        <f>VLOOKUP(M684,[1]LPU!$A$2:$G$1512,6,FALSE())</f>
        <v>12911.5</v>
      </c>
      <c r="S684" s="27" t="str">
        <f>VLOOKUP(M684,[1]LPU!$A$2:$G$1512,7,FALSE())</f>
        <v>Mantenimiento CW</v>
      </c>
      <c r="T684" s="28">
        <v>22</v>
      </c>
      <c r="U684" s="29">
        <f t="shared" si="8"/>
        <v>284053</v>
      </c>
      <c r="V684" s="29" t="s">
        <v>77</v>
      </c>
      <c r="W684" s="30"/>
      <c r="X684" s="29" t="s">
        <v>254</v>
      </c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21" customHeight="1" x14ac:dyDescent="0.3">
      <c r="A685" s="22">
        <v>681</v>
      </c>
      <c r="B685" s="23">
        <v>1</v>
      </c>
      <c r="C685" s="23" t="s">
        <v>29</v>
      </c>
      <c r="D685" s="23" t="str">
        <f>VLOOKUP(C685,'[1]1.CUADRO RESUMEN DE SITIOS '!$C$5:$L$1052,2,FALSE())</f>
        <v>JSUC_00036</v>
      </c>
      <c r="E685" s="24">
        <f>VLOOKUP(C685,'[1]1.CUADRO RESUMEN DE SITIOS '!$C$5:$L$1052,3,FALSE())</f>
        <v>45783</v>
      </c>
      <c r="F685" s="23">
        <f>VLOOKUP(C685,'[1]1.CUADRO RESUMEN DE SITIOS '!$C$5:$L$1052,4,FALSE())</f>
        <v>8.4451000000000001</v>
      </c>
      <c r="G685" s="23">
        <f>VLOOKUP(C685,'[1]1.CUADRO RESUMEN DE SITIOS '!$C$5:$L$1052,5,FALSE())</f>
        <v>-74.642240000000001</v>
      </c>
      <c r="H685" s="23" t="str">
        <f>VLOOKUP(C685,'[1]1.CUADRO RESUMEN DE SITIOS '!$C$5:$L$1052,6,FALSE())</f>
        <v>Sucre</v>
      </c>
      <c r="I685" s="23" t="str">
        <f>VLOOKUP(C685,'[1]1.CUADRO RESUMEN DE SITIOS '!$C$5:$L$1052,7,FALSE())</f>
        <v>WOM</v>
      </c>
      <c r="J685" s="25" t="str">
        <f>VLOOKUP(C685,'[1]1.CUADRO RESUMEN DE SITIOS '!$C$5:$L$1052,8,FALSE())</f>
        <v>COSTA</v>
      </c>
      <c r="K685" s="23" t="str">
        <f>VLOOKUP(C685,'[1]1.CUADRO RESUMEN DE SITIOS '!$C$5:$L$1052,9,FALSE())</f>
        <v>Elkis Sandoval</v>
      </c>
      <c r="L685" s="26" t="str">
        <f>VLOOKUP(C685,'[1]1.CUADRO RESUMEN DE SITIOS '!$C$5:$L$1052,10,FALSE())</f>
        <v>Terminado</v>
      </c>
      <c r="M685" s="26">
        <v>8828119599</v>
      </c>
      <c r="N685" s="26">
        <f>VLOOKUP(M685,[1]LPU!$A$2:$G$1512,2,FALSE())</f>
        <v>197</v>
      </c>
      <c r="O685" s="26" t="str">
        <f>VLOOKUP(M685,[1]LPU!$A$2:$G$1512,3,FALSE)</f>
        <v>Transporte de Equipos y Materiales, Carga y Descarga, desde y hacía Bodega Regional. Mas de 1 Tonelada. ZONA 2 (Resolución 5078 de 2016)</v>
      </c>
      <c r="P685" s="26" t="str">
        <f>VLOOKUP(M685,[1]LPU!$A$2:$G$1512,4,FALSE())</f>
        <v>LOCATIVO</v>
      </c>
      <c r="Q685" s="26" t="str">
        <f>VLOOKUP(M685,[1]LPU!$A$2:$G$1512,5,FALSE())</f>
        <v>U</v>
      </c>
      <c r="R685" s="27">
        <f>VLOOKUP(M685,[1]LPU!$A$2:$G$1512,6,FALSE())</f>
        <v>680680</v>
      </c>
      <c r="S685" s="27" t="str">
        <f>VLOOKUP(M685,[1]LPU!$A$2:$G$1512,7,FALSE())</f>
        <v>LPU FLM</v>
      </c>
      <c r="T685" s="28">
        <v>1</v>
      </c>
      <c r="U685" s="29">
        <f t="shared" si="8"/>
        <v>680680</v>
      </c>
      <c r="V685" s="29" t="s">
        <v>77</v>
      </c>
      <c r="W685" s="30"/>
      <c r="X685" s="29" t="s">
        <v>254</v>
      </c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21" customHeight="1" x14ac:dyDescent="0.3">
      <c r="A686" s="22">
        <v>682</v>
      </c>
      <c r="B686" s="23">
        <v>1</v>
      </c>
      <c r="C686" s="23" t="s">
        <v>29</v>
      </c>
      <c r="D686" s="23" t="str">
        <f>VLOOKUP(C686,'[1]1.CUADRO RESUMEN DE SITIOS '!$C$5:$L$1052,2,FALSE())</f>
        <v>JSUC_00036</v>
      </c>
      <c r="E686" s="24">
        <f>VLOOKUP(C686,'[1]1.CUADRO RESUMEN DE SITIOS '!$C$5:$L$1052,3,FALSE())</f>
        <v>45783</v>
      </c>
      <c r="F686" s="23">
        <f>VLOOKUP(C686,'[1]1.CUADRO RESUMEN DE SITIOS '!$C$5:$L$1052,4,FALSE())</f>
        <v>8.4451000000000001</v>
      </c>
      <c r="G686" s="23">
        <f>VLOOKUP(C686,'[1]1.CUADRO RESUMEN DE SITIOS '!$C$5:$L$1052,5,FALSE())</f>
        <v>-74.642240000000001</v>
      </c>
      <c r="H686" s="23" t="str">
        <f>VLOOKUP(C686,'[1]1.CUADRO RESUMEN DE SITIOS '!$C$5:$L$1052,6,FALSE())</f>
        <v>Sucre</v>
      </c>
      <c r="I686" s="23" t="str">
        <f>VLOOKUP(C686,'[1]1.CUADRO RESUMEN DE SITIOS '!$C$5:$L$1052,7,FALSE())</f>
        <v>WOM</v>
      </c>
      <c r="J686" s="25" t="str">
        <f>VLOOKUP(C686,'[1]1.CUADRO RESUMEN DE SITIOS '!$C$5:$L$1052,8,FALSE())</f>
        <v>COSTA</v>
      </c>
      <c r="K686" s="23" t="str">
        <f>VLOOKUP(C686,'[1]1.CUADRO RESUMEN DE SITIOS '!$C$5:$L$1052,9,FALSE())</f>
        <v>Elkis Sandoval</v>
      </c>
      <c r="L686" s="26" t="str">
        <f>VLOOKUP(C686,'[1]1.CUADRO RESUMEN DE SITIOS '!$C$5:$L$1052,10,FALSE())</f>
        <v>Terminado</v>
      </c>
      <c r="M686" s="26">
        <v>8828119110</v>
      </c>
      <c r="N686" s="26">
        <f>VLOOKUP(M686,[1]LPU!$A$2:$G$1512,2,FALSE())</f>
        <v>107</v>
      </c>
      <c r="O686" s="26" t="str">
        <f>VLOOKUP(M686,[1]LPU!$A$2:$G$1512,3,FALSE)</f>
        <v>Mano de Obra Tecnico Electricista Certficado CONTE</v>
      </c>
      <c r="P686" s="26" t="str">
        <f>VLOOKUP(M686,[1]LPU!$A$2:$G$1512,4,FALSE())</f>
        <v>ENERGÍA</v>
      </c>
      <c r="Q686" s="26" t="str">
        <f>VLOOKUP(M686,[1]LPU!$A$2:$G$1512,5,FALSE())</f>
        <v>DIA</v>
      </c>
      <c r="R686" s="27">
        <f>VLOOKUP(M686,[1]LPU!$A$2:$G$1512,6,FALSE())</f>
        <v>136000</v>
      </c>
      <c r="S686" s="27" t="str">
        <f>VLOOKUP(M686,[1]LPU!$A$2:$G$1512,7,FALSE())</f>
        <v>LPU FLM</v>
      </c>
      <c r="T686" s="28">
        <v>1</v>
      </c>
      <c r="U686" s="29">
        <f t="shared" si="8"/>
        <v>136000</v>
      </c>
      <c r="V686" s="29" t="s">
        <v>77</v>
      </c>
      <c r="W686" s="30"/>
      <c r="X686" s="29" t="s">
        <v>254</v>
      </c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21" customHeight="1" x14ac:dyDescent="0.3">
      <c r="A687" s="22">
        <v>683</v>
      </c>
      <c r="B687" s="23">
        <v>1</v>
      </c>
      <c r="C687" s="23" t="s">
        <v>29</v>
      </c>
      <c r="D687" s="23" t="str">
        <f>VLOOKUP(C687,'[1]1.CUADRO RESUMEN DE SITIOS '!$C$5:$L$1052,2,FALSE())</f>
        <v>JSUC_00036</v>
      </c>
      <c r="E687" s="24">
        <f>VLOOKUP(C687,'[1]1.CUADRO RESUMEN DE SITIOS '!$C$5:$L$1052,3,FALSE())</f>
        <v>45783</v>
      </c>
      <c r="F687" s="23">
        <f>VLOOKUP(C687,'[1]1.CUADRO RESUMEN DE SITIOS '!$C$5:$L$1052,4,FALSE())</f>
        <v>8.4451000000000001</v>
      </c>
      <c r="G687" s="23">
        <f>VLOOKUP(C687,'[1]1.CUADRO RESUMEN DE SITIOS '!$C$5:$L$1052,5,FALSE())</f>
        <v>-74.642240000000001</v>
      </c>
      <c r="H687" s="23" t="str">
        <f>VLOOKUP(C687,'[1]1.CUADRO RESUMEN DE SITIOS '!$C$5:$L$1052,6,FALSE())</f>
        <v>Sucre</v>
      </c>
      <c r="I687" s="23" t="str">
        <f>VLOOKUP(C687,'[1]1.CUADRO RESUMEN DE SITIOS '!$C$5:$L$1052,7,FALSE())</f>
        <v>WOM</v>
      </c>
      <c r="J687" s="25" t="str">
        <f>VLOOKUP(C687,'[1]1.CUADRO RESUMEN DE SITIOS '!$C$5:$L$1052,8,FALSE())</f>
        <v>COSTA</v>
      </c>
      <c r="K687" s="23" t="str">
        <f>VLOOKUP(C687,'[1]1.CUADRO RESUMEN DE SITIOS '!$C$5:$L$1052,9,FALSE())</f>
        <v>Elkis Sandoval</v>
      </c>
      <c r="L687" s="26" t="str">
        <f>VLOOKUP(C687,'[1]1.CUADRO RESUMEN DE SITIOS '!$C$5:$L$1052,10,FALSE())</f>
        <v>Terminado</v>
      </c>
      <c r="M687" s="26">
        <v>8828119938</v>
      </c>
      <c r="N687" s="26">
        <f>VLOOKUP(M687,[1]LPU!$A$2:$G$1512,2,FALSE())</f>
        <v>23</v>
      </c>
      <c r="O687" s="26" t="str">
        <f>VLOOKUP(M687,[1]LPU!$A$2:$G$1512,3,FALSE)</f>
        <v>Reubicación de 01 BBU desde gabinete existente hacia nuevo gabinete, incluye conexión de alimentación en ambos planos y etiquetado</v>
      </c>
      <c r="P687" s="26" t="str">
        <f>VLOOKUP(M687,[1]LPU!$A$2:$G$1512,4,FALSE())</f>
        <v>ACCESO</v>
      </c>
      <c r="Q687" s="26" t="str">
        <f>VLOOKUP(M687,[1]LPU!$A$2:$G$1512,5,FALSE())</f>
        <v>Por sector</v>
      </c>
      <c r="R687" s="27">
        <f>VLOOKUP(M687,[1]LPU!$A$2:$G$1512,6,FALSE())</f>
        <v>217413</v>
      </c>
      <c r="S687" s="27" t="str">
        <f>VLOOKUP(M687,[1]LPU!$A$2:$G$1512,7,FALSE())</f>
        <v>LPU FLM</v>
      </c>
      <c r="T687" s="28">
        <v>1</v>
      </c>
      <c r="U687" s="29">
        <f t="shared" si="8"/>
        <v>217413</v>
      </c>
      <c r="V687" s="29" t="s">
        <v>77</v>
      </c>
      <c r="W687" s="30"/>
      <c r="X687" s="29" t="s">
        <v>254</v>
      </c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21" customHeight="1" x14ac:dyDescent="0.3">
      <c r="A688" s="22">
        <v>684</v>
      </c>
      <c r="B688" s="23">
        <v>1</v>
      </c>
      <c r="C688" s="23" t="s">
        <v>29</v>
      </c>
      <c r="D688" s="23" t="str">
        <f>VLOOKUP(C688,'[1]1.CUADRO RESUMEN DE SITIOS '!$C$5:$L$1052,2,FALSE())</f>
        <v>JSUC_00036</v>
      </c>
      <c r="E688" s="24">
        <f>VLOOKUP(C688,'[1]1.CUADRO RESUMEN DE SITIOS '!$C$5:$L$1052,3,FALSE())</f>
        <v>45783</v>
      </c>
      <c r="F688" s="23">
        <f>VLOOKUP(C688,'[1]1.CUADRO RESUMEN DE SITIOS '!$C$5:$L$1052,4,FALSE())</f>
        <v>8.4451000000000001</v>
      </c>
      <c r="G688" s="23">
        <f>VLOOKUP(C688,'[1]1.CUADRO RESUMEN DE SITIOS '!$C$5:$L$1052,5,FALSE())</f>
        <v>-74.642240000000001</v>
      </c>
      <c r="H688" s="23" t="str">
        <f>VLOOKUP(C688,'[1]1.CUADRO RESUMEN DE SITIOS '!$C$5:$L$1052,6,FALSE())</f>
        <v>Sucre</v>
      </c>
      <c r="I688" s="23" t="str">
        <f>VLOOKUP(C688,'[1]1.CUADRO RESUMEN DE SITIOS '!$C$5:$L$1052,7,FALSE())</f>
        <v>WOM</v>
      </c>
      <c r="J688" s="25" t="str">
        <f>VLOOKUP(C688,'[1]1.CUADRO RESUMEN DE SITIOS '!$C$5:$L$1052,8,FALSE())</f>
        <v>COSTA</v>
      </c>
      <c r="K688" s="23" t="str">
        <f>VLOOKUP(C688,'[1]1.CUADRO RESUMEN DE SITIOS '!$C$5:$L$1052,9,FALSE())</f>
        <v>Elkis Sandoval</v>
      </c>
      <c r="L688" s="26" t="str">
        <f>VLOOKUP(C688,'[1]1.CUADRO RESUMEN DE SITIOS '!$C$5:$L$1052,10,FALSE())</f>
        <v>Terminado</v>
      </c>
      <c r="M688" s="26">
        <v>8828119402</v>
      </c>
      <c r="N688" s="26">
        <f>VLOOKUP(M688,[1]LPU!$A$2:$G$1512,2,FALSE())</f>
        <v>4</v>
      </c>
      <c r="O688" s="26" t="str">
        <f>VLOOKUP(M688,[1]LPU!$A$2:$G$1512,3,FALSE)</f>
        <v>Apertura y Cierre de Reja de Seguridad para Revisión de Baterías</v>
      </c>
      <c r="P688" s="26" t="str">
        <f>VLOOKUP(M688,[1]LPU!$A$2:$G$1512,4,FALSE())</f>
        <v>ACCESO</v>
      </c>
      <c r="Q688" s="26" t="str">
        <f>VLOOKUP(M688,[1]LPU!$A$2:$G$1512,5,FALSE())</f>
        <v>U</v>
      </c>
      <c r="R688" s="27">
        <f>VLOOKUP(M688,[1]LPU!$A$2:$G$1512,6,FALSE())</f>
        <v>96900</v>
      </c>
      <c r="S688" s="27" t="str">
        <f>VLOOKUP(M688,[1]LPU!$A$2:$G$1512,7,FALSE())</f>
        <v>LPU FLM</v>
      </c>
      <c r="T688" s="28">
        <v>1</v>
      </c>
      <c r="U688" s="29">
        <f t="shared" si="8"/>
        <v>96900</v>
      </c>
      <c r="V688" s="29" t="s">
        <v>77</v>
      </c>
      <c r="W688" s="30"/>
      <c r="X688" s="29" t="s">
        <v>254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21" customHeight="1" x14ac:dyDescent="0.3">
      <c r="A689" s="22">
        <v>685</v>
      </c>
      <c r="B689" s="23">
        <v>1</v>
      </c>
      <c r="C689" s="23" t="s">
        <v>29</v>
      </c>
      <c r="D689" s="23" t="str">
        <f>VLOOKUP(C689,'[1]1.CUADRO RESUMEN DE SITIOS '!$C$5:$L$1052,2,FALSE())</f>
        <v>JSUC_00036</v>
      </c>
      <c r="E689" s="24">
        <f>VLOOKUP(C689,'[1]1.CUADRO RESUMEN DE SITIOS '!$C$5:$L$1052,3,FALSE())</f>
        <v>45783</v>
      </c>
      <c r="F689" s="23">
        <f>VLOOKUP(C689,'[1]1.CUADRO RESUMEN DE SITIOS '!$C$5:$L$1052,4,FALSE())</f>
        <v>8.4451000000000001</v>
      </c>
      <c r="G689" s="23">
        <f>VLOOKUP(C689,'[1]1.CUADRO RESUMEN DE SITIOS '!$C$5:$L$1052,5,FALSE())</f>
        <v>-74.642240000000001</v>
      </c>
      <c r="H689" s="23" t="str">
        <f>VLOOKUP(C689,'[1]1.CUADRO RESUMEN DE SITIOS '!$C$5:$L$1052,6,FALSE())</f>
        <v>Sucre</v>
      </c>
      <c r="I689" s="23" t="str">
        <f>VLOOKUP(C689,'[1]1.CUADRO RESUMEN DE SITIOS '!$C$5:$L$1052,7,FALSE())</f>
        <v>WOM</v>
      </c>
      <c r="J689" s="25" t="str">
        <f>VLOOKUP(C689,'[1]1.CUADRO RESUMEN DE SITIOS '!$C$5:$L$1052,8,FALSE())</f>
        <v>COSTA</v>
      </c>
      <c r="K689" s="23" t="str">
        <f>VLOOKUP(C689,'[1]1.CUADRO RESUMEN DE SITIOS '!$C$5:$L$1052,9,FALSE())</f>
        <v>Elkis Sandoval</v>
      </c>
      <c r="L689" s="26" t="str">
        <f>VLOOKUP(C689,'[1]1.CUADRO RESUMEN DE SITIOS '!$C$5:$L$1052,10,FALSE())</f>
        <v>Terminado</v>
      </c>
      <c r="M689" s="26">
        <v>8828119250</v>
      </c>
      <c r="N689" s="26">
        <f>VLOOKUP(M689,[1]LPU!$A$2:$G$1512,2,FALSE())</f>
        <v>0</v>
      </c>
      <c r="O689" s="26" t="str">
        <f>VLOOKUP(M689,[1]LPU!$A$2:$G$1512,3,FALSE)</f>
        <v>Suministro e instalación coraza americana de 1 1/2" - Incluye 100% accesorios</v>
      </c>
      <c r="P689" s="26" t="str">
        <f>VLOOKUP(M689,[1]LPU!$A$2:$G$1512,4,FALSE())</f>
        <v>Variables</v>
      </c>
      <c r="Q689" s="26" t="str">
        <f>VLOOKUP(M689,[1]LPU!$A$2:$G$1512,5,FALSE())</f>
        <v>ml</v>
      </c>
      <c r="R689" s="27">
        <f>VLOOKUP(M689,[1]LPU!$A$2:$G$1512,6,FALSE())</f>
        <v>12410</v>
      </c>
      <c r="S689" s="27" t="str">
        <f>VLOOKUP(M689,[1]LPU!$A$2:$G$1512,7,FALSE())</f>
        <v>LPU FO</v>
      </c>
      <c r="T689" s="28">
        <v>8</v>
      </c>
      <c r="U689" s="29">
        <f t="shared" si="8"/>
        <v>99280</v>
      </c>
      <c r="V689" s="29" t="s">
        <v>77</v>
      </c>
      <c r="W689" s="30"/>
      <c r="X689" s="29" t="s">
        <v>254</v>
      </c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ht="21" customHeight="1" x14ac:dyDescent="0.3">
      <c r="A690" s="22">
        <v>686</v>
      </c>
      <c r="B690" s="23">
        <v>1</v>
      </c>
      <c r="C690" s="23" t="s">
        <v>273</v>
      </c>
      <c r="D690" s="23" t="str">
        <f>VLOOKUP(C690,'[1]1.CUADRO RESUMEN DE SITIOS '!$C$5:$L$1052,2,FALSE())</f>
        <v>JSUC_00011</v>
      </c>
      <c r="E690" s="24">
        <f>VLOOKUP(C690,'[1]1.CUADRO RESUMEN DE SITIOS '!$C$5:$L$1052,3,FALSE())</f>
        <v>45942</v>
      </c>
      <c r="F690" s="23">
        <f>VLOOKUP(C690,'[1]1.CUADRO RESUMEN DE SITIOS '!$C$5:$L$1052,4,FALSE())</f>
        <v>8.4349100000000004</v>
      </c>
      <c r="G690" s="23">
        <f>VLOOKUP(C690,'[1]1.CUADRO RESUMEN DE SITIOS '!$C$5:$L$1052,5,FALSE())</f>
        <v>-74.698459999999997</v>
      </c>
      <c r="H690" s="23" t="str">
        <f>VLOOKUP(C690,'[1]1.CUADRO RESUMEN DE SITIOS '!$C$5:$L$1052,6,FALSE())</f>
        <v>Sucre</v>
      </c>
      <c r="I690" s="23" t="str">
        <f>VLOOKUP(C690,'[1]1.CUADRO RESUMEN DE SITIOS '!$C$5:$L$1052,7,FALSE())</f>
        <v>WOM</v>
      </c>
      <c r="J690" s="25" t="str">
        <f>VLOOKUP(C690,'[1]1.CUADRO RESUMEN DE SITIOS '!$C$5:$L$1052,8,FALSE())</f>
        <v>COSTA</v>
      </c>
      <c r="K690" s="23" t="str">
        <f>VLOOKUP(C690,'[1]1.CUADRO RESUMEN DE SITIOS '!$C$5:$L$1052,9,FALSE())</f>
        <v>Alfredo de la Cruz</v>
      </c>
      <c r="L690" s="26" t="str">
        <f>VLOOKUP(C690,'[1]1.CUADRO RESUMEN DE SITIOS '!$C$5:$L$1052,10,FALSE())</f>
        <v>Terminado</v>
      </c>
      <c r="M690" s="26">
        <v>8828119492</v>
      </c>
      <c r="N690" s="26">
        <f>VLOOKUP(M690,[1]LPU!$A$2:$G$1512,2,FALSE())</f>
        <v>53</v>
      </c>
      <c r="O690" s="26" t="str">
        <f>VLOOKUP(M690,[1]LPU!$A$2:$G$1512,3,FALSE)</f>
        <v>Instalación Banco de Baterias para Rectificadores - Aplica para ampliaciones.</v>
      </c>
      <c r="P690" s="26" t="str">
        <f>VLOOKUP(M690,[1]LPU!$A$2:$G$1512,4,FALSE())</f>
        <v>ENERGÍA</v>
      </c>
      <c r="Q690" s="26" t="str">
        <f>VLOOKUP(M690,[1]LPU!$A$2:$G$1512,5,FALSE())</f>
        <v>U</v>
      </c>
      <c r="R690" s="27">
        <f>VLOOKUP(M690,[1]LPU!$A$2:$G$1512,6,FALSE())</f>
        <v>102340</v>
      </c>
      <c r="S690" s="27" t="str">
        <f>VLOOKUP(M690,[1]LPU!$A$2:$G$1512,7,FALSE())</f>
        <v>LPU FLM</v>
      </c>
      <c r="T690" s="28">
        <v>1</v>
      </c>
      <c r="U690" s="29">
        <f t="shared" si="8"/>
        <v>102340</v>
      </c>
      <c r="V690" s="29" t="s">
        <v>77</v>
      </c>
      <c r="W690" s="30"/>
      <c r="X690" s="29" t="s">
        <v>274</v>
      </c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ht="21" customHeight="1" x14ac:dyDescent="0.3">
      <c r="A691" s="22">
        <v>687</v>
      </c>
      <c r="B691" s="23">
        <v>1</v>
      </c>
      <c r="C691" s="23" t="s">
        <v>273</v>
      </c>
      <c r="D691" s="23" t="str">
        <f>VLOOKUP(C691,'[1]1.CUADRO RESUMEN DE SITIOS '!$C$5:$L$1052,2,FALSE())</f>
        <v>JSUC_00011</v>
      </c>
      <c r="E691" s="24">
        <f>VLOOKUP(C691,'[1]1.CUADRO RESUMEN DE SITIOS '!$C$5:$L$1052,3,FALSE())</f>
        <v>45942</v>
      </c>
      <c r="F691" s="23">
        <f>VLOOKUP(C691,'[1]1.CUADRO RESUMEN DE SITIOS '!$C$5:$L$1052,4,FALSE())</f>
        <v>8.4349100000000004</v>
      </c>
      <c r="G691" s="23">
        <f>VLOOKUP(C691,'[1]1.CUADRO RESUMEN DE SITIOS '!$C$5:$L$1052,5,FALSE())</f>
        <v>-74.698459999999997</v>
      </c>
      <c r="H691" s="23" t="str">
        <f>VLOOKUP(C691,'[1]1.CUADRO RESUMEN DE SITIOS '!$C$5:$L$1052,6,FALSE())</f>
        <v>Sucre</v>
      </c>
      <c r="I691" s="23" t="str">
        <f>VLOOKUP(C691,'[1]1.CUADRO RESUMEN DE SITIOS '!$C$5:$L$1052,7,FALSE())</f>
        <v>WOM</v>
      </c>
      <c r="J691" s="25" t="str">
        <f>VLOOKUP(C691,'[1]1.CUADRO RESUMEN DE SITIOS '!$C$5:$L$1052,8,FALSE())</f>
        <v>COSTA</v>
      </c>
      <c r="K691" s="23" t="str">
        <f>VLOOKUP(C691,'[1]1.CUADRO RESUMEN DE SITIOS '!$C$5:$L$1052,9,FALSE())</f>
        <v>Alfredo de la Cruz</v>
      </c>
      <c r="L691" s="26" t="str">
        <f>VLOOKUP(C691,'[1]1.CUADRO RESUMEN DE SITIOS '!$C$5:$L$1052,10,FALSE())</f>
        <v>Terminado</v>
      </c>
      <c r="M691" s="26">
        <v>8828119512</v>
      </c>
      <c r="N691" s="26">
        <f>VLOOKUP(M691,[1]LPU!$A$2:$G$1512,2,FALSE())</f>
        <v>55</v>
      </c>
      <c r="O691" s="26" t="str">
        <f>VLOOKUP(M691,[1]LPU!$A$2:$G$1512,3,FALSE)</f>
        <v>Transporte Banco de Baterias</v>
      </c>
      <c r="P691" s="26" t="str">
        <f>VLOOKUP(M691,[1]LPU!$A$2:$G$1512,4,FALSE())</f>
        <v>ENERGÍA</v>
      </c>
      <c r="Q691" s="26" t="str">
        <f>VLOOKUP(M691,[1]LPU!$A$2:$G$1512,5,FALSE())</f>
        <v>U</v>
      </c>
      <c r="R691" s="27">
        <f>VLOOKUP(M691,[1]LPU!$A$2:$G$1512,6,FALSE())</f>
        <v>82212</v>
      </c>
      <c r="S691" s="27" t="str">
        <f>VLOOKUP(M691,[1]LPU!$A$2:$G$1512,7,FALSE())</f>
        <v>LPU FLM</v>
      </c>
      <c r="T691" s="28">
        <v>1</v>
      </c>
      <c r="U691" s="29">
        <f t="shared" si="8"/>
        <v>82212</v>
      </c>
      <c r="V691" s="29" t="s">
        <v>77</v>
      </c>
      <c r="W691" s="30"/>
      <c r="X691" s="29" t="s">
        <v>274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ht="21" customHeight="1" x14ac:dyDescent="0.3">
      <c r="A692" s="22">
        <v>688</v>
      </c>
      <c r="B692" s="23">
        <v>1</v>
      </c>
      <c r="C692" s="23" t="s">
        <v>273</v>
      </c>
      <c r="D692" s="23" t="str">
        <f>VLOOKUP(C692,'[1]1.CUADRO RESUMEN DE SITIOS '!$C$5:$L$1052,2,FALSE())</f>
        <v>JSUC_00011</v>
      </c>
      <c r="E692" s="24">
        <f>VLOOKUP(C692,'[1]1.CUADRO RESUMEN DE SITIOS '!$C$5:$L$1052,3,FALSE())</f>
        <v>45942</v>
      </c>
      <c r="F692" s="23">
        <f>VLOOKUP(C692,'[1]1.CUADRO RESUMEN DE SITIOS '!$C$5:$L$1052,4,FALSE())</f>
        <v>8.4349100000000004</v>
      </c>
      <c r="G692" s="23">
        <f>VLOOKUP(C692,'[1]1.CUADRO RESUMEN DE SITIOS '!$C$5:$L$1052,5,FALSE())</f>
        <v>-74.698459999999997</v>
      </c>
      <c r="H692" s="23" t="str">
        <f>VLOOKUP(C692,'[1]1.CUADRO RESUMEN DE SITIOS '!$C$5:$L$1052,6,FALSE())</f>
        <v>Sucre</v>
      </c>
      <c r="I692" s="23" t="str">
        <f>VLOOKUP(C692,'[1]1.CUADRO RESUMEN DE SITIOS '!$C$5:$L$1052,7,FALSE())</f>
        <v>WOM</v>
      </c>
      <c r="J692" s="25" t="str">
        <f>VLOOKUP(C692,'[1]1.CUADRO RESUMEN DE SITIOS '!$C$5:$L$1052,8,FALSE())</f>
        <v>COSTA</v>
      </c>
      <c r="K692" s="23" t="str">
        <f>VLOOKUP(C692,'[1]1.CUADRO RESUMEN DE SITIOS '!$C$5:$L$1052,9,FALSE())</f>
        <v>Alfredo de la Cruz</v>
      </c>
      <c r="L692" s="26" t="str">
        <f>VLOOKUP(C692,'[1]1.CUADRO RESUMEN DE SITIOS '!$C$5:$L$1052,10,FALSE())</f>
        <v>Terminado</v>
      </c>
      <c r="M692" s="26">
        <v>8828118999</v>
      </c>
      <c r="N692" s="26">
        <f>VLOOKUP(M692,[1]LPU!$A$2:$G$1512,2,FALSE())</f>
        <v>0</v>
      </c>
      <c r="O692" s="26" t="str">
        <f>VLOOKUP(M692,[1]LPU!$A$2:$G$1512,3,FALSE)</f>
        <v>Suministro e instalación de cable UTP Categoría 6, con conectores en sus extremos, certificado</v>
      </c>
      <c r="P692" s="26" t="str">
        <f>VLOOKUP(M692,[1]LPU!$A$2:$G$1512,4,FALSE())</f>
        <v>Item Critico</v>
      </c>
      <c r="Q692" s="26" t="str">
        <f>VLOOKUP(M692,[1]LPU!$A$2:$G$1512,5,FALSE())</f>
        <v>m</v>
      </c>
      <c r="R692" s="27">
        <f>VLOOKUP(M692,[1]LPU!$A$2:$G$1512,6,FALSE())</f>
        <v>5913</v>
      </c>
      <c r="S692" s="27" t="str">
        <f>VLOOKUP(M692,[1]LPU!$A$2:$G$1512,7,FALSE())</f>
        <v>LPU FO Propia</v>
      </c>
      <c r="T692" s="28">
        <v>3</v>
      </c>
      <c r="U692" s="29">
        <f t="shared" si="8"/>
        <v>17739</v>
      </c>
      <c r="V692" s="29" t="s">
        <v>77</v>
      </c>
      <c r="W692" s="30"/>
      <c r="X692" s="29" t="s">
        <v>274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ht="21" customHeight="1" x14ac:dyDescent="0.3">
      <c r="A693" s="22">
        <v>689</v>
      </c>
      <c r="B693" s="23">
        <v>1</v>
      </c>
      <c r="C693" s="23" t="s">
        <v>273</v>
      </c>
      <c r="D693" s="23" t="str">
        <f>VLOOKUP(C693,'[1]1.CUADRO RESUMEN DE SITIOS '!$C$5:$L$1052,2,FALSE())</f>
        <v>JSUC_00011</v>
      </c>
      <c r="E693" s="24">
        <f>VLOOKUP(C693,'[1]1.CUADRO RESUMEN DE SITIOS '!$C$5:$L$1052,3,FALSE())</f>
        <v>45942</v>
      </c>
      <c r="F693" s="23">
        <f>VLOOKUP(C693,'[1]1.CUADRO RESUMEN DE SITIOS '!$C$5:$L$1052,4,FALSE())</f>
        <v>8.4349100000000004</v>
      </c>
      <c r="G693" s="23">
        <f>VLOOKUP(C693,'[1]1.CUADRO RESUMEN DE SITIOS '!$C$5:$L$1052,5,FALSE())</f>
        <v>-74.698459999999997</v>
      </c>
      <c r="H693" s="23" t="str">
        <f>VLOOKUP(C693,'[1]1.CUADRO RESUMEN DE SITIOS '!$C$5:$L$1052,6,FALSE())</f>
        <v>Sucre</v>
      </c>
      <c r="I693" s="23" t="str">
        <f>VLOOKUP(C693,'[1]1.CUADRO RESUMEN DE SITIOS '!$C$5:$L$1052,7,FALSE())</f>
        <v>WOM</v>
      </c>
      <c r="J693" s="25" t="str">
        <f>VLOOKUP(C693,'[1]1.CUADRO RESUMEN DE SITIOS '!$C$5:$L$1052,8,FALSE())</f>
        <v>COSTA</v>
      </c>
      <c r="K693" s="23" t="str">
        <f>VLOOKUP(C693,'[1]1.CUADRO RESUMEN DE SITIOS '!$C$5:$L$1052,9,FALSE())</f>
        <v>Alfredo de la Cruz</v>
      </c>
      <c r="L693" s="26" t="str">
        <f>VLOOKUP(C693,'[1]1.CUADRO RESUMEN DE SITIOS '!$C$5:$L$1052,10,FALSE())</f>
        <v>Terminado</v>
      </c>
      <c r="M693" s="26">
        <v>8828118925</v>
      </c>
      <c r="N693" s="26">
        <f>VLOOKUP(M693,[1]LPU!$A$2:$G$1512,2,FALSE())</f>
        <v>87</v>
      </c>
      <c r="O693" s="26" t="str">
        <f>VLOOKUP(M693,[1]LPU!$A$2:$G$1512,3,FALSE)</f>
        <v>Suministro e Instalacion de cable multifilar #4 awg tipo soldador.</v>
      </c>
      <c r="P693" s="26" t="str">
        <f>VLOOKUP(M693,[1]LPU!$A$2:$G$1512,4,FALSE())</f>
        <v>ENERGÍA</v>
      </c>
      <c r="Q693" s="26" t="str">
        <f>VLOOKUP(M693,[1]LPU!$A$2:$G$1512,5,FALSE())</f>
        <v>ML</v>
      </c>
      <c r="R693" s="27">
        <f>VLOOKUP(M693,[1]LPU!$A$2:$G$1512,6,FALSE())</f>
        <v>60815.8</v>
      </c>
      <c r="S693" s="27" t="str">
        <f>VLOOKUP(M693,[1]LPU!$A$2:$G$1512,7,FALSE())</f>
        <v>LPU FLM</v>
      </c>
      <c r="T693" s="28">
        <v>10</v>
      </c>
      <c r="U693" s="29">
        <f t="shared" si="8"/>
        <v>608158</v>
      </c>
      <c r="V693" s="29" t="s">
        <v>77</v>
      </c>
      <c r="W693" s="30"/>
      <c r="X693" s="29" t="s">
        <v>274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ht="21" customHeight="1" x14ac:dyDescent="0.3">
      <c r="A694" s="22">
        <v>690</v>
      </c>
      <c r="B694" s="23">
        <v>1</v>
      </c>
      <c r="C694" s="23" t="s">
        <v>273</v>
      </c>
      <c r="D694" s="23" t="str">
        <f>VLOOKUP(C694,'[1]1.CUADRO RESUMEN DE SITIOS '!$C$5:$L$1052,2,FALSE())</f>
        <v>JSUC_00011</v>
      </c>
      <c r="E694" s="24">
        <f>VLOOKUP(C694,'[1]1.CUADRO RESUMEN DE SITIOS '!$C$5:$L$1052,3,FALSE())</f>
        <v>45942</v>
      </c>
      <c r="F694" s="23">
        <f>VLOOKUP(C694,'[1]1.CUADRO RESUMEN DE SITIOS '!$C$5:$L$1052,4,FALSE())</f>
        <v>8.4349100000000004</v>
      </c>
      <c r="G694" s="23">
        <f>VLOOKUP(C694,'[1]1.CUADRO RESUMEN DE SITIOS '!$C$5:$L$1052,5,FALSE())</f>
        <v>-74.698459999999997</v>
      </c>
      <c r="H694" s="23" t="str">
        <f>VLOOKUP(C694,'[1]1.CUADRO RESUMEN DE SITIOS '!$C$5:$L$1052,6,FALSE())</f>
        <v>Sucre</v>
      </c>
      <c r="I694" s="23" t="str">
        <f>VLOOKUP(C694,'[1]1.CUADRO RESUMEN DE SITIOS '!$C$5:$L$1052,7,FALSE())</f>
        <v>WOM</v>
      </c>
      <c r="J694" s="25" t="str">
        <f>VLOOKUP(C694,'[1]1.CUADRO RESUMEN DE SITIOS '!$C$5:$L$1052,8,FALSE())</f>
        <v>COSTA</v>
      </c>
      <c r="K694" s="23" t="str">
        <f>VLOOKUP(C694,'[1]1.CUADRO RESUMEN DE SITIOS '!$C$5:$L$1052,9,FALSE())</f>
        <v>Alfredo de la Cruz</v>
      </c>
      <c r="L694" s="26" t="str">
        <f>VLOOKUP(C694,'[1]1.CUADRO RESUMEN DE SITIOS '!$C$5:$L$1052,10,FALSE())</f>
        <v>Terminado</v>
      </c>
      <c r="M694" s="26">
        <v>8828118868</v>
      </c>
      <c r="N694" s="26">
        <f>VLOOKUP(M694,[1]LPU!$A$2:$G$1512,2,FALSE())</f>
        <v>81</v>
      </c>
      <c r="O694" s="26" t="str">
        <f>VLOOKUP(M694,[1]LPU!$A$2:$G$1512,3,FALSE)</f>
        <v>Suministro e Instalacion de terminal para cable awg # 2 en cobre estañado un ojo</v>
      </c>
      <c r="P694" s="26" t="str">
        <f>VLOOKUP(M694,[1]LPU!$A$2:$G$1512,4,FALSE())</f>
        <v>ENERGÍA</v>
      </c>
      <c r="Q694" s="26" t="str">
        <f>VLOOKUP(M694,[1]LPU!$A$2:$G$1512,5,FALSE())</f>
        <v>U</v>
      </c>
      <c r="R694" s="27">
        <f>VLOOKUP(M694,[1]LPU!$A$2:$G$1512,6,FALSE())</f>
        <v>2347</v>
      </c>
      <c r="S694" s="27" t="str">
        <f>VLOOKUP(M694,[1]LPU!$A$2:$G$1512,7,FALSE())</f>
        <v>LPU FLM</v>
      </c>
      <c r="T694" s="28">
        <v>4</v>
      </c>
      <c r="U694" s="29">
        <f t="shared" si="8"/>
        <v>9388</v>
      </c>
      <c r="V694" s="29" t="s">
        <v>77</v>
      </c>
      <c r="W694" s="30"/>
      <c r="X694" s="29" t="s">
        <v>274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ht="21" customHeight="1" x14ac:dyDescent="0.3">
      <c r="A695" s="22">
        <v>691</v>
      </c>
      <c r="B695" s="23">
        <v>1</v>
      </c>
      <c r="C695" s="23" t="s">
        <v>273</v>
      </c>
      <c r="D695" s="23" t="str">
        <f>VLOOKUP(C695,'[1]1.CUADRO RESUMEN DE SITIOS '!$C$5:$L$1052,2,FALSE())</f>
        <v>JSUC_00011</v>
      </c>
      <c r="E695" s="24">
        <f>VLOOKUP(C695,'[1]1.CUADRO RESUMEN DE SITIOS '!$C$5:$L$1052,3,FALSE())</f>
        <v>45942</v>
      </c>
      <c r="F695" s="23">
        <f>VLOOKUP(C695,'[1]1.CUADRO RESUMEN DE SITIOS '!$C$5:$L$1052,4,FALSE())</f>
        <v>8.4349100000000004</v>
      </c>
      <c r="G695" s="23">
        <f>VLOOKUP(C695,'[1]1.CUADRO RESUMEN DE SITIOS '!$C$5:$L$1052,5,FALSE())</f>
        <v>-74.698459999999997</v>
      </c>
      <c r="H695" s="23" t="str">
        <f>VLOOKUP(C695,'[1]1.CUADRO RESUMEN DE SITIOS '!$C$5:$L$1052,6,FALSE())</f>
        <v>Sucre</v>
      </c>
      <c r="I695" s="23" t="str">
        <f>VLOOKUP(C695,'[1]1.CUADRO RESUMEN DE SITIOS '!$C$5:$L$1052,7,FALSE())</f>
        <v>WOM</v>
      </c>
      <c r="J695" s="25" t="str">
        <f>VLOOKUP(C695,'[1]1.CUADRO RESUMEN DE SITIOS '!$C$5:$L$1052,8,FALSE())</f>
        <v>COSTA</v>
      </c>
      <c r="K695" s="23" t="str">
        <f>VLOOKUP(C695,'[1]1.CUADRO RESUMEN DE SITIOS '!$C$5:$L$1052,9,FALSE())</f>
        <v>Alfredo de la Cruz</v>
      </c>
      <c r="L695" s="26" t="str">
        <f>VLOOKUP(C695,'[1]1.CUADRO RESUMEN DE SITIOS '!$C$5:$L$1052,10,FALSE())</f>
        <v>Terminado</v>
      </c>
      <c r="M695" s="26">
        <v>8828119980</v>
      </c>
      <c r="N695" s="26">
        <f>VLOOKUP(M695,[1]LPU!$A$2:$G$1512,2,FALSE())</f>
        <v>169</v>
      </c>
      <c r="O695" s="26" t="str">
        <f>VLOOKUP(M695,[1]LPU!$A$2:$G$1512,3,FALSE)</f>
        <v>Reforzamiento Protección Concreto para Rack de Baterías Incluye Materiales</v>
      </c>
      <c r="P695" s="26" t="str">
        <f>VLOOKUP(M695,[1]LPU!$A$2:$G$1512,4,FALSE())</f>
        <v>LOCATIVO</v>
      </c>
      <c r="Q695" s="26" t="str">
        <f>VLOOKUP(M695,[1]LPU!$A$2:$G$1512,5,FALSE())</f>
        <v>U</v>
      </c>
      <c r="R695" s="27">
        <f>VLOOKUP(M695,[1]LPU!$A$2:$G$1512,6,FALSE())</f>
        <v>114750</v>
      </c>
      <c r="S695" s="27" t="str">
        <f>VLOOKUP(M695,[1]LPU!$A$2:$G$1512,7,FALSE())</f>
        <v>LPU FLM</v>
      </c>
      <c r="T695" s="28">
        <v>1</v>
      </c>
      <c r="U695" s="29">
        <f t="shared" si="8"/>
        <v>114750</v>
      </c>
      <c r="V695" s="29" t="s">
        <v>77</v>
      </c>
      <c r="W695" s="30"/>
      <c r="X695" s="29" t="s">
        <v>274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ht="21" customHeight="1" x14ac:dyDescent="0.3">
      <c r="A696" s="22">
        <v>692</v>
      </c>
      <c r="B696" s="23">
        <v>1</v>
      </c>
      <c r="C696" s="23" t="s">
        <v>273</v>
      </c>
      <c r="D696" s="23" t="str">
        <f>VLOOKUP(C696,'[1]1.CUADRO RESUMEN DE SITIOS '!$C$5:$L$1052,2,FALSE())</f>
        <v>JSUC_00011</v>
      </c>
      <c r="E696" s="24">
        <f>VLOOKUP(C696,'[1]1.CUADRO RESUMEN DE SITIOS '!$C$5:$L$1052,3,FALSE())</f>
        <v>45942</v>
      </c>
      <c r="F696" s="23">
        <f>VLOOKUP(C696,'[1]1.CUADRO RESUMEN DE SITIOS '!$C$5:$L$1052,4,FALSE())</f>
        <v>8.4349100000000004</v>
      </c>
      <c r="G696" s="23">
        <f>VLOOKUP(C696,'[1]1.CUADRO RESUMEN DE SITIOS '!$C$5:$L$1052,5,FALSE())</f>
        <v>-74.698459999999997</v>
      </c>
      <c r="H696" s="23" t="str">
        <f>VLOOKUP(C696,'[1]1.CUADRO RESUMEN DE SITIOS '!$C$5:$L$1052,6,FALSE())</f>
        <v>Sucre</v>
      </c>
      <c r="I696" s="23" t="str">
        <f>VLOOKUP(C696,'[1]1.CUADRO RESUMEN DE SITIOS '!$C$5:$L$1052,7,FALSE())</f>
        <v>WOM</v>
      </c>
      <c r="J696" s="25" t="str">
        <f>VLOOKUP(C696,'[1]1.CUADRO RESUMEN DE SITIOS '!$C$5:$L$1052,8,FALSE())</f>
        <v>COSTA</v>
      </c>
      <c r="K696" s="23" t="str">
        <f>VLOOKUP(C696,'[1]1.CUADRO RESUMEN DE SITIOS '!$C$5:$L$1052,9,FALSE())</f>
        <v>Alfredo de la Cruz</v>
      </c>
      <c r="L696" s="26" t="str">
        <f>VLOOKUP(C696,'[1]1.CUADRO RESUMEN DE SITIOS '!$C$5:$L$1052,10,FALSE())</f>
        <v>Terminado</v>
      </c>
      <c r="M696" s="26">
        <v>8828119848</v>
      </c>
      <c r="N696" s="26">
        <f>VLOOKUP(M696,[1]LPU!$A$2:$G$1512,2,FALSE())</f>
        <v>157</v>
      </c>
      <c r="O696" s="26" t="str">
        <f>VLOOKUP(M696,[1]LPU!$A$2:$G$1512,3,FALSE)</f>
        <v>Reja para equipo cabinet x 2 baterías</v>
      </c>
      <c r="P696" s="26" t="str">
        <f>VLOOKUP(M696,[1]LPU!$A$2:$G$1512,4,FALSE())</f>
        <v>LOCATIVO</v>
      </c>
      <c r="Q696" s="26" t="str">
        <f>VLOOKUP(M696,[1]LPU!$A$2:$G$1512,5,FALSE())</f>
        <v>U</v>
      </c>
      <c r="R696" s="27">
        <f>VLOOKUP(M696,[1]LPU!$A$2:$G$1512,6,FALSE())</f>
        <v>415303</v>
      </c>
      <c r="S696" s="27" t="str">
        <f>VLOOKUP(M696,[1]LPU!$A$2:$G$1512,7,FALSE())</f>
        <v>LPU FLM</v>
      </c>
      <c r="T696" s="28">
        <v>1</v>
      </c>
      <c r="U696" s="29">
        <f t="shared" si="8"/>
        <v>415303</v>
      </c>
      <c r="V696" s="29" t="s">
        <v>77</v>
      </c>
      <c r="W696" s="30"/>
      <c r="X696" s="29" t="s">
        <v>274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ht="21" customHeight="1" x14ac:dyDescent="0.3">
      <c r="A697" s="22">
        <v>693</v>
      </c>
      <c r="B697" s="23">
        <v>1</v>
      </c>
      <c r="C697" s="23" t="s">
        <v>273</v>
      </c>
      <c r="D697" s="23" t="str">
        <f>VLOOKUP(C697,'[1]1.CUADRO RESUMEN DE SITIOS '!$C$5:$L$1052,2,FALSE())</f>
        <v>JSUC_00011</v>
      </c>
      <c r="E697" s="24">
        <f>VLOOKUP(C697,'[1]1.CUADRO RESUMEN DE SITIOS '!$C$5:$L$1052,3,FALSE())</f>
        <v>45942</v>
      </c>
      <c r="F697" s="23">
        <f>VLOOKUP(C697,'[1]1.CUADRO RESUMEN DE SITIOS '!$C$5:$L$1052,4,FALSE())</f>
        <v>8.4349100000000004</v>
      </c>
      <c r="G697" s="23">
        <f>VLOOKUP(C697,'[1]1.CUADRO RESUMEN DE SITIOS '!$C$5:$L$1052,5,FALSE())</f>
        <v>-74.698459999999997</v>
      </c>
      <c r="H697" s="23" t="str">
        <f>VLOOKUP(C697,'[1]1.CUADRO RESUMEN DE SITIOS '!$C$5:$L$1052,6,FALSE())</f>
        <v>Sucre</v>
      </c>
      <c r="I697" s="23" t="str">
        <f>VLOOKUP(C697,'[1]1.CUADRO RESUMEN DE SITIOS '!$C$5:$L$1052,7,FALSE())</f>
        <v>WOM</v>
      </c>
      <c r="J697" s="25" t="str">
        <f>VLOOKUP(C697,'[1]1.CUADRO RESUMEN DE SITIOS '!$C$5:$L$1052,8,FALSE())</f>
        <v>COSTA</v>
      </c>
      <c r="K697" s="23" t="str">
        <f>VLOOKUP(C697,'[1]1.CUADRO RESUMEN DE SITIOS '!$C$5:$L$1052,9,FALSE())</f>
        <v>Alfredo de la Cruz</v>
      </c>
      <c r="L697" s="26" t="str">
        <f>VLOOKUP(C697,'[1]1.CUADRO RESUMEN DE SITIOS '!$C$5:$L$1052,10,FALSE())</f>
        <v>Terminado</v>
      </c>
      <c r="M697" s="26">
        <v>8828119045</v>
      </c>
      <c r="N697" s="26">
        <f>VLOOKUP(M697,[1]LPU!$A$2:$G$1512,2,FALSE())</f>
        <v>5.29</v>
      </c>
      <c r="O697" s="26" t="str">
        <f>VLOOKUP(M697,[1]LPU!$A$2:$G$1512,3,FALSE)</f>
        <v>Suministro e instalación de estructura metálica en acero galvanizado para refuerzo, soportes, bases y adecuaciones en general.</v>
      </c>
      <c r="P697" s="26" t="str">
        <f>VLOOKUP(M697,[1]LPU!$A$2:$G$1512,4,FALSE())</f>
        <v>Mantenimiento CW</v>
      </c>
      <c r="Q697" s="26" t="str">
        <f>VLOOKUP(M697,[1]LPU!$A$2:$G$1512,5,FALSE())</f>
        <v>Kg</v>
      </c>
      <c r="R697" s="27">
        <f>VLOOKUP(M697,[1]LPU!$A$2:$G$1512,6,FALSE())</f>
        <v>12911.5</v>
      </c>
      <c r="S697" s="27" t="str">
        <f>VLOOKUP(M697,[1]LPU!$A$2:$G$1512,7,FALSE())</f>
        <v>Mantenimiento CW</v>
      </c>
      <c r="T697" s="28">
        <v>22</v>
      </c>
      <c r="U697" s="29">
        <f t="shared" si="8"/>
        <v>284053</v>
      </c>
      <c r="V697" s="29" t="s">
        <v>77</v>
      </c>
      <c r="W697" s="30"/>
      <c r="X697" s="29" t="s">
        <v>274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ht="21" customHeight="1" x14ac:dyDescent="0.3">
      <c r="A698" s="22">
        <v>694</v>
      </c>
      <c r="B698" s="23">
        <v>1</v>
      </c>
      <c r="C698" s="23" t="s">
        <v>273</v>
      </c>
      <c r="D698" s="23" t="str">
        <f>VLOOKUP(C698,'[1]1.CUADRO RESUMEN DE SITIOS '!$C$5:$L$1052,2,FALSE())</f>
        <v>JSUC_00011</v>
      </c>
      <c r="E698" s="24">
        <f>VLOOKUP(C698,'[1]1.CUADRO RESUMEN DE SITIOS '!$C$5:$L$1052,3,FALSE())</f>
        <v>45942</v>
      </c>
      <c r="F698" s="23">
        <f>VLOOKUP(C698,'[1]1.CUADRO RESUMEN DE SITIOS '!$C$5:$L$1052,4,FALSE())</f>
        <v>8.4349100000000004</v>
      </c>
      <c r="G698" s="23">
        <f>VLOOKUP(C698,'[1]1.CUADRO RESUMEN DE SITIOS '!$C$5:$L$1052,5,FALSE())</f>
        <v>-74.698459999999997</v>
      </c>
      <c r="H698" s="23" t="str">
        <f>VLOOKUP(C698,'[1]1.CUADRO RESUMEN DE SITIOS '!$C$5:$L$1052,6,FALSE())</f>
        <v>Sucre</v>
      </c>
      <c r="I698" s="23" t="str">
        <f>VLOOKUP(C698,'[1]1.CUADRO RESUMEN DE SITIOS '!$C$5:$L$1052,7,FALSE())</f>
        <v>WOM</v>
      </c>
      <c r="J698" s="25" t="str">
        <f>VLOOKUP(C698,'[1]1.CUADRO RESUMEN DE SITIOS '!$C$5:$L$1052,8,FALSE())</f>
        <v>COSTA</v>
      </c>
      <c r="K698" s="23" t="str">
        <f>VLOOKUP(C698,'[1]1.CUADRO RESUMEN DE SITIOS '!$C$5:$L$1052,9,FALSE())</f>
        <v>Alfredo de la Cruz</v>
      </c>
      <c r="L698" s="26" t="str">
        <f>VLOOKUP(C698,'[1]1.CUADRO RESUMEN DE SITIOS '!$C$5:$L$1052,10,FALSE())</f>
        <v>Terminado</v>
      </c>
      <c r="M698" s="26">
        <v>8828119599</v>
      </c>
      <c r="N698" s="26">
        <f>VLOOKUP(M698,[1]LPU!$A$2:$G$1512,2,FALSE())</f>
        <v>197</v>
      </c>
      <c r="O698" s="26" t="str">
        <f>VLOOKUP(M698,[1]LPU!$A$2:$G$1512,3,FALSE)</f>
        <v>Transporte de Equipos y Materiales, Carga y Descarga, desde y hacía Bodega Regional. Mas de 1 Tonelada. ZONA 2 (Resolución 5078 de 2016)</v>
      </c>
      <c r="P698" s="26" t="str">
        <f>VLOOKUP(M698,[1]LPU!$A$2:$G$1512,4,FALSE())</f>
        <v>LOCATIVO</v>
      </c>
      <c r="Q698" s="26" t="str">
        <f>VLOOKUP(M698,[1]LPU!$A$2:$G$1512,5,FALSE())</f>
        <v>U</v>
      </c>
      <c r="R698" s="27">
        <f>VLOOKUP(M698,[1]LPU!$A$2:$G$1512,6,FALSE())</f>
        <v>680680</v>
      </c>
      <c r="S698" s="27" t="str">
        <f>VLOOKUP(M698,[1]LPU!$A$2:$G$1512,7,FALSE())</f>
        <v>LPU FLM</v>
      </c>
      <c r="T698" s="28">
        <v>1</v>
      </c>
      <c r="U698" s="29">
        <f t="shared" si="8"/>
        <v>680680</v>
      </c>
      <c r="V698" s="29" t="s">
        <v>77</v>
      </c>
      <c r="W698" s="30"/>
      <c r="X698" s="29" t="s">
        <v>274</v>
      </c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ht="21" customHeight="1" x14ac:dyDescent="0.3">
      <c r="A699" s="22">
        <v>695</v>
      </c>
      <c r="B699" s="23">
        <v>1</v>
      </c>
      <c r="C699" s="23" t="s">
        <v>273</v>
      </c>
      <c r="D699" s="23" t="str">
        <f>VLOOKUP(C699,'[1]1.CUADRO RESUMEN DE SITIOS '!$C$5:$L$1052,2,FALSE())</f>
        <v>JSUC_00011</v>
      </c>
      <c r="E699" s="24">
        <f>VLOOKUP(C699,'[1]1.CUADRO RESUMEN DE SITIOS '!$C$5:$L$1052,3,FALSE())</f>
        <v>45942</v>
      </c>
      <c r="F699" s="23">
        <f>VLOOKUP(C699,'[1]1.CUADRO RESUMEN DE SITIOS '!$C$5:$L$1052,4,FALSE())</f>
        <v>8.4349100000000004</v>
      </c>
      <c r="G699" s="23">
        <f>VLOOKUP(C699,'[1]1.CUADRO RESUMEN DE SITIOS '!$C$5:$L$1052,5,FALSE())</f>
        <v>-74.698459999999997</v>
      </c>
      <c r="H699" s="23" t="str">
        <f>VLOOKUP(C699,'[1]1.CUADRO RESUMEN DE SITIOS '!$C$5:$L$1052,6,FALSE())</f>
        <v>Sucre</v>
      </c>
      <c r="I699" s="23" t="str">
        <f>VLOOKUP(C699,'[1]1.CUADRO RESUMEN DE SITIOS '!$C$5:$L$1052,7,FALSE())</f>
        <v>WOM</v>
      </c>
      <c r="J699" s="25" t="str">
        <f>VLOOKUP(C699,'[1]1.CUADRO RESUMEN DE SITIOS '!$C$5:$L$1052,8,FALSE())</f>
        <v>COSTA</v>
      </c>
      <c r="K699" s="23" t="str">
        <f>VLOOKUP(C699,'[1]1.CUADRO RESUMEN DE SITIOS '!$C$5:$L$1052,9,FALSE())</f>
        <v>Alfredo de la Cruz</v>
      </c>
      <c r="L699" s="26" t="str">
        <f>VLOOKUP(C699,'[1]1.CUADRO RESUMEN DE SITIOS '!$C$5:$L$1052,10,FALSE())</f>
        <v>Terminado</v>
      </c>
      <c r="M699" s="26">
        <v>8828119110</v>
      </c>
      <c r="N699" s="26">
        <f>VLOOKUP(M699,[1]LPU!$A$2:$G$1512,2,FALSE())</f>
        <v>107</v>
      </c>
      <c r="O699" s="26" t="str">
        <f>VLOOKUP(M699,[1]LPU!$A$2:$G$1512,3,FALSE)</f>
        <v>Mano de Obra Tecnico Electricista Certficado CONTE</v>
      </c>
      <c r="P699" s="26" t="str">
        <f>VLOOKUP(M699,[1]LPU!$A$2:$G$1512,4,FALSE())</f>
        <v>ENERGÍA</v>
      </c>
      <c r="Q699" s="26" t="str">
        <f>VLOOKUP(M699,[1]LPU!$A$2:$G$1512,5,FALSE())</f>
        <v>DIA</v>
      </c>
      <c r="R699" s="27">
        <f>VLOOKUP(M699,[1]LPU!$A$2:$G$1512,6,FALSE())</f>
        <v>136000</v>
      </c>
      <c r="S699" s="27" t="str">
        <f>VLOOKUP(M699,[1]LPU!$A$2:$G$1512,7,FALSE())</f>
        <v>LPU FLM</v>
      </c>
      <c r="T699" s="28">
        <v>1</v>
      </c>
      <c r="U699" s="29">
        <f t="shared" si="8"/>
        <v>136000</v>
      </c>
      <c r="V699" s="29" t="s">
        <v>77</v>
      </c>
      <c r="W699" s="30"/>
      <c r="X699" s="29" t="s">
        <v>274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ht="21" customHeight="1" x14ac:dyDescent="0.3">
      <c r="A700" s="22">
        <v>696</v>
      </c>
      <c r="B700" s="23">
        <v>1</v>
      </c>
      <c r="C700" s="23" t="s">
        <v>273</v>
      </c>
      <c r="D700" s="23" t="str">
        <f>VLOOKUP(C700,'[1]1.CUADRO RESUMEN DE SITIOS '!$C$5:$L$1052,2,FALSE())</f>
        <v>JSUC_00011</v>
      </c>
      <c r="E700" s="24">
        <f>VLOOKUP(C700,'[1]1.CUADRO RESUMEN DE SITIOS '!$C$5:$L$1052,3,FALSE())</f>
        <v>45942</v>
      </c>
      <c r="F700" s="23">
        <f>VLOOKUP(C700,'[1]1.CUADRO RESUMEN DE SITIOS '!$C$5:$L$1052,4,FALSE())</f>
        <v>8.4349100000000004</v>
      </c>
      <c r="G700" s="23">
        <f>VLOOKUP(C700,'[1]1.CUADRO RESUMEN DE SITIOS '!$C$5:$L$1052,5,FALSE())</f>
        <v>-74.698459999999997</v>
      </c>
      <c r="H700" s="23" t="str">
        <f>VLOOKUP(C700,'[1]1.CUADRO RESUMEN DE SITIOS '!$C$5:$L$1052,6,FALSE())</f>
        <v>Sucre</v>
      </c>
      <c r="I700" s="23" t="str">
        <f>VLOOKUP(C700,'[1]1.CUADRO RESUMEN DE SITIOS '!$C$5:$L$1052,7,FALSE())</f>
        <v>WOM</v>
      </c>
      <c r="J700" s="25" t="str">
        <f>VLOOKUP(C700,'[1]1.CUADRO RESUMEN DE SITIOS '!$C$5:$L$1052,8,FALSE())</f>
        <v>COSTA</v>
      </c>
      <c r="K700" s="23" t="str">
        <f>VLOOKUP(C700,'[1]1.CUADRO RESUMEN DE SITIOS '!$C$5:$L$1052,9,FALSE())</f>
        <v>Alfredo de la Cruz</v>
      </c>
      <c r="L700" s="26" t="str">
        <f>VLOOKUP(C700,'[1]1.CUADRO RESUMEN DE SITIOS '!$C$5:$L$1052,10,FALSE())</f>
        <v>Terminado</v>
      </c>
      <c r="M700" s="26">
        <v>8828119938</v>
      </c>
      <c r="N700" s="26">
        <f>VLOOKUP(M700,[1]LPU!$A$2:$G$1512,2,FALSE())</f>
        <v>23</v>
      </c>
      <c r="O700" s="26" t="str">
        <f>VLOOKUP(M700,[1]LPU!$A$2:$G$1512,3,FALSE)</f>
        <v>Reubicación de 01 BBU desde gabinete existente hacia nuevo gabinete, incluye conexión de alimentación en ambos planos y etiquetado</v>
      </c>
      <c r="P700" s="26" t="str">
        <f>VLOOKUP(M700,[1]LPU!$A$2:$G$1512,4,FALSE())</f>
        <v>ACCESO</v>
      </c>
      <c r="Q700" s="26" t="str">
        <f>VLOOKUP(M700,[1]LPU!$A$2:$G$1512,5,FALSE())</f>
        <v>Por sector</v>
      </c>
      <c r="R700" s="27">
        <f>VLOOKUP(M700,[1]LPU!$A$2:$G$1512,6,FALSE())</f>
        <v>217413</v>
      </c>
      <c r="S700" s="27" t="str">
        <f>VLOOKUP(M700,[1]LPU!$A$2:$G$1512,7,FALSE())</f>
        <v>LPU FLM</v>
      </c>
      <c r="T700" s="28">
        <v>1</v>
      </c>
      <c r="U700" s="29">
        <f t="shared" si="8"/>
        <v>217413</v>
      </c>
      <c r="V700" s="29" t="s">
        <v>77</v>
      </c>
      <c r="W700" s="30"/>
      <c r="X700" s="29" t="s">
        <v>274</v>
      </c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ht="21" customHeight="1" x14ac:dyDescent="0.3">
      <c r="A701" s="22">
        <v>697</v>
      </c>
      <c r="B701" s="23">
        <v>1</v>
      </c>
      <c r="C701" s="23" t="s">
        <v>273</v>
      </c>
      <c r="D701" s="23" t="str">
        <f>VLOOKUP(C701,'[1]1.CUADRO RESUMEN DE SITIOS '!$C$5:$L$1052,2,FALSE())</f>
        <v>JSUC_00011</v>
      </c>
      <c r="E701" s="24">
        <f>VLOOKUP(C701,'[1]1.CUADRO RESUMEN DE SITIOS '!$C$5:$L$1052,3,FALSE())</f>
        <v>45942</v>
      </c>
      <c r="F701" s="23">
        <f>VLOOKUP(C701,'[1]1.CUADRO RESUMEN DE SITIOS '!$C$5:$L$1052,4,FALSE())</f>
        <v>8.4349100000000004</v>
      </c>
      <c r="G701" s="23">
        <f>VLOOKUP(C701,'[1]1.CUADRO RESUMEN DE SITIOS '!$C$5:$L$1052,5,FALSE())</f>
        <v>-74.698459999999997</v>
      </c>
      <c r="H701" s="23" t="str">
        <f>VLOOKUP(C701,'[1]1.CUADRO RESUMEN DE SITIOS '!$C$5:$L$1052,6,FALSE())</f>
        <v>Sucre</v>
      </c>
      <c r="I701" s="23" t="str">
        <f>VLOOKUP(C701,'[1]1.CUADRO RESUMEN DE SITIOS '!$C$5:$L$1052,7,FALSE())</f>
        <v>WOM</v>
      </c>
      <c r="J701" s="25" t="str">
        <f>VLOOKUP(C701,'[1]1.CUADRO RESUMEN DE SITIOS '!$C$5:$L$1052,8,FALSE())</f>
        <v>COSTA</v>
      </c>
      <c r="K701" s="23" t="str">
        <f>VLOOKUP(C701,'[1]1.CUADRO RESUMEN DE SITIOS '!$C$5:$L$1052,9,FALSE())</f>
        <v>Alfredo de la Cruz</v>
      </c>
      <c r="L701" s="26" t="str">
        <f>VLOOKUP(C701,'[1]1.CUADRO RESUMEN DE SITIOS '!$C$5:$L$1052,10,FALSE())</f>
        <v>Terminado</v>
      </c>
      <c r="M701" s="26">
        <v>8828119402</v>
      </c>
      <c r="N701" s="26">
        <f>VLOOKUP(M701,[1]LPU!$A$2:$G$1512,2,FALSE())</f>
        <v>4</v>
      </c>
      <c r="O701" s="26" t="str">
        <f>VLOOKUP(M701,[1]LPU!$A$2:$G$1512,3,FALSE)</f>
        <v>Apertura y Cierre de Reja de Seguridad para Revisión de Baterías</v>
      </c>
      <c r="P701" s="26" t="str">
        <f>VLOOKUP(M701,[1]LPU!$A$2:$G$1512,4,FALSE())</f>
        <v>ACCESO</v>
      </c>
      <c r="Q701" s="26" t="str">
        <f>VLOOKUP(M701,[1]LPU!$A$2:$G$1512,5,FALSE())</f>
        <v>U</v>
      </c>
      <c r="R701" s="27">
        <f>VLOOKUP(M701,[1]LPU!$A$2:$G$1512,6,FALSE())</f>
        <v>96900</v>
      </c>
      <c r="S701" s="27" t="str">
        <f>VLOOKUP(M701,[1]LPU!$A$2:$G$1512,7,FALSE())</f>
        <v>LPU FLM</v>
      </c>
      <c r="T701" s="28">
        <v>1</v>
      </c>
      <c r="U701" s="29">
        <f t="shared" si="8"/>
        <v>96900</v>
      </c>
      <c r="V701" s="29" t="s">
        <v>77</v>
      </c>
      <c r="W701" s="30"/>
      <c r="X701" s="29" t="s">
        <v>274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ht="21" customHeight="1" x14ac:dyDescent="0.3">
      <c r="A702" s="22">
        <v>698</v>
      </c>
      <c r="B702" s="23">
        <v>1</v>
      </c>
      <c r="C702" s="23" t="s">
        <v>273</v>
      </c>
      <c r="D702" s="23" t="str">
        <f>VLOOKUP(C702,'[1]1.CUADRO RESUMEN DE SITIOS '!$C$5:$L$1052,2,FALSE())</f>
        <v>JSUC_00011</v>
      </c>
      <c r="E702" s="24">
        <f>VLOOKUP(C702,'[1]1.CUADRO RESUMEN DE SITIOS '!$C$5:$L$1052,3,FALSE())</f>
        <v>45942</v>
      </c>
      <c r="F702" s="23">
        <f>VLOOKUP(C702,'[1]1.CUADRO RESUMEN DE SITIOS '!$C$5:$L$1052,4,FALSE())</f>
        <v>8.4349100000000004</v>
      </c>
      <c r="G702" s="23">
        <f>VLOOKUP(C702,'[1]1.CUADRO RESUMEN DE SITIOS '!$C$5:$L$1052,5,FALSE())</f>
        <v>-74.698459999999997</v>
      </c>
      <c r="H702" s="23" t="str">
        <f>VLOOKUP(C702,'[1]1.CUADRO RESUMEN DE SITIOS '!$C$5:$L$1052,6,FALSE())</f>
        <v>Sucre</v>
      </c>
      <c r="I702" s="23" t="str">
        <f>VLOOKUP(C702,'[1]1.CUADRO RESUMEN DE SITIOS '!$C$5:$L$1052,7,FALSE())</f>
        <v>WOM</v>
      </c>
      <c r="J702" s="25" t="str">
        <f>VLOOKUP(C702,'[1]1.CUADRO RESUMEN DE SITIOS '!$C$5:$L$1052,8,FALSE())</f>
        <v>COSTA</v>
      </c>
      <c r="K702" s="23" t="str">
        <f>VLOOKUP(C702,'[1]1.CUADRO RESUMEN DE SITIOS '!$C$5:$L$1052,9,FALSE())</f>
        <v>Alfredo de la Cruz</v>
      </c>
      <c r="L702" s="26" t="str">
        <f>VLOOKUP(C702,'[1]1.CUADRO RESUMEN DE SITIOS '!$C$5:$L$1052,10,FALSE())</f>
        <v>Terminado</v>
      </c>
      <c r="M702" s="26">
        <v>8828119250</v>
      </c>
      <c r="N702" s="26">
        <f>VLOOKUP(M702,[1]LPU!$A$2:$G$1512,2,FALSE())</f>
        <v>0</v>
      </c>
      <c r="O702" s="26" t="str">
        <f>VLOOKUP(M702,[1]LPU!$A$2:$G$1512,3,FALSE)</f>
        <v>Suministro e instalación coraza americana de 1 1/2" - Incluye 100% accesorios</v>
      </c>
      <c r="P702" s="26" t="str">
        <f>VLOOKUP(M702,[1]LPU!$A$2:$G$1512,4,FALSE())</f>
        <v>Variables</v>
      </c>
      <c r="Q702" s="26" t="str">
        <f>VLOOKUP(M702,[1]LPU!$A$2:$G$1512,5,FALSE())</f>
        <v>ml</v>
      </c>
      <c r="R702" s="27">
        <f>VLOOKUP(M702,[1]LPU!$A$2:$G$1512,6,FALSE())</f>
        <v>12410</v>
      </c>
      <c r="S702" s="27" t="str">
        <f>VLOOKUP(M702,[1]LPU!$A$2:$G$1512,7,FALSE())</f>
        <v>LPU FO</v>
      </c>
      <c r="T702" s="28">
        <v>8</v>
      </c>
      <c r="U702" s="29">
        <f t="shared" si="8"/>
        <v>99280</v>
      </c>
      <c r="V702" s="29" t="s">
        <v>77</v>
      </c>
      <c r="W702" s="30"/>
      <c r="X702" s="29" t="s">
        <v>274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ht="21" customHeight="1" x14ac:dyDescent="0.3">
      <c r="A703" s="22">
        <v>699</v>
      </c>
      <c r="B703" s="23">
        <v>1</v>
      </c>
      <c r="C703" s="23" t="s">
        <v>275</v>
      </c>
      <c r="D703" s="23" t="str">
        <f>VLOOKUP(C703,'[1]1.CUADRO RESUMEN DE SITIOS '!$C$5:$L$1052,2,FALSE())</f>
        <v>JSUC_00248</v>
      </c>
      <c r="E703" s="24">
        <f>VLOOKUP(C703,'[1]1.CUADRO RESUMEN DE SITIOS '!$C$5:$L$1052,3,FALSE())</f>
        <v>45942</v>
      </c>
      <c r="F703" s="23">
        <f>VLOOKUP(C703,'[1]1.CUADRO RESUMEN DE SITIOS '!$C$5:$L$1052,4,FALSE())</f>
        <v>8.4351330000000004</v>
      </c>
      <c r="G703" s="23">
        <f>VLOOKUP(C703,'[1]1.CUADRO RESUMEN DE SITIOS '!$C$5:$L$1052,5,FALSE())</f>
        <v>-74.827453000000006</v>
      </c>
      <c r="H703" s="23" t="str">
        <f>VLOOKUP(C703,'[1]1.CUADRO RESUMEN DE SITIOS '!$C$5:$L$1052,6,FALSE())</f>
        <v>Sucre</v>
      </c>
      <c r="I703" s="23" t="str">
        <f>VLOOKUP(C703,'[1]1.CUADRO RESUMEN DE SITIOS '!$C$5:$L$1052,7,FALSE())</f>
        <v>WOM</v>
      </c>
      <c r="J703" s="25" t="str">
        <f>VLOOKUP(C703,'[1]1.CUADRO RESUMEN DE SITIOS '!$C$5:$L$1052,8,FALSE())</f>
        <v>COSTA</v>
      </c>
      <c r="K703" s="23" t="str">
        <f>VLOOKUP(C703,'[1]1.CUADRO RESUMEN DE SITIOS '!$C$5:$L$1052,9,FALSE())</f>
        <v>Alfredo de la Cruz</v>
      </c>
      <c r="L703" s="26" t="str">
        <f>VLOOKUP(C703,'[1]1.CUADRO RESUMEN DE SITIOS '!$C$5:$L$1052,10,FALSE())</f>
        <v>Terminado</v>
      </c>
      <c r="M703" s="26">
        <v>8828119492</v>
      </c>
      <c r="N703" s="26">
        <f>VLOOKUP(M703,[1]LPU!$A$2:$G$1512,2,FALSE())</f>
        <v>53</v>
      </c>
      <c r="O703" s="26" t="str">
        <f>VLOOKUP(M703,[1]LPU!$A$2:$G$1512,3,FALSE)</f>
        <v>Instalación Banco de Baterias para Rectificadores - Aplica para ampliaciones.</v>
      </c>
      <c r="P703" s="26" t="str">
        <f>VLOOKUP(M703,[1]LPU!$A$2:$G$1512,4,FALSE())</f>
        <v>ENERGÍA</v>
      </c>
      <c r="Q703" s="26" t="str">
        <f>VLOOKUP(M703,[1]LPU!$A$2:$G$1512,5,FALSE())</f>
        <v>U</v>
      </c>
      <c r="R703" s="27">
        <f>VLOOKUP(M703,[1]LPU!$A$2:$G$1512,6,FALSE())</f>
        <v>102340</v>
      </c>
      <c r="S703" s="27" t="str">
        <f>VLOOKUP(M703,[1]LPU!$A$2:$G$1512,7,FALSE())</f>
        <v>LPU FLM</v>
      </c>
      <c r="T703" s="28">
        <v>1</v>
      </c>
      <c r="U703" s="29">
        <f t="shared" si="8"/>
        <v>102340</v>
      </c>
      <c r="V703" s="29" t="s">
        <v>77</v>
      </c>
      <c r="W703" s="30"/>
      <c r="X703" s="29" t="s">
        <v>274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ht="21" customHeight="1" x14ac:dyDescent="0.3">
      <c r="A704" s="22">
        <v>700</v>
      </c>
      <c r="B704" s="23">
        <v>1</v>
      </c>
      <c r="C704" s="23" t="s">
        <v>275</v>
      </c>
      <c r="D704" s="23" t="str">
        <f>VLOOKUP(C704,'[1]1.CUADRO RESUMEN DE SITIOS '!$C$5:$L$1052,2,FALSE())</f>
        <v>JSUC_00248</v>
      </c>
      <c r="E704" s="24">
        <f>VLOOKUP(C704,'[1]1.CUADRO RESUMEN DE SITIOS '!$C$5:$L$1052,3,FALSE())</f>
        <v>45942</v>
      </c>
      <c r="F704" s="23">
        <f>VLOOKUP(C704,'[1]1.CUADRO RESUMEN DE SITIOS '!$C$5:$L$1052,4,FALSE())</f>
        <v>8.4351330000000004</v>
      </c>
      <c r="G704" s="23">
        <f>VLOOKUP(C704,'[1]1.CUADRO RESUMEN DE SITIOS '!$C$5:$L$1052,5,FALSE())</f>
        <v>-74.827453000000006</v>
      </c>
      <c r="H704" s="23" t="str">
        <f>VLOOKUP(C704,'[1]1.CUADRO RESUMEN DE SITIOS '!$C$5:$L$1052,6,FALSE())</f>
        <v>Sucre</v>
      </c>
      <c r="I704" s="23" t="str">
        <f>VLOOKUP(C704,'[1]1.CUADRO RESUMEN DE SITIOS '!$C$5:$L$1052,7,FALSE())</f>
        <v>WOM</v>
      </c>
      <c r="J704" s="25" t="str">
        <f>VLOOKUP(C704,'[1]1.CUADRO RESUMEN DE SITIOS '!$C$5:$L$1052,8,FALSE())</f>
        <v>COSTA</v>
      </c>
      <c r="K704" s="23" t="str">
        <f>VLOOKUP(C704,'[1]1.CUADRO RESUMEN DE SITIOS '!$C$5:$L$1052,9,FALSE())</f>
        <v>Alfredo de la Cruz</v>
      </c>
      <c r="L704" s="26" t="str">
        <f>VLOOKUP(C704,'[1]1.CUADRO RESUMEN DE SITIOS '!$C$5:$L$1052,10,FALSE())</f>
        <v>Terminado</v>
      </c>
      <c r="M704" s="26">
        <v>8828119512</v>
      </c>
      <c r="N704" s="26">
        <f>VLOOKUP(M704,[1]LPU!$A$2:$G$1512,2,FALSE())</f>
        <v>55</v>
      </c>
      <c r="O704" s="26" t="str">
        <f>VLOOKUP(M704,[1]LPU!$A$2:$G$1512,3,FALSE)</f>
        <v>Transporte Banco de Baterias</v>
      </c>
      <c r="P704" s="26" t="str">
        <f>VLOOKUP(M704,[1]LPU!$A$2:$G$1512,4,FALSE())</f>
        <v>ENERGÍA</v>
      </c>
      <c r="Q704" s="26" t="str">
        <f>VLOOKUP(M704,[1]LPU!$A$2:$G$1512,5,FALSE())</f>
        <v>U</v>
      </c>
      <c r="R704" s="27">
        <f>VLOOKUP(M704,[1]LPU!$A$2:$G$1512,6,FALSE())</f>
        <v>82212</v>
      </c>
      <c r="S704" s="27" t="str">
        <f>VLOOKUP(M704,[1]LPU!$A$2:$G$1512,7,FALSE())</f>
        <v>LPU FLM</v>
      </c>
      <c r="T704" s="28">
        <v>1</v>
      </c>
      <c r="U704" s="29">
        <f t="shared" si="8"/>
        <v>82212</v>
      </c>
      <c r="V704" s="29" t="s">
        <v>77</v>
      </c>
      <c r="W704" s="30"/>
      <c r="X704" s="29" t="s">
        <v>274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ht="21" customHeight="1" x14ac:dyDescent="0.3">
      <c r="A705" s="22">
        <v>701</v>
      </c>
      <c r="B705" s="23">
        <v>1</v>
      </c>
      <c r="C705" s="23" t="s">
        <v>275</v>
      </c>
      <c r="D705" s="23" t="str">
        <f>VLOOKUP(C705,'[1]1.CUADRO RESUMEN DE SITIOS '!$C$5:$L$1052,2,FALSE())</f>
        <v>JSUC_00248</v>
      </c>
      <c r="E705" s="24">
        <f>VLOOKUP(C705,'[1]1.CUADRO RESUMEN DE SITIOS '!$C$5:$L$1052,3,FALSE())</f>
        <v>45942</v>
      </c>
      <c r="F705" s="23">
        <f>VLOOKUP(C705,'[1]1.CUADRO RESUMEN DE SITIOS '!$C$5:$L$1052,4,FALSE())</f>
        <v>8.4351330000000004</v>
      </c>
      <c r="G705" s="23">
        <f>VLOOKUP(C705,'[1]1.CUADRO RESUMEN DE SITIOS '!$C$5:$L$1052,5,FALSE())</f>
        <v>-74.827453000000006</v>
      </c>
      <c r="H705" s="23" t="str">
        <f>VLOOKUP(C705,'[1]1.CUADRO RESUMEN DE SITIOS '!$C$5:$L$1052,6,FALSE())</f>
        <v>Sucre</v>
      </c>
      <c r="I705" s="23" t="str">
        <f>VLOOKUP(C705,'[1]1.CUADRO RESUMEN DE SITIOS '!$C$5:$L$1052,7,FALSE())</f>
        <v>WOM</v>
      </c>
      <c r="J705" s="25" t="str">
        <f>VLOOKUP(C705,'[1]1.CUADRO RESUMEN DE SITIOS '!$C$5:$L$1052,8,FALSE())</f>
        <v>COSTA</v>
      </c>
      <c r="K705" s="23" t="str">
        <f>VLOOKUP(C705,'[1]1.CUADRO RESUMEN DE SITIOS '!$C$5:$L$1052,9,FALSE())</f>
        <v>Alfredo de la Cruz</v>
      </c>
      <c r="L705" s="26" t="str">
        <f>VLOOKUP(C705,'[1]1.CUADRO RESUMEN DE SITIOS '!$C$5:$L$1052,10,FALSE())</f>
        <v>Terminado</v>
      </c>
      <c r="M705" s="26">
        <v>8828118999</v>
      </c>
      <c r="N705" s="26">
        <f>VLOOKUP(M705,[1]LPU!$A$2:$G$1512,2,FALSE())</f>
        <v>0</v>
      </c>
      <c r="O705" s="26" t="str">
        <f>VLOOKUP(M705,[1]LPU!$A$2:$G$1512,3,FALSE)</f>
        <v>Suministro e instalación de cable UTP Categoría 6, con conectores en sus extremos, certificado</v>
      </c>
      <c r="P705" s="26" t="str">
        <f>VLOOKUP(M705,[1]LPU!$A$2:$G$1512,4,FALSE())</f>
        <v>Item Critico</v>
      </c>
      <c r="Q705" s="26" t="str">
        <f>VLOOKUP(M705,[1]LPU!$A$2:$G$1512,5,FALSE())</f>
        <v>m</v>
      </c>
      <c r="R705" s="27">
        <f>VLOOKUP(M705,[1]LPU!$A$2:$G$1512,6,FALSE())</f>
        <v>5913</v>
      </c>
      <c r="S705" s="27" t="str">
        <f>VLOOKUP(M705,[1]LPU!$A$2:$G$1512,7,FALSE())</f>
        <v>LPU FO Propia</v>
      </c>
      <c r="T705" s="28">
        <v>3</v>
      </c>
      <c r="U705" s="29">
        <f t="shared" si="8"/>
        <v>17739</v>
      </c>
      <c r="V705" s="29" t="s">
        <v>77</v>
      </c>
      <c r="W705" s="30"/>
      <c r="X705" s="29" t="s">
        <v>274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ht="21" customHeight="1" x14ac:dyDescent="0.3">
      <c r="A706" s="22">
        <v>702</v>
      </c>
      <c r="B706" s="23">
        <v>1</v>
      </c>
      <c r="C706" s="23" t="s">
        <v>275</v>
      </c>
      <c r="D706" s="23" t="str">
        <f>VLOOKUP(C706,'[1]1.CUADRO RESUMEN DE SITIOS '!$C$5:$L$1052,2,FALSE())</f>
        <v>JSUC_00248</v>
      </c>
      <c r="E706" s="24">
        <f>VLOOKUP(C706,'[1]1.CUADRO RESUMEN DE SITIOS '!$C$5:$L$1052,3,FALSE())</f>
        <v>45942</v>
      </c>
      <c r="F706" s="23">
        <f>VLOOKUP(C706,'[1]1.CUADRO RESUMEN DE SITIOS '!$C$5:$L$1052,4,FALSE())</f>
        <v>8.4351330000000004</v>
      </c>
      <c r="G706" s="23">
        <f>VLOOKUP(C706,'[1]1.CUADRO RESUMEN DE SITIOS '!$C$5:$L$1052,5,FALSE())</f>
        <v>-74.827453000000006</v>
      </c>
      <c r="H706" s="23" t="str">
        <f>VLOOKUP(C706,'[1]1.CUADRO RESUMEN DE SITIOS '!$C$5:$L$1052,6,FALSE())</f>
        <v>Sucre</v>
      </c>
      <c r="I706" s="23" t="str">
        <f>VLOOKUP(C706,'[1]1.CUADRO RESUMEN DE SITIOS '!$C$5:$L$1052,7,FALSE())</f>
        <v>WOM</v>
      </c>
      <c r="J706" s="25" t="str">
        <f>VLOOKUP(C706,'[1]1.CUADRO RESUMEN DE SITIOS '!$C$5:$L$1052,8,FALSE())</f>
        <v>COSTA</v>
      </c>
      <c r="K706" s="23" t="str">
        <f>VLOOKUP(C706,'[1]1.CUADRO RESUMEN DE SITIOS '!$C$5:$L$1052,9,FALSE())</f>
        <v>Alfredo de la Cruz</v>
      </c>
      <c r="L706" s="26" t="str">
        <f>VLOOKUP(C706,'[1]1.CUADRO RESUMEN DE SITIOS '!$C$5:$L$1052,10,FALSE())</f>
        <v>Terminado</v>
      </c>
      <c r="M706" s="26">
        <v>8828118925</v>
      </c>
      <c r="N706" s="26">
        <f>VLOOKUP(M706,[1]LPU!$A$2:$G$1512,2,FALSE())</f>
        <v>87</v>
      </c>
      <c r="O706" s="26" t="str">
        <f>VLOOKUP(M706,[1]LPU!$A$2:$G$1512,3,FALSE)</f>
        <v>Suministro e Instalacion de cable multifilar #4 awg tipo soldador.</v>
      </c>
      <c r="P706" s="26" t="str">
        <f>VLOOKUP(M706,[1]LPU!$A$2:$G$1512,4,FALSE())</f>
        <v>ENERGÍA</v>
      </c>
      <c r="Q706" s="26" t="str">
        <f>VLOOKUP(M706,[1]LPU!$A$2:$G$1512,5,FALSE())</f>
        <v>ML</v>
      </c>
      <c r="R706" s="27">
        <f>VLOOKUP(M706,[1]LPU!$A$2:$G$1512,6,FALSE())</f>
        <v>60815.8</v>
      </c>
      <c r="S706" s="27" t="str">
        <f>VLOOKUP(M706,[1]LPU!$A$2:$G$1512,7,FALSE())</f>
        <v>LPU FLM</v>
      </c>
      <c r="T706" s="28">
        <v>10</v>
      </c>
      <c r="U706" s="29">
        <f t="shared" si="8"/>
        <v>608158</v>
      </c>
      <c r="V706" s="29" t="s">
        <v>77</v>
      </c>
      <c r="W706" s="30"/>
      <c r="X706" s="29" t="s">
        <v>274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ht="21" customHeight="1" x14ac:dyDescent="0.3">
      <c r="A707" s="22">
        <v>703</v>
      </c>
      <c r="B707" s="23">
        <v>1</v>
      </c>
      <c r="C707" s="23" t="s">
        <v>275</v>
      </c>
      <c r="D707" s="23" t="str">
        <f>VLOOKUP(C707,'[1]1.CUADRO RESUMEN DE SITIOS '!$C$5:$L$1052,2,FALSE())</f>
        <v>JSUC_00248</v>
      </c>
      <c r="E707" s="24">
        <f>VLOOKUP(C707,'[1]1.CUADRO RESUMEN DE SITIOS '!$C$5:$L$1052,3,FALSE())</f>
        <v>45942</v>
      </c>
      <c r="F707" s="23">
        <f>VLOOKUP(C707,'[1]1.CUADRO RESUMEN DE SITIOS '!$C$5:$L$1052,4,FALSE())</f>
        <v>8.4351330000000004</v>
      </c>
      <c r="G707" s="23">
        <f>VLOOKUP(C707,'[1]1.CUADRO RESUMEN DE SITIOS '!$C$5:$L$1052,5,FALSE())</f>
        <v>-74.827453000000006</v>
      </c>
      <c r="H707" s="23" t="str">
        <f>VLOOKUP(C707,'[1]1.CUADRO RESUMEN DE SITIOS '!$C$5:$L$1052,6,FALSE())</f>
        <v>Sucre</v>
      </c>
      <c r="I707" s="23" t="str">
        <f>VLOOKUP(C707,'[1]1.CUADRO RESUMEN DE SITIOS '!$C$5:$L$1052,7,FALSE())</f>
        <v>WOM</v>
      </c>
      <c r="J707" s="25" t="str">
        <f>VLOOKUP(C707,'[1]1.CUADRO RESUMEN DE SITIOS '!$C$5:$L$1052,8,FALSE())</f>
        <v>COSTA</v>
      </c>
      <c r="K707" s="23" t="str">
        <f>VLOOKUP(C707,'[1]1.CUADRO RESUMEN DE SITIOS '!$C$5:$L$1052,9,FALSE())</f>
        <v>Alfredo de la Cruz</v>
      </c>
      <c r="L707" s="26" t="str">
        <f>VLOOKUP(C707,'[1]1.CUADRO RESUMEN DE SITIOS '!$C$5:$L$1052,10,FALSE())</f>
        <v>Terminado</v>
      </c>
      <c r="M707" s="26">
        <v>8828118868</v>
      </c>
      <c r="N707" s="26">
        <f>VLOOKUP(M707,[1]LPU!$A$2:$G$1512,2,FALSE())</f>
        <v>81</v>
      </c>
      <c r="O707" s="26" t="str">
        <f>VLOOKUP(M707,[1]LPU!$A$2:$G$1512,3,FALSE)</f>
        <v>Suministro e Instalacion de terminal para cable awg # 2 en cobre estañado un ojo</v>
      </c>
      <c r="P707" s="26" t="str">
        <f>VLOOKUP(M707,[1]LPU!$A$2:$G$1512,4,FALSE())</f>
        <v>ENERGÍA</v>
      </c>
      <c r="Q707" s="26" t="str">
        <f>VLOOKUP(M707,[1]LPU!$A$2:$G$1512,5,FALSE())</f>
        <v>U</v>
      </c>
      <c r="R707" s="27">
        <f>VLOOKUP(M707,[1]LPU!$A$2:$G$1512,6,FALSE())</f>
        <v>2347</v>
      </c>
      <c r="S707" s="27" t="str">
        <f>VLOOKUP(M707,[1]LPU!$A$2:$G$1512,7,FALSE())</f>
        <v>LPU FLM</v>
      </c>
      <c r="T707" s="28">
        <v>4</v>
      </c>
      <c r="U707" s="29">
        <f t="shared" si="8"/>
        <v>9388</v>
      </c>
      <c r="V707" s="29" t="s">
        <v>77</v>
      </c>
      <c r="W707" s="30"/>
      <c r="X707" s="29" t="s">
        <v>274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ht="21" customHeight="1" x14ac:dyDescent="0.3">
      <c r="A708" s="22">
        <v>704</v>
      </c>
      <c r="B708" s="23">
        <v>1</v>
      </c>
      <c r="C708" s="23" t="s">
        <v>275</v>
      </c>
      <c r="D708" s="23" t="str">
        <f>VLOOKUP(C708,'[1]1.CUADRO RESUMEN DE SITIOS '!$C$5:$L$1052,2,FALSE())</f>
        <v>JSUC_00248</v>
      </c>
      <c r="E708" s="24">
        <f>VLOOKUP(C708,'[1]1.CUADRO RESUMEN DE SITIOS '!$C$5:$L$1052,3,FALSE())</f>
        <v>45942</v>
      </c>
      <c r="F708" s="23">
        <f>VLOOKUP(C708,'[1]1.CUADRO RESUMEN DE SITIOS '!$C$5:$L$1052,4,FALSE())</f>
        <v>8.4351330000000004</v>
      </c>
      <c r="G708" s="23">
        <f>VLOOKUP(C708,'[1]1.CUADRO RESUMEN DE SITIOS '!$C$5:$L$1052,5,FALSE())</f>
        <v>-74.827453000000006</v>
      </c>
      <c r="H708" s="23" t="str">
        <f>VLOOKUP(C708,'[1]1.CUADRO RESUMEN DE SITIOS '!$C$5:$L$1052,6,FALSE())</f>
        <v>Sucre</v>
      </c>
      <c r="I708" s="23" t="str">
        <f>VLOOKUP(C708,'[1]1.CUADRO RESUMEN DE SITIOS '!$C$5:$L$1052,7,FALSE())</f>
        <v>WOM</v>
      </c>
      <c r="J708" s="25" t="str">
        <f>VLOOKUP(C708,'[1]1.CUADRO RESUMEN DE SITIOS '!$C$5:$L$1052,8,FALSE())</f>
        <v>COSTA</v>
      </c>
      <c r="K708" s="23" t="str">
        <f>VLOOKUP(C708,'[1]1.CUADRO RESUMEN DE SITIOS '!$C$5:$L$1052,9,FALSE())</f>
        <v>Alfredo de la Cruz</v>
      </c>
      <c r="L708" s="26" t="str">
        <f>VLOOKUP(C708,'[1]1.CUADRO RESUMEN DE SITIOS '!$C$5:$L$1052,10,FALSE())</f>
        <v>Terminado</v>
      </c>
      <c r="M708" s="26">
        <v>8828119980</v>
      </c>
      <c r="N708" s="26">
        <f>VLOOKUP(M708,[1]LPU!$A$2:$G$1512,2,FALSE())</f>
        <v>169</v>
      </c>
      <c r="O708" s="26" t="str">
        <f>VLOOKUP(M708,[1]LPU!$A$2:$G$1512,3,FALSE)</f>
        <v>Reforzamiento Protección Concreto para Rack de Baterías Incluye Materiales</v>
      </c>
      <c r="P708" s="26" t="str">
        <f>VLOOKUP(M708,[1]LPU!$A$2:$G$1512,4,FALSE())</f>
        <v>LOCATIVO</v>
      </c>
      <c r="Q708" s="26" t="str">
        <f>VLOOKUP(M708,[1]LPU!$A$2:$G$1512,5,FALSE())</f>
        <v>U</v>
      </c>
      <c r="R708" s="27">
        <f>VLOOKUP(M708,[1]LPU!$A$2:$G$1512,6,FALSE())</f>
        <v>114750</v>
      </c>
      <c r="S708" s="27" t="str">
        <f>VLOOKUP(M708,[1]LPU!$A$2:$G$1512,7,FALSE())</f>
        <v>LPU FLM</v>
      </c>
      <c r="T708" s="28">
        <v>1</v>
      </c>
      <c r="U708" s="29">
        <f t="shared" si="8"/>
        <v>114750</v>
      </c>
      <c r="V708" s="29" t="s">
        <v>77</v>
      </c>
      <c r="W708" s="30"/>
      <c r="X708" s="29" t="s">
        <v>274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ht="21" customHeight="1" x14ac:dyDescent="0.3">
      <c r="A709" s="22">
        <v>705</v>
      </c>
      <c r="B709" s="23">
        <v>1</v>
      </c>
      <c r="C709" s="23" t="s">
        <v>275</v>
      </c>
      <c r="D709" s="23" t="str">
        <f>VLOOKUP(C709,'[1]1.CUADRO RESUMEN DE SITIOS '!$C$5:$L$1052,2,FALSE())</f>
        <v>JSUC_00248</v>
      </c>
      <c r="E709" s="24">
        <f>VLOOKUP(C709,'[1]1.CUADRO RESUMEN DE SITIOS '!$C$5:$L$1052,3,FALSE())</f>
        <v>45942</v>
      </c>
      <c r="F709" s="23">
        <f>VLOOKUP(C709,'[1]1.CUADRO RESUMEN DE SITIOS '!$C$5:$L$1052,4,FALSE())</f>
        <v>8.4351330000000004</v>
      </c>
      <c r="G709" s="23">
        <f>VLOOKUP(C709,'[1]1.CUADRO RESUMEN DE SITIOS '!$C$5:$L$1052,5,FALSE())</f>
        <v>-74.827453000000006</v>
      </c>
      <c r="H709" s="23" t="str">
        <f>VLOOKUP(C709,'[1]1.CUADRO RESUMEN DE SITIOS '!$C$5:$L$1052,6,FALSE())</f>
        <v>Sucre</v>
      </c>
      <c r="I709" s="23" t="str">
        <f>VLOOKUP(C709,'[1]1.CUADRO RESUMEN DE SITIOS '!$C$5:$L$1052,7,FALSE())</f>
        <v>WOM</v>
      </c>
      <c r="J709" s="25" t="str">
        <f>VLOOKUP(C709,'[1]1.CUADRO RESUMEN DE SITIOS '!$C$5:$L$1052,8,FALSE())</f>
        <v>COSTA</v>
      </c>
      <c r="K709" s="23" t="str">
        <f>VLOOKUP(C709,'[1]1.CUADRO RESUMEN DE SITIOS '!$C$5:$L$1052,9,FALSE())</f>
        <v>Alfredo de la Cruz</v>
      </c>
      <c r="L709" s="26" t="str">
        <f>VLOOKUP(C709,'[1]1.CUADRO RESUMEN DE SITIOS '!$C$5:$L$1052,10,FALSE())</f>
        <v>Terminado</v>
      </c>
      <c r="M709" s="26">
        <v>8828119848</v>
      </c>
      <c r="N709" s="26">
        <f>VLOOKUP(M709,[1]LPU!$A$2:$G$1512,2,FALSE())</f>
        <v>157</v>
      </c>
      <c r="O709" s="26" t="str">
        <f>VLOOKUP(M709,[1]LPU!$A$2:$G$1512,3,FALSE)</f>
        <v>Reja para equipo cabinet x 2 baterías</v>
      </c>
      <c r="P709" s="26" t="str">
        <f>VLOOKUP(M709,[1]LPU!$A$2:$G$1512,4,FALSE())</f>
        <v>LOCATIVO</v>
      </c>
      <c r="Q709" s="26" t="str">
        <f>VLOOKUP(M709,[1]LPU!$A$2:$G$1512,5,FALSE())</f>
        <v>U</v>
      </c>
      <c r="R709" s="27">
        <f>VLOOKUP(M709,[1]LPU!$A$2:$G$1512,6,FALSE())</f>
        <v>415303</v>
      </c>
      <c r="S709" s="27" t="str">
        <f>VLOOKUP(M709,[1]LPU!$A$2:$G$1512,7,FALSE())</f>
        <v>LPU FLM</v>
      </c>
      <c r="T709" s="28">
        <v>1</v>
      </c>
      <c r="U709" s="29">
        <f t="shared" si="8"/>
        <v>415303</v>
      </c>
      <c r="V709" s="29" t="s">
        <v>77</v>
      </c>
      <c r="W709" s="30"/>
      <c r="X709" s="29" t="s">
        <v>274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ht="21" customHeight="1" x14ac:dyDescent="0.3">
      <c r="A710" s="22">
        <v>706</v>
      </c>
      <c r="B710" s="23">
        <v>1</v>
      </c>
      <c r="C710" s="23" t="s">
        <v>275</v>
      </c>
      <c r="D710" s="23" t="str">
        <f>VLOOKUP(C710,'[1]1.CUADRO RESUMEN DE SITIOS '!$C$5:$L$1052,2,FALSE())</f>
        <v>JSUC_00248</v>
      </c>
      <c r="E710" s="24">
        <f>VLOOKUP(C710,'[1]1.CUADRO RESUMEN DE SITIOS '!$C$5:$L$1052,3,FALSE())</f>
        <v>45942</v>
      </c>
      <c r="F710" s="23">
        <f>VLOOKUP(C710,'[1]1.CUADRO RESUMEN DE SITIOS '!$C$5:$L$1052,4,FALSE())</f>
        <v>8.4351330000000004</v>
      </c>
      <c r="G710" s="23">
        <f>VLOOKUP(C710,'[1]1.CUADRO RESUMEN DE SITIOS '!$C$5:$L$1052,5,FALSE())</f>
        <v>-74.827453000000006</v>
      </c>
      <c r="H710" s="23" t="str">
        <f>VLOOKUP(C710,'[1]1.CUADRO RESUMEN DE SITIOS '!$C$5:$L$1052,6,FALSE())</f>
        <v>Sucre</v>
      </c>
      <c r="I710" s="23" t="str">
        <f>VLOOKUP(C710,'[1]1.CUADRO RESUMEN DE SITIOS '!$C$5:$L$1052,7,FALSE())</f>
        <v>WOM</v>
      </c>
      <c r="J710" s="25" t="str">
        <f>VLOOKUP(C710,'[1]1.CUADRO RESUMEN DE SITIOS '!$C$5:$L$1052,8,FALSE())</f>
        <v>COSTA</v>
      </c>
      <c r="K710" s="23" t="str">
        <f>VLOOKUP(C710,'[1]1.CUADRO RESUMEN DE SITIOS '!$C$5:$L$1052,9,FALSE())</f>
        <v>Alfredo de la Cruz</v>
      </c>
      <c r="L710" s="26" t="str">
        <f>VLOOKUP(C710,'[1]1.CUADRO RESUMEN DE SITIOS '!$C$5:$L$1052,10,FALSE())</f>
        <v>Terminado</v>
      </c>
      <c r="M710" s="26">
        <v>8828119045</v>
      </c>
      <c r="N710" s="26">
        <f>VLOOKUP(M710,[1]LPU!$A$2:$G$1512,2,FALSE())</f>
        <v>5.29</v>
      </c>
      <c r="O710" s="26" t="str">
        <f>VLOOKUP(M710,[1]LPU!$A$2:$G$1512,3,FALSE)</f>
        <v>Suministro e instalación de estructura metálica en acero galvanizado para refuerzo, soportes, bases y adecuaciones en general.</v>
      </c>
      <c r="P710" s="26" t="str">
        <f>VLOOKUP(M710,[1]LPU!$A$2:$G$1512,4,FALSE())</f>
        <v>Mantenimiento CW</v>
      </c>
      <c r="Q710" s="26" t="str">
        <f>VLOOKUP(M710,[1]LPU!$A$2:$G$1512,5,FALSE())</f>
        <v>Kg</v>
      </c>
      <c r="R710" s="27">
        <f>VLOOKUP(M710,[1]LPU!$A$2:$G$1512,6,FALSE())</f>
        <v>12911.5</v>
      </c>
      <c r="S710" s="27" t="str">
        <f>VLOOKUP(M710,[1]LPU!$A$2:$G$1512,7,FALSE())</f>
        <v>Mantenimiento CW</v>
      </c>
      <c r="T710" s="28">
        <v>22</v>
      </c>
      <c r="U710" s="29">
        <f t="shared" si="8"/>
        <v>284053</v>
      </c>
      <c r="V710" s="29" t="s">
        <v>77</v>
      </c>
      <c r="W710" s="30"/>
      <c r="X710" s="29" t="s">
        <v>274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ht="21" customHeight="1" x14ac:dyDescent="0.3">
      <c r="A711" s="22">
        <v>707</v>
      </c>
      <c r="B711" s="23">
        <v>1</v>
      </c>
      <c r="C711" s="23" t="s">
        <v>275</v>
      </c>
      <c r="D711" s="23" t="str">
        <f>VLOOKUP(C711,'[1]1.CUADRO RESUMEN DE SITIOS '!$C$5:$L$1052,2,FALSE())</f>
        <v>JSUC_00248</v>
      </c>
      <c r="E711" s="24">
        <f>VLOOKUP(C711,'[1]1.CUADRO RESUMEN DE SITIOS '!$C$5:$L$1052,3,FALSE())</f>
        <v>45942</v>
      </c>
      <c r="F711" s="23">
        <f>VLOOKUP(C711,'[1]1.CUADRO RESUMEN DE SITIOS '!$C$5:$L$1052,4,FALSE())</f>
        <v>8.4351330000000004</v>
      </c>
      <c r="G711" s="23">
        <f>VLOOKUP(C711,'[1]1.CUADRO RESUMEN DE SITIOS '!$C$5:$L$1052,5,FALSE())</f>
        <v>-74.827453000000006</v>
      </c>
      <c r="H711" s="23" t="str">
        <f>VLOOKUP(C711,'[1]1.CUADRO RESUMEN DE SITIOS '!$C$5:$L$1052,6,FALSE())</f>
        <v>Sucre</v>
      </c>
      <c r="I711" s="23" t="str">
        <f>VLOOKUP(C711,'[1]1.CUADRO RESUMEN DE SITIOS '!$C$5:$L$1052,7,FALSE())</f>
        <v>WOM</v>
      </c>
      <c r="J711" s="25" t="str">
        <f>VLOOKUP(C711,'[1]1.CUADRO RESUMEN DE SITIOS '!$C$5:$L$1052,8,FALSE())</f>
        <v>COSTA</v>
      </c>
      <c r="K711" s="23" t="str">
        <f>VLOOKUP(C711,'[1]1.CUADRO RESUMEN DE SITIOS '!$C$5:$L$1052,9,FALSE())</f>
        <v>Alfredo de la Cruz</v>
      </c>
      <c r="L711" s="26" t="str">
        <f>VLOOKUP(C711,'[1]1.CUADRO RESUMEN DE SITIOS '!$C$5:$L$1052,10,FALSE())</f>
        <v>Terminado</v>
      </c>
      <c r="M711" s="26">
        <v>8828119599</v>
      </c>
      <c r="N711" s="26">
        <f>VLOOKUP(M711,[1]LPU!$A$2:$G$1512,2,FALSE())</f>
        <v>197</v>
      </c>
      <c r="O711" s="26" t="str">
        <f>VLOOKUP(M711,[1]LPU!$A$2:$G$1512,3,FALSE)</f>
        <v>Transporte de Equipos y Materiales, Carga y Descarga, desde y hacía Bodega Regional. Mas de 1 Tonelada. ZONA 2 (Resolución 5078 de 2016)</v>
      </c>
      <c r="P711" s="26" t="str">
        <f>VLOOKUP(M711,[1]LPU!$A$2:$G$1512,4,FALSE())</f>
        <v>LOCATIVO</v>
      </c>
      <c r="Q711" s="26" t="str">
        <f>VLOOKUP(M711,[1]LPU!$A$2:$G$1512,5,FALSE())</f>
        <v>U</v>
      </c>
      <c r="R711" s="27">
        <f>VLOOKUP(M711,[1]LPU!$A$2:$G$1512,6,FALSE())</f>
        <v>680680</v>
      </c>
      <c r="S711" s="27" t="str">
        <f>VLOOKUP(M711,[1]LPU!$A$2:$G$1512,7,FALSE())</f>
        <v>LPU FLM</v>
      </c>
      <c r="T711" s="28">
        <v>1</v>
      </c>
      <c r="U711" s="29">
        <f t="shared" si="8"/>
        <v>680680</v>
      </c>
      <c r="V711" s="29" t="s">
        <v>77</v>
      </c>
      <c r="W711" s="30"/>
      <c r="X711" s="29" t="s">
        <v>274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ht="21" customHeight="1" x14ac:dyDescent="0.3">
      <c r="A712" s="22">
        <v>708</v>
      </c>
      <c r="B712" s="23">
        <v>1</v>
      </c>
      <c r="C712" s="23" t="s">
        <v>275</v>
      </c>
      <c r="D712" s="23" t="str">
        <f>VLOOKUP(C712,'[1]1.CUADRO RESUMEN DE SITIOS '!$C$5:$L$1052,2,FALSE())</f>
        <v>JSUC_00248</v>
      </c>
      <c r="E712" s="24">
        <f>VLOOKUP(C712,'[1]1.CUADRO RESUMEN DE SITIOS '!$C$5:$L$1052,3,FALSE())</f>
        <v>45942</v>
      </c>
      <c r="F712" s="23">
        <f>VLOOKUP(C712,'[1]1.CUADRO RESUMEN DE SITIOS '!$C$5:$L$1052,4,FALSE())</f>
        <v>8.4351330000000004</v>
      </c>
      <c r="G712" s="23">
        <f>VLOOKUP(C712,'[1]1.CUADRO RESUMEN DE SITIOS '!$C$5:$L$1052,5,FALSE())</f>
        <v>-74.827453000000006</v>
      </c>
      <c r="H712" s="23" t="str">
        <f>VLOOKUP(C712,'[1]1.CUADRO RESUMEN DE SITIOS '!$C$5:$L$1052,6,FALSE())</f>
        <v>Sucre</v>
      </c>
      <c r="I712" s="23" t="str">
        <f>VLOOKUP(C712,'[1]1.CUADRO RESUMEN DE SITIOS '!$C$5:$L$1052,7,FALSE())</f>
        <v>WOM</v>
      </c>
      <c r="J712" s="25" t="str">
        <f>VLOOKUP(C712,'[1]1.CUADRO RESUMEN DE SITIOS '!$C$5:$L$1052,8,FALSE())</f>
        <v>COSTA</v>
      </c>
      <c r="K712" s="23" t="str">
        <f>VLOOKUP(C712,'[1]1.CUADRO RESUMEN DE SITIOS '!$C$5:$L$1052,9,FALSE())</f>
        <v>Alfredo de la Cruz</v>
      </c>
      <c r="L712" s="26" t="str">
        <f>VLOOKUP(C712,'[1]1.CUADRO RESUMEN DE SITIOS '!$C$5:$L$1052,10,FALSE())</f>
        <v>Terminado</v>
      </c>
      <c r="M712" s="26">
        <v>8828119110</v>
      </c>
      <c r="N712" s="26">
        <f>VLOOKUP(M712,[1]LPU!$A$2:$G$1512,2,FALSE())</f>
        <v>107</v>
      </c>
      <c r="O712" s="26" t="str">
        <f>VLOOKUP(M712,[1]LPU!$A$2:$G$1512,3,FALSE)</f>
        <v>Mano de Obra Tecnico Electricista Certficado CONTE</v>
      </c>
      <c r="P712" s="26" t="str">
        <f>VLOOKUP(M712,[1]LPU!$A$2:$G$1512,4,FALSE())</f>
        <v>ENERGÍA</v>
      </c>
      <c r="Q712" s="26" t="str">
        <f>VLOOKUP(M712,[1]LPU!$A$2:$G$1512,5,FALSE())</f>
        <v>DIA</v>
      </c>
      <c r="R712" s="27">
        <f>VLOOKUP(M712,[1]LPU!$A$2:$G$1512,6,FALSE())</f>
        <v>136000</v>
      </c>
      <c r="S712" s="27" t="str">
        <f>VLOOKUP(M712,[1]LPU!$A$2:$G$1512,7,FALSE())</f>
        <v>LPU FLM</v>
      </c>
      <c r="T712" s="28">
        <v>1</v>
      </c>
      <c r="U712" s="29">
        <f t="shared" si="8"/>
        <v>136000</v>
      </c>
      <c r="V712" s="29" t="s">
        <v>77</v>
      </c>
      <c r="W712" s="30"/>
      <c r="X712" s="29" t="s">
        <v>274</v>
      </c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ht="21" customHeight="1" x14ac:dyDescent="0.3">
      <c r="A713" s="22">
        <v>709</v>
      </c>
      <c r="B713" s="23">
        <v>1</v>
      </c>
      <c r="C713" s="23" t="s">
        <v>275</v>
      </c>
      <c r="D713" s="23" t="str">
        <f>VLOOKUP(C713,'[1]1.CUADRO RESUMEN DE SITIOS '!$C$5:$L$1052,2,FALSE())</f>
        <v>JSUC_00248</v>
      </c>
      <c r="E713" s="24">
        <f>VLOOKUP(C713,'[1]1.CUADRO RESUMEN DE SITIOS '!$C$5:$L$1052,3,FALSE())</f>
        <v>45942</v>
      </c>
      <c r="F713" s="23">
        <f>VLOOKUP(C713,'[1]1.CUADRO RESUMEN DE SITIOS '!$C$5:$L$1052,4,FALSE())</f>
        <v>8.4351330000000004</v>
      </c>
      <c r="G713" s="23">
        <f>VLOOKUP(C713,'[1]1.CUADRO RESUMEN DE SITIOS '!$C$5:$L$1052,5,FALSE())</f>
        <v>-74.827453000000006</v>
      </c>
      <c r="H713" s="23" t="str">
        <f>VLOOKUP(C713,'[1]1.CUADRO RESUMEN DE SITIOS '!$C$5:$L$1052,6,FALSE())</f>
        <v>Sucre</v>
      </c>
      <c r="I713" s="23" t="str">
        <f>VLOOKUP(C713,'[1]1.CUADRO RESUMEN DE SITIOS '!$C$5:$L$1052,7,FALSE())</f>
        <v>WOM</v>
      </c>
      <c r="J713" s="25" t="str">
        <f>VLOOKUP(C713,'[1]1.CUADRO RESUMEN DE SITIOS '!$C$5:$L$1052,8,FALSE())</f>
        <v>COSTA</v>
      </c>
      <c r="K713" s="23" t="str">
        <f>VLOOKUP(C713,'[1]1.CUADRO RESUMEN DE SITIOS '!$C$5:$L$1052,9,FALSE())</f>
        <v>Alfredo de la Cruz</v>
      </c>
      <c r="L713" s="26" t="str">
        <f>VLOOKUP(C713,'[1]1.CUADRO RESUMEN DE SITIOS '!$C$5:$L$1052,10,FALSE())</f>
        <v>Terminado</v>
      </c>
      <c r="M713" s="26">
        <v>8828119938</v>
      </c>
      <c r="N713" s="26">
        <f>VLOOKUP(M713,[1]LPU!$A$2:$G$1512,2,FALSE())</f>
        <v>23</v>
      </c>
      <c r="O713" s="26" t="str">
        <f>VLOOKUP(M713,[1]LPU!$A$2:$G$1512,3,FALSE)</f>
        <v>Reubicación de 01 BBU desde gabinete existente hacia nuevo gabinete, incluye conexión de alimentación en ambos planos y etiquetado</v>
      </c>
      <c r="P713" s="26" t="str">
        <f>VLOOKUP(M713,[1]LPU!$A$2:$G$1512,4,FALSE())</f>
        <v>ACCESO</v>
      </c>
      <c r="Q713" s="26" t="str">
        <f>VLOOKUP(M713,[1]LPU!$A$2:$G$1512,5,FALSE())</f>
        <v>Por sector</v>
      </c>
      <c r="R713" s="27">
        <f>VLOOKUP(M713,[1]LPU!$A$2:$G$1512,6,FALSE())</f>
        <v>217413</v>
      </c>
      <c r="S713" s="27" t="str">
        <f>VLOOKUP(M713,[1]LPU!$A$2:$G$1512,7,FALSE())</f>
        <v>LPU FLM</v>
      </c>
      <c r="T713" s="28">
        <v>1</v>
      </c>
      <c r="U713" s="29">
        <f t="shared" si="8"/>
        <v>217413</v>
      </c>
      <c r="V713" s="29" t="s">
        <v>77</v>
      </c>
      <c r="W713" s="30"/>
      <c r="X713" s="29" t="s">
        <v>274</v>
      </c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ht="21" customHeight="1" x14ac:dyDescent="0.3">
      <c r="A714" s="22">
        <v>710</v>
      </c>
      <c r="B714" s="23">
        <v>1</v>
      </c>
      <c r="C714" s="23" t="s">
        <v>275</v>
      </c>
      <c r="D714" s="23" t="str">
        <f>VLOOKUP(C714,'[1]1.CUADRO RESUMEN DE SITIOS '!$C$5:$L$1052,2,FALSE())</f>
        <v>JSUC_00248</v>
      </c>
      <c r="E714" s="24">
        <f>VLOOKUP(C714,'[1]1.CUADRO RESUMEN DE SITIOS '!$C$5:$L$1052,3,FALSE())</f>
        <v>45942</v>
      </c>
      <c r="F714" s="23">
        <f>VLOOKUP(C714,'[1]1.CUADRO RESUMEN DE SITIOS '!$C$5:$L$1052,4,FALSE())</f>
        <v>8.4351330000000004</v>
      </c>
      <c r="G714" s="23">
        <f>VLOOKUP(C714,'[1]1.CUADRO RESUMEN DE SITIOS '!$C$5:$L$1052,5,FALSE())</f>
        <v>-74.827453000000006</v>
      </c>
      <c r="H714" s="23" t="str">
        <f>VLOOKUP(C714,'[1]1.CUADRO RESUMEN DE SITIOS '!$C$5:$L$1052,6,FALSE())</f>
        <v>Sucre</v>
      </c>
      <c r="I714" s="23" t="str">
        <f>VLOOKUP(C714,'[1]1.CUADRO RESUMEN DE SITIOS '!$C$5:$L$1052,7,FALSE())</f>
        <v>WOM</v>
      </c>
      <c r="J714" s="25" t="str">
        <f>VLOOKUP(C714,'[1]1.CUADRO RESUMEN DE SITIOS '!$C$5:$L$1052,8,FALSE())</f>
        <v>COSTA</v>
      </c>
      <c r="K714" s="23" t="str">
        <f>VLOOKUP(C714,'[1]1.CUADRO RESUMEN DE SITIOS '!$C$5:$L$1052,9,FALSE())</f>
        <v>Alfredo de la Cruz</v>
      </c>
      <c r="L714" s="26" t="str">
        <f>VLOOKUP(C714,'[1]1.CUADRO RESUMEN DE SITIOS '!$C$5:$L$1052,10,FALSE())</f>
        <v>Terminado</v>
      </c>
      <c r="M714" s="26">
        <v>8828119402</v>
      </c>
      <c r="N714" s="26">
        <f>VLOOKUP(M714,[1]LPU!$A$2:$G$1512,2,FALSE())</f>
        <v>4</v>
      </c>
      <c r="O714" s="26" t="str">
        <f>VLOOKUP(M714,[1]LPU!$A$2:$G$1512,3,FALSE)</f>
        <v>Apertura y Cierre de Reja de Seguridad para Revisión de Baterías</v>
      </c>
      <c r="P714" s="26" t="str">
        <f>VLOOKUP(M714,[1]LPU!$A$2:$G$1512,4,FALSE())</f>
        <v>ACCESO</v>
      </c>
      <c r="Q714" s="26" t="str">
        <f>VLOOKUP(M714,[1]LPU!$A$2:$G$1512,5,FALSE())</f>
        <v>U</v>
      </c>
      <c r="R714" s="27">
        <f>VLOOKUP(M714,[1]LPU!$A$2:$G$1512,6,FALSE())</f>
        <v>96900</v>
      </c>
      <c r="S714" s="27" t="str">
        <f>VLOOKUP(M714,[1]LPU!$A$2:$G$1512,7,FALSE())</f>
        <v>LPU FLM</v>
      </c>
      <c r="T714" s="28">
        <v>1</v>
      </c>
      <c r="U714" s="29">
        <f t="shared" si="8"/>
        <v>96900</v>
      </c>
      <c r="V714" s="29" t="s">
        <v>77</v>
      </c>
      <c r="W714" s="30"/>
      <c r="X714" s="29" t="s">
        <v>274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ht="21" customHeight="1" x14ac:dyDescent="0.3">
      <c r="A715" s="22">
        <v>711</v>
      </c>
      <c r="B715" s="23">
        <v>1</v>
      </c>
      <c r="C715" s="23" t="s">
        <v>275</v>
      </c>
      <c r="D715" s="23" t="str">
        <f>VLOOKUP(C715,'[1]1.CUADRO RESUMEN DE SITIOS '!$C$5:$L$1052,2,FALSE())</f>
        <v>JSUC_00248</v>
      </c>
      <c r="E715" s="24">
        <f>VLOOKUP(C715,'[1]1.CUADRO RESUMEN DE SITIOS '!$C$5:$L$1052,3,FALSE())</f>
        <v>45942</v>
      </c>
      <c r="F715" s="23">
        <f>VLOOKUP(C715,'[1]1.CUADRO RESUMEN DE SITIOS '!$C$5:$L$1052,4,FALSE())</f>
        <v>8.4351330000000004</v>
      </c>
      <c r="G715" s="23">
        <f>VLOOKUP(C715,'[1]1.CUADRO RESUMEN DE SITIOS '!$C$5:$L$1052,5,FALSE())</f>
        <v>-74.827453000000006</v>
      </c>
      <c r="H715" s="23" t="str">
        <f>VLOOKUP(C715,'[1]1.CUADRO RESUMEN DE SITIOS '!$C$5:$L$1052,6,FALSE())</f>
        <v>Sucre</v>
      </c>
      <c r="I715" s="23" t="str">
        <f>VLOOKUP(C715,'[1]1.CUADRO RESUMEN DE SITIOS '!$C$5:$L$1052,7,FALSE())</f>
        <v>WOM</v>
      </c>
      <c r="J715" s="25" t="str">
        <f>VLOOKUP(C715,'[1]1.CUADRO RESUMEN DE SITIOS '!$C$5:$L$1052,8,FALSE())</f>
        <v>COSTA</v>
      </c>
      <c r="K715" s="23" t="str">
        <f>VLOOKUP(C715,'[1]1.CUADRO RESUMEN DE SITIOS '!$C$5:$L$1052,9,FALSE())</f>
        <v>Alfredo de la Cruz</v>
      </c>
      <c r="L715" s="26" t="str">
        <f>VLOOKUP(C715,'[1]1.CUADRO RESUMEN DE SITIOS '!$C$5:$L$1052,10,FALSE())</f>
        <v>Terminado</v>
      </c>
      <c r="M715" s="26">
        <v>8828119250</v>
      </c>
      <c r="N715" s="26">
        <f>VLOOKUP(M715,[1]LPU!$A$2:$G$1512,2,FALSE())</f>
        <v>0</v>
      </c>
      <c r="O715" s="26" t="str">
        <f>VLOOKUP(M715,[1]LPU!$A$2:$G$1512,3,FALSE)</f>
        <v>Suministro e instalación coraza americana de 1 1/2" - Incluye 100% accesorios</v>
      </c>
      <c r="P715" s="26" t="str">
        <f>VLOOKUP(M715,[1]LPU!$A$2:$G$1512,4,FALSE())</f>
        <v>Variables</v>
      </c>
      <c r="Q715" s="26" t="str">
        <f>VLOOKUP(M715,[1]LPU!$A$2:$G$1512,5,FALSE())</f>
        <v>ml</v>
      </c>
      <c r="R715" s="27">
        <f>VLOOKUP(M715,[1]LPU!$A$2:$G$1512,6,FALSE())</f>
        <v>12410</v>
      </c>
      <c r="S715" s="27" t="str">
        <f>VLOOKUP(M715,[1]LPU!$A$2:$G$1512,7,FALSE())</f>
        <v>LPU FO</v>
      </c>
      <c r="T715" s="28">
        <v>8</v>
      </c>
      <c r="U715" s="29">
        <f t="shared" si="8"/>
        <v>99280</v>
      </c>
      <c r="V715" s="29" t="s">
        <v>77</v>
      </c>
      <c r="W715" s="30"/>
      <c r="X715" s="29" t="s">
        <v>274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ht="21" customHeight="1" x14ac:dyDescent="0.3">
      <c r="A716" s="22">
        <v>712</v>
      </c>
      <c r="B716" s="23">
        <v>1</v>
      </c>
      <c r="C716" s="23" t="s">
        <v>276</v>
      </c>
      <c r="D716" s="23" t="str">
        <f>VLOOKUP(C716,'[1]1.CUADRO RESUMEN DE SITIOS '!$C$5:$L$1052,2,FALSE())</f>
        <v>NAR_06023</v>
      </c>
      <c r="E716" s="24">
        <f>VLOOKUP(C716,'[1]1.CUADRO RESUMEN DE SITIOS '!$C$5:$L$1052,3,FALSE())</f>
        <v>45948</v>
      </c>
      <c r="F716" s="23">
        <f>VLOOKUP(C716,'[1]1.CUADRO RESUMEN DE SITIOS '!$C$5:$L$1052,4,FALSE())</f>
        <v>1.7853699999999999</v>
      </c>
      <c r="G716" s="23">
        <f>VLOOKUP(C716,'[1]1.CUADRO RESUMEN DE SITIOS '!$C$5:$L$1052,5,FALSE())</f>
        <v>-78.783900000000003</v>
      </c>
      <c r="H716" s="23" t="str">
        <f>VLOOKUP(C716,'[1]1.CUADRO RESUMEN DE SITIOS '!$C$5:$L$1052,6,FALSE())</f>
        <v>Nariño</v>
      </c>
      <c r="I716" s="23" t="str">
        <f>VLOOKUP(C716,'[1]1.CUADRO RESUMEN DE SITIOS '!$C$5:$L$1052,7,FALSE())</f>
        <v>WOM</v>
      </c>
      <c r="J716" s="25" t="str">
        <f>VLOOKUP(C716,'[1]1.CUADRO RESUMEN DE SITIOS '!$C$5:$L$1052,8,FALSE())</f>
        <v>SUROCCIDENTE</v>
      </c>
      <c r="K716" s="23" t="str">
        <f>VLOOKUP(C716,'[1]1.CUADRO RESUMEN DE SITIOS '!$C$5:$L$1052,9,FALSE())</f>
        <v>Wilson Alejandro Solarte</v>
      </c>
      <c r="L716" s="26" t="str">
        <f>VLOOKUP(C716,'[1]1.CUADRO RESUMEN DE SITIOS '!$C$5:$L$1052,10,FALSE())</f>
        <v>Terminado</v>
      </c>
      <c r="M716" s="26">
        <v>8828119492</v>
      </c>
      <c r="N716" s="26">
        <f>VLOOKUP(M716,[1]LPU!$A$2:$G$1512,2,FALSE())</f>
        <v>53</v>
      </c>
      <c r="O716" s="26" t="str">
        <f>VLOOKUP(M716,[1]LPU!$A$2:$G$1512,3,FALSE)</f>
        <v>Instalación Banco de Baterias para Rectificadores - Aplica para ampliaciones.</v>
      </c>
      <c r="P716" s="26" t="str">
        <f>VLOOKUP(M716,[1]LPU!$A$2:$G$1512,4,FALSE())</f>
        <v>ENERGÍA</v>
      </c>
      <c r="Q716" s="26" t="str">
        <f>VLOOKUP(M716,[1]LPU!$A$2:$G$1512,5,FALSE())</f>
        <v>U</v>
      </c>
      <c r="R716" s="27">
        <f>VLOOKUP(M716,[1]LPU!$A$2:$G$1512,6,FALSE())</f>
        <v>102340</v>
      </c>
      <c r="S716" s="27" t="str">
        <f>VLOOKUP(M716,[1]LPU!$A$2:$G$1512,7,FALSE())</f>
        <v>LPU FLM</v>
      </c>
      <c r="T716" s="28">
        <v>1</v>
      </c>
      <c r="U716" s="29">
        <f t="shared" si="8"/>
        <v>102340</v>
      </c>
      <c r="V716" s="29" t="s">
        <v>77</v>
      </c>
      <c r="W716" s="30"/>
      <c r="X716" s="29" t="s">
        <v>274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ht="21" customHeight="1" x14ac:dyDescent="0.3">
      <c r="A717" s="22">
        <v>713</v>
      </c>
      <c r="B717" s="23">
        <v>1</v>
      </c>
      <c r="C717" s="23" t="s">
        <v>276</v>
      </c>
      <c r="D717" s="23" t="str">
        <f>VLOOKUP(C717,'[1]1.CUADRO RESUMEN DE SITIOS '!$C$5:$L$1052,2,FALSE())</f>
        <v>NAR_06023</v>
      </c>
      <c r="E717" s="24">
        <f>VLOOKUP(C717,'[1]1.CUADRO RESUMEN DE SITIOS '!$C$5:$L$1052,3,FALSE())</f>
        <v>45948</v>
      </c>
      <c r="F717" s="23">
        <f>VLOOKUP(C717,'[1]1.CUADRO RESUMEN DE SITIOS '!$C$5:$L$1052,4,FALSE())</f>
        <v>1.7853699999999999</v>
      </c>
      <c r="G717" s="23">
        <f>VLOOKUP(C717,'[1]1.CUADRO RESUMEN DE SITIOS '!$C$5:$L$1052,5,FALSE())</f>
        <v>-78.783900000000003</v>
      </c>
      <c r="H717" s="23" t="str">
        <f>VLOOKUP(C717,'[1]1.CUADRO RESUMEN DE SITIOS '!$C$5:$L$1052,6,FALSE())</f>
        <v>Nariño</v>
      </c>
      <c r="I717" s="23" t="str">
        <f>VLOOKUP(C717,'[1]1.CUADRO RESUMEN DE SITIOS '!$C$5:$L$1052,7,FALSE())</f>
        <v>WOM</v>
      </c>
      <c r="J717" s="25" t="str">
        <f>VLOOKUP(C717,'[1]1.CUADRO RESUMEN DE SITIOS '!$C$5:$L$1052,8,FALSE())</f>
        <v>SUROCCIDENTE</v>
      </c>
      <c r="K717" s="23" t="str">
        <f>VLOOKUP(C717,'[1]1.CUADRO RESUMEN DE SITIOS '!$C$5:$L$1052,9,FALSE())</f>
        <v>Wilson Alejandro Solarte</v>
      </c>
      <c r="L717" s="26" t="str">
        <f>VLOOKUP(C717,'[1]1.CUADRO RESUMEN DE SITIOS '!$C$5:$L$1052,10,FALSE())</f>
        <v>Terminado</v>
      </c>
      <c r="M717" s="26">
        <v>8828119512</v>
      </c>
      <c r="N717" s="26">
        <f>VLOOKUP(M717,[1]LPU!$A$2:$G$1512,2,FALSE())</f>
        <v>55</v>
      </c>
      <c r="O717" s="26" t="str">
        <f>VLOOKUP(M717,[1]LPU!$A$2:$G$1512,3,FALSE)</f>
        <v>Transporte Banco de Baterias</v>
      </c>
      <c r="P717" s="26" t="str">
        <f>VLOOKUP(M717,[1]LPU!$A$2:$G$1512,4,FALSE())</f>
        <v>ENERGÍA</v>
      </c>
      <c r="Q717" s="26" t="str">
        <f>VLOOKUP(M717,[1]LPU!$A$2:$G$1512,5,FALSE())</f>
        <v>U</v>
      </c>
      <c r="R717" s="27">
        <f>VLOOKUP(M717,[1]LPU!$A$2:$G$1512,6,FALSE())</f>
        <v>82212</v>
      </c>
      <c r="S717" s="27" t="str">
        <f>VLOOKUP(M717,[1]LPU!$A$2:$G$1512,7,FALSE())</f>
        <v>LPU FLM</v>
      </c>
      <c r="T717" s="28">
        <v>1</v>
      </c>
      <c r="U717" s="29">
        <f t="shared" si="8"/>
        <v>82212</v>
      </c>
      <c r="V717" s="29" t="s">
        <v>77</v>
      </c>
      <c r="W717" s="30"/>
      <c r="X717" s="29" t="s">
        <v>274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ht="21" customHeight="1" x14ac:dyDescent="0.3">
      <c r="A718" s="22">
        <v>714</v>
      </c>
      <c r="B718" s="23">
        <v>1</v>
      </c>
      <c r="C718" s="23" t="s">
        <v>276</v>
      </c>
      <c r="D718" s="23" t="str">
        <f>VLOOKUP(C718,'[1]1.CUADRO RESUMEN DE SITIOS '!$C$5:$L$1052,2,FALSE())</f>
        <v>NAR_06023</v>
      </c>
      <c r="E718" s="24">
        <f>VLOOKUP(C718,'[1]1.CUADRO RESUMEN DE SITIOS '!$C$5:$L$1052,3,FALSE())</f>
        <v>45948</v>
      </c>
      <c r="F718" s="23">
        <f>VLOOKUP(C718,'[1]1.CUADRO RESUMEN DE SITIOS '!$C$5:$L$1052,4,FALSE())</f>
        <v>1.7853699999999999</v>
      </c>
      <c r="G718" s="23">
        <f>VLOOKUP(C718,'[1]1.CUADRO RESUMEN DE SITIOS '!$C$5:$L$1052,5,FALSE())</f>
        <v>-78.783900000000003</v>
      </c>
      <c r="H718" s="23" t="str">
        <f>VLOOKUP(C718,'[1]1.CUADRO RESUMEN DE SITIOS '!$C$5:$L$1052,6,FALSE())</f>
        <v>Nariño</v>
      </c>
      <c r="I718" s="23" t="str">
        <f>VLOOKUP(C718,'[1]1.CUADRO RESUMEN DE SITIOS '!$C$5:$L$1052,7,FALSE())</f>
        <v>WOM</v>
      </c>
      <c r="J718" s="25" t="str">
        <f>VLOOKUP(C718,'[1]1.CUADRO RESUMEN DE SITIOS '!$C$5:$L$1052,8,FALSE())</f>
        <v>SUROCCIDENTE</v>
      </c>
      <c r="K718" s="23" t="str">
        <f>VLOOKUP(C718,'[1]1.CUADRO RESUMEN DE SITIOS '!$C$5:$L$1052,9,FALSE())</f>
        <v>Wilson Alejandro Solarte</v>
      </c>
      <c r="L718" s="26" t="str">
        <f>VLOOKUP(C718,'[1]1.CUADRO RESUMEN DE SITIOS '!$C$5:$L$1052,10,FALSE())</f>
        <v>Terminado</v>
      </c>
      <c r="M718" s="26">
        <v>8828118999</v>
      </c>
      <c r="N718" s="26">
        <f>VLOOKUP(M718,[1]LPU!$A$2:$G$1512,2,FALSE())</f>
        <v>0</v>
      </c>
      <c r="O718" s="26" t="str">
        <f>VLOOKUP(M718,[1]LPU!$A$2:$G$1512,3,FALSE)</f>
        <v>Suministro e instalación de cable UTP Categoría 6, con conectores en sus extremos, certificado</v>
      </c>
      <c r="P718" s="26" t="str">
        <f>VLOOKUP(M718,[1]LPU!$A$2:$G$1512,4,FALSE())</f>
        <v>Item Critico</v>
      </c>
      <c r="Q718" s="26" t="str">
        <f>VLOOKUP(M718,[1]LPU!$A$2:$G$1512,5,FALSE())</f>
        <v>m</v>
      </c>
      <c r="R718" s="27">
        <f>VLOOKUP(M718,[1]LPU!$A$2:$G$1512,6,FALSE())</f>
        <v>5913</v>
      </c>
      <c r="S718" s="27" t="str">
        <f>VLOOKUP(M718,[1]LPU!$A$2:$G$1512,7,FALSE())</f>
        <v>LPU FO Propia</v>
      </c>
      <c r="T718" s="28">
        <v>3</v>
      </c>
      <c r="U718" s="29">
        <f t="shared" si="8"/>
        <v>17739</v>
      </c>
      <c r="V718" s="29" t="s">
        <v>77</v>
      </c>
      <c r="W718" s="30"/>
      <c r="X718" s="29" t="s">
        <v>274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ht="21" customHeight="1" x14ac:dyDescent="0.3">
      <c r="A719" s="22">
        <v>715</v>
      </c>
      <c r="B719" s="23">
        <v>1</v>
      </c>
      <c r="C719" s="23" t="s">
        <v>276</v>
      </c>
      <c r="D719" s="23" t="str">
        <f>VLOOKUP(C719,'[1]1.CUADRO RESUMEN DE SITIOS '!$C$5:$L$1052,2,FALSE())</f>
        <v>NAR_06023</v>
      </c>
      <c r="E719" s="24">
        <f>VLOOKUP(C719,'[1]1.CUADRO RESUMEN DE SITIOS '!$C$5:$L$1052,3,FALSE())</f>
        <v>45948</v>
      </c>
      <c r="F719" s="23">
        <f>VLOOKUP(C719,'[1]1.CUADRO RESUMEN DE SITIOS '!$C$5:$L$1052,4,FALSE())</f>
        <v>1.7853699999999999</v>
      </c>
      <c r="G719" s="23">
        <f>VLOOKUP(C719,'[1]1.CUADRO RESUMEN DE SITIOS '!$C$5:$L$1052,5,FALSE())</f>
        <v>-78.783900000000003</v>
      </c>
      <c r="H719" s="23" t="str">
        <f>VLOOKUP(C719,'[1]1.CUADRO RESUMEN DE SITIOS '!$C$5:$L$1052,6,FALSE())</f>
        <v>Nariño</v>
      </c>
      <c r="I719" s="23" t="str">
        <f>VLOOKUP(C719,'[1]1.CUADRO RESUMEN DE SITIOS '!$C$5:$L$1052,7,FALSE())</f>
        <v>WOM</v>
      </c>
      <c r="J719" s="25" t="str">
        <f>VLOOKUP(C719,'[1]1.CUADRO RESUMEN DE SITIOS '!$C$5:$L$1052,8,FALSE())</f>
        <v>SUROCCIDENTE</v>
      </c>
      <c r="K719" s="23" t="str">
        <f>VLOOKUP(C719,'[1]1.CUADRO RESUMEN DE SITIOS '!$C$5:$L$1052,9,FALSE())</f>
        <v>Wilson Alejandro Solarte</v>
      </c>
      <c r="L719" s="26" t="str">
        <f>VLOOKUP(C719,'[1]1.CUADRO RESUMEN DE SITIOS '!$C$5:$L$1052,10,FALSE())</f>
        <v>Terminado</v>
      </c>
      <c r="M719" s="26">
        <v>8828118925</v>
      </c>
      <c r="N719" s="26">
        <f>VLOOKUP(M719,[1]LPU!$A$2:$G$1512,2,FALSE())</f>
        <v>87</v>
      </c>
      <c r="O719" s="26" t="str">
        <f>VLOOKUP(M719,[1]LPU!$A$2:$G$1512,3,FALSE)</f>
        <v>Suministro e Instalacion de cable multifilar #4 awg tipo soldador.</v>
      </c>
      <c r="P719" s="26" t="str">
        <f>VLOOKUP(M719,[1]LPU!$A$2:$G$1512,4,FALSE())</f>
        <v>ENERGÍA</v>
      </c>
      <c r="Q719" s="26" t="str">
        <f>VLOOKUP(M719,[1]LPU!$A$2:$G$1512,5,FALSE())</f>
        <v>ML</v>
      </c>
      <c r="R719" s="27">
        <f>VLOOKUP(M719,[1]LPU!$A$2:$G$1512,6,FALSE())</f>
        <v>60815.8</v>
      </c>
      <c r="S719" s="27" t="str">
        <f>VLOOKUP(M719,[1]LPU!$A$2:$G$1512,7,FALSE())</f>
        <v>LPU FLM</v>
      </c>
      <c r="T719" s="28">
        <v>6</v>
      </c>
      <c r="U719" s="29">
        <f t="shared" si="8"/>
        <v>364894.80000000005</v>
      </c>
      <c r="V719" s="29" t="s">
        <v>77</v>
      </c>
      <c r="W719" s="30"/>
      <c r="X719" s="29" t="s">
        <v>274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ht="21" customHeight="1" x14ac:dyDescent="0.3">
      <c r="A720" s="22">
        <v>716</v>
      </c>
      <c r="B720" s="23">
        <v>1</v>
      </c>
      <c r="C720" s="23" t="s">
        <v>276</v>
      </c>
      <c r="D720" s="23" t="str">
        <f>VLOOKUP(C720,'[1]1.CUADRO RESUMEN DE SITIOS '!$C$5:$L$1052,2,FALSE())</f>
        <v>NAR_06023</v>
      </c>
      <c r="E720" s="24">
        <f>VLOOKUP(C720,'[1]1.CUADRO RESUMEN DE SITIOS '!$C$5:$L$1052,3,FALSE())</f>
        <v>45948</v>
      </c>
      <c r="F720" s="23">
        <f>VLOOKUP(C720,'[1]1.CUADRO RESUMEN DE SITIOS '!$C$5:$L$1052,4,FALSE())</f>
        <v>1.7853699999999999</v>
      </c>
      <c r="G720" s="23">
        <f>VLOOKUP(C720,'[1]1.CUADRO RESUMEN DE SITIOS '!$C$5:$L$1052,5,FALSE())</f>
        <v>-78.783900000000003</v>
      </c>
      <c r="H720" s="23" t="str">
        <f>VLOOKUP(C720,'[1]1.CUADRO RESUMEN DE SITIOS '!$C$5:$L$1052,6,FALSE())</f>
        <v>Nariño</v>
      </c>
      <c r="I720" s="23" t="str">
        <f>VLOOKUP(C720,'[1]1.CUADRO RESUMEN DE SITIOS '!$C$5:$L$1052,7,FALSE())</f>
        <v>WOM</v>
      </c>
      <c r="J720" s="25" t="str">
        <f>VLOOKUP(C720,'[1]1.CUADRO RESUMEN DE SITIOS '!$C$5:$L$1052,8,FALSE())</f>
        <v>SUROCCIDENTE</v>
      </c>
      <c r="K720" s="23" t="str">
        <f>VLOOKUP(C720,'[1]1.CUADRO RESUMEN DE SITIOS '!$C$5:$L$1052,9,FALSE())</f>
        <v>Wilson Alejandro Solarte</v>
      </c>
      <c r="L720" s="26" t="str">
        <f>VLOOKUP(C720,'[1]1.CUADRO RESUMEN DE SITIOS '!$C$5:$L$1052,10,FALSE())</f>
        <v>Terminado</v>
      </c>
      <c r="M720" s="26">
        <v>8828118868</v>
      </c>
      <c r="N720" s="26">
        <f>VLOOKUP(M720,[1]LPU!$A$2:$G$1512,2,FALSE())</f>
        <v>81</v>
      </c>
      <c r="O720" s="26" t="str">
        <f>VLOOKUP(M720,[1]LPU!$A$2:$G$1512,3,FALSE)</f>
        <v>Suministro e Instalacion de terminal para cable awg # 2 en cobre estañado un ojo</v>
      </c>
      <c r="P720" s="26" t="str">
        <f>VLOOKUP(M720,[1]LPU!$A$2:$G$1512,4,FALSE())</f>
        <v>ENERGÍA</v>
      </c>
      <c r="Q720" s="26" t="str">
        <f>VLOOKUP(M720,[1]LPU!$A$2:$G$1512,5,FALSE())</f>
        <v>U</v>
      </c>
      <c r="R720" s="27">
        <f>VLOOKUP(M720,[1]LPU!$A$2:$G$1512,6,FALSE())</f>
        <v>2347</v>
      </c>
      <c r="S720" s="27" t="str">
        <f>VLOOKUP(M720,[1]LPU!$A$2:$G$1512,7,FALSE())</f>
        <v>LPU FLM</v>
      </c>
      <c r="T720" s="28">
        <v>4</v>
      </c>
      <c r="U720" s="29">
        <f t="shared" si="8"/>
        <v>9388</v>
      </c>
      <c r="V720" s="29" t="s">
        <v>77</v>
      </c>
      <c r="W720" s="30"/>
      <c r="X720" s="29" t="s">
        <v>274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ht="21" customHeight="1" x14ac:dyDescent="0.3">
      <c r="A721" s="22">
        <v>717</v>
      </c>
      <c r="B721" s="23">
        <v>1</v>
      </c>
      <c r="C721" s="23" t="s">
        <v>276</v>
      </c>
      <c r="D721" s="23" t="str">
        <f>VLOOKUP(C721,'[1]1.CUADRO RESUMEN DE SITIOS '!$C$5:$L$1052,2,FALSE())</f>
        <v>NAR_06023</v>
      </c>
      <c r="E721" s="24">
        <f>VLOOKUP(C721,'[1]1.CUADRO RESUMEN DE SITIOS '!$C$5:$L$1052,3,FALSE())</f>
        <v>45948</v>
      </c>
      <c r="F721" s="23">
        <f>VLOOKUP(C721,'[1]1.CUADRO RESUMEN DE SITIOS '!$C$5:$L$1052,4,FALSE())</f>
        <v>1.7853699999999999</v>
      </c>
      <c r="G721" s="23">
        <f>VLOOKUP(C721,'[1]1.CUADRO RESUMEN DE SITIOS '!$C$5:$L$1052,5,FALSE())</f>
        <v>-78.783900000000003</v>
      </c>
      <c r="H721" s="23" t="str">
        <f>VLOOKUP(C721,'[1]1.CUADRO RESUMEN DE SITIOS '!$C$5:$L$1052,6,FALSE())</f>
        <v>Nariño</v>
      </c>
      <c r="I721" s="23" t="str">
        <f>VLOOKUP(C721,'[1]1.CUADRO RESUMEN DE SITIOS '!$C$5:$L$1052,7,FALSE())</f>
        <v>WOM</v>
      </c>
      <c r="J721" s="25" t="str">
        <f>VLOOKUP(C721,'[1]1.CUADRO RESUMEN DE SITIOS '!$C$5:$L$1052,8,FALSE())</f>
        <v>SUROCCIDENTE</v>
      </c>
      <c r="K721" s="23" t="str">
        <f>VLOOKUP(C721,'[1]1.CUADRO RESUMEN DE SITIOS '!$C$5:$L$1052,9,FALSE())</f>
        <v>Wilson Alejandro Solarte</v>
      </c>
      <c r="L721" s="26" t="str">
        <f>VLOOKUP(C721,'[1]1.CUADRO RESUMEN DE SITIOS '!$C$5:$L$1052,10,FALSE())</f>
        <v>Terminado</v>
      </c>
      <c r="M721" s="26">
        <v>8828119980</v>
      </c>
      <c r="N721" s="26">
        <f>VLOOKUP(M721,[1]LPU!$A$2:$G$1512,2,FALSE())</f>
        <v>169</v>
      </c>
      <c r="O721" s="26" t="str">
        <f>VLOOKUP(M721,[1]LPU!$A$2:$G$1512,3,FALSE)</f>
        <v>Reforzamiento Protección Concreto para Rack de Baterías Incluye Materiales</v>
      </c>
      <c r="P721" s="26" t="str">
        <f>VLOOKUP(M721,[1]LPU!$A$2:$G$1512,4,FALSE())</f>
        <v>LOCATIVO</v>
      </c>
      <c r="Q721" s="26" t="str">
        <f>VLOOKUP(M721,[1]LPU!$A$2:$G$1512,5,FALSE())</f>
        <v>U</v>
      </c>
      <c r="R721" s="27">
        <f>VLOOKUP(M721,[1]LPU!$A$2:$G$1512,6,FALSE())</f>
        <v>114750</v>
      </c>
      <c r="S721" s="27" t="str">
        <f>VLOOKUP(M721,[1]LPU!$A$2:$G$1512,7,FALSE())</f>
        <v>LPU FLM</v>
      </c>
      <c r="T721" s="28">
        <v>1</v>
      </c>
      <c r="U721" s="29">
        <f t="shared" si="8"/>
        <v>114750</v>
      </c>
      <c r="V721" s="29" t="s">
        <v>77</v>
      </c>
      <c r="W721" s="30"/>
      <c r="X721" s="29" t="s">
        <v>274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ht="21" customHeight="1" x14ac:dyDescent="0.3">
      <c r="A722" s="22">
        <v>718</v>
      </c>
      <c r="B722" s="23">
        <v>1</v>
      </c>
      <c r="C722" s="23" t="s">
        <v>276</v>
      </c>
      <c r="D722" s="23" t="str">
        <f>VLOOKUP(C722,'[1]1.CUADRO RESUMEN DE SITIOS '!$C$5:$L$1052,2,FALSE())</f>
        <v>NAR_06023</v>
      </c>
      <c r="E722" s="24">
        <f>VLOOKUP(C722,'[1]1.CUADRO RESUMEN DE SITIOS '!$C$5:$L$1052,3,FALSE())</f>
        <v>45948</v>
      </c>
      <c r="F722" s="23">
        <f>VLOOKUP(C722,'[1]1.CUADRO RESUMEN DE SITIOS '!$C$5:$L$1052,4,FALSE())</f>
        <v>1.7853699999999999</v>
      </c>
      <c r="G722" s="23">
        <f>VLOOKUP(C722,'[1]1.CUADRO RESUMEN DE SITIOS '!$C$5:$L$1052,5,FALSE())</f>
        <v>-78.783900000000003</v>
      </c>
      <c r="H722" s="23" t="str">
        <f>VLOOKUP(C722,'[1]1.CUADRO RESUMEN DE SITIOS '!$C$5:$L$1052,6,FALSE())</f>
        <v>Nariño</v>
      </c>
      <c r="I722" s="23" t="str">
        <f>VLOOKUP(C722,'[1]1.CUADRO RESUMEN DE SITIOS '!$C$5:$L$1052,7,FALSE())</f>
        <v>WOM</v>
      </c>
      <c r="J722" s="25" t="str">
        <f>VLOOKUP(C722,'[1]1.CUADRO RESUMEN DE SITIOS '!$C$5:$L$1052,8,FALSE())</f>
        <v>SUROCCIDENTE</v>
      </c>
      <c r="K722" s="23" t="str">
        <f>VLOOKUP(C722,'[1]1.CUADRO RESUMEN DE SITIOS '!$C$5:$L$1052,9,FALSE())</f>
        <v>Wilson Alejandro Solarte</v>
      </c>
      <c r="L722" s="26" t="str">
        <f>VLOOKUP(C722,'[1]1.CUADRO RESUMEN DE SITIOS '!$C$5:$L$1052,10,FALSE())</f>
        <v>Terminado</v>
      </c>
      <c r="M722" s="26">
        <v>8828119867</v>
      </c>
      <c r="N722" s="26">
        <f>VLOOKUP(M722,[1]LPU!$A$2:$G$1512,2,FALSE())</f>
        <v>158</v>
      </c>
      <c r="O722" s="26" t="str">
        <f>VLOOKUP(M722,[1]LPU!$A$2:$G$1512,3,FALSE)</f>
        <v>Reja para equipo cabinet x 4 baterías</v>
      </c>
      <c r="P722" s="26" t="str">
        <f>VLOOKUP(M722,[1]LPU!$A$2:$G$1512,4,FALSE())</f>
        <v>LOCATIVO</v>
      </c>
      <c r="Q722" s="26" t="str">
        <f>VLOOKUP(M722,[1]LPU!$A$2:$G$1512,5,FALSE())</f>
        <v>U</v>
      </c>
      <c r="R722" s="27">
        <f>VLOOKUP(M722,[1]LPU!$A$2:$G$1512,6,FALSE())</f>
        <v>489135</v>
      </c>
      <c r="S722" s="27" t="str">
        <f>VLOOKUP(M722,[1]LPU!$A$2:$G$1512,7,FALSE())</f>
        <v>LPU FLM</v>
      </c>
      <c r="T722" s="28">
        <v>1</v>
      </c>
      <c r="U722" s="29">
        <f t="shared" si="8"/>
        <v>489135</v>
      </c>
      <c r="V722" s="29" t="s">
        <v>77</v>
      </c>
      <c r="W722" s="30"/>
      <c r="X722" s="29" t="s">
        <v>274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ht="21" customHeight="1" x14ac:dyDescent="0.3">
      <c r="A723" s="22">
        <v>719</v>
      </c>
      <c r="B723" s="23">
        <v>1</v>
      </c>
      <c r="C723" s="23" t="s">
        <v>276</v>
      </c>
      <c r="D723" s="23" t="str">
        <f>VLOOKUP(C723,'[1]1.CUADRO RESUMEN DE SITIOS '!$C$5:$L$1052,2,FALSE())</f>
        <v>NAR_06023</v>
      </c>
      <c r="E723" s="24">
        <f>VLOOKUP(C723,'[1]1.CUADRO RESUMEN DE SITIOS '!$C$5:$L$1052,3,FALSE())</f>
        <v>45948</v>
      </c>
      <c r="F723" s="23">
        <f>VLOOKUP(C723,'[1]1.CUADRO RESUMEN DE SITIOS '!$C$5:$L$1052,4,FALSE())</f>
        <v>1.7853699999999999</v>
      </c>
      <c r="G723" s="23">
        <f>VLOOKUP(C723,'[1]1.CUADRO RESUMEN DE SITIOS '!$C$5:$L$1052,5,FALSE())</f>
        <v>-78.783900000000003</v>
      </c>
      <c r="H723" s="23" t="str">
        <f>VLOOKUP(C723,'[1]1.CUADRO RESUMEN DE SITIOS '!$C$5:$L$1052,6,FALSE())</f>
        <v>Nariño</v>
      </c>
      <c r="I723" s="23" t="str">
        <f>VLOOKUP(C723,'[1]1.CUADRO RESUMEN DE SITIOS '!$C$5:$L$1052,7,FALSE())</f>
        <v>WOM</v>
      </c>
      <c r="J723" s="25" t="str">
        <f>VLOOKUP(C723,'[1]1.CUADRO RESUMEN DE SITIOS '!$C$5:$L$1052,8,FALSE())</f>
        <v>SUROCCIDENTE</v>
      </c>
      <c r="K723" s="23" t="str">
        <f>VLOOKUP(C723,'[1]1.CUADRO RESUMEN DE SITIOS '!$C$5:$L$1052,9,FALSE())</f>
        <v>Wilson Alejandro Solarte</v>
      </c>
      <c r="L723" s="26" t="str">
        <f>VLOOKUP(C723,'[1]1.CUADRO RESUMEN DE SITIOS '!$C$5:$L$1052,10,FALSE())</f>
        <v>Terminado</v>
      </c>
      <c r="M723" s="26">
        <v>8828119045</v>
      </c>
      <c r="N723" s="26">
        <f>VLOOKUP(M723,[1]LPU!$A$2:$G$1512,2,FALSE())</f>
        <v>5.29</v>
      </c>
      <c r="O723" s="26" t="str">
        <f>VLOOKUP(M723,[1]LPU!$A$2:$G$1512,3,FALSE)</f>
        <v>Suministro e instalación de estructura metálica en acero galvanizado para refuerzo, soportes, bases y adecuaciones en general.</v>
      </c>
      <c r="P723" s="26" t="str">
        <f>VLOOKUP(M723,[1]LPU!$A$2:$G$1512,4,FALSE())</f>
        <v>Mantenimiento CW</v>
      </c>
      <c r="Q723" s="26" t="str">
        <f>VLOOKUP(M723,[1]LPU!$A$2:$G$1512,5,FALSE())</f>
        <v>Kg</v>
      </c>
      <c r="R723" s="27">
        <f>VLOOKUP(M723,[1]LPU!$A$2:$G$1512,6,FALSE())</f>
        <v>12911.5</v>
      </c>
      <c r="S723" s="27" t="str">
        <f>VLOOKUP(M723,[1]LPU!$A$2:$G$1512,7,FALSE())</f>
        <v>Mantenimiento CW</v>
      </c>
      <c r="T723" s="28">
        <v>30</v>
      </c>
      <c r="U723" s="29">
        <f t="shared" si="8"/>
        <v>387345</v>
      </c>
      <c r="V723" s="29" t="s">
        <v>77</v>
      </c>
      <c r="W723" s="30"/>
      <c r="X723" s="29" t="s">
        <v>274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ht="21" customHeight="1" x14ac:dyDescent="0.3">
      <c r="A724" s="22">
        <v>720</v>
      </c>
      <c r="B724" s="23">
        <v>1</v>
      </c>
      <c r="C724" s="23" t="s">
        <v>276</v>
      </c>
      <c r="D724" s="23" t="str">
        <f>VLOOKUP(C724,'[1]1.CUADRO RESUMEN DE SITIOS '!$C$5:$L$1052,2,FALSE())</f>
        <v>NAR_06023</v>
      </c>
      <c r="E724" s="24">
        <f>VLOOKUP(C724,'[1]1.CUADRO RESUMEN DE SITIOS '!$C$5:$L$1052,3,FALSE())</f>
        <v>45948</v>
      </c>
      <c r="F724" s="23">
        <f>VLOOKUP(C724,'[1]1.CUADRO RESUMEN DE SITIOS '!$C$5:$L$1052,4,FALSE())</f>
        <v>1.7853699999999999</v>
      </c>
      <c r="G724" s="23">
        <f>VLOOKUP(C724,'[1]1.CUADRO RESUMEN DE SITIOS '!$C$5:$L$1052,5,FALSE())</f>
        <v>-78.783900000000003</v>
      </c>
      <c r="H724" s="23" t="str">
        <f>VLOOKUP(C724,'[1]1.CUADRO RESUMEN DE SITIOS '!$C$5:$L$1052,6,FALSE())</f>
        <v>Nariño</v>
      </c>
      <c r="I724" s="23" t="str">
        <f>VLOOKUP(C724,'[1]1.CUADRO RESUMEN DE SITIOS '!$C$5:$L$1052,7,FALSE())</f>
        <v>WOM</v>
      </c>
      <c r="J724" s="25" t="str">
        <f>VLOOKUP(C724,'[1]1.CUADRO RESUMEN DE SITIOS '!$C$5:$L$1052,8,FALSE())</f>
        <v>SUROCCIDENTE</v>
      </c>
      <c r="K724" s="23" t="str">
        <f>VLOOKUP(C724,'[1]1.CUADRO RESUMEN DE SITIOS '!$C$5:$L$1052,9,FALSE())</f>
        <v>Wilson Alejandro Solarte</v>
      </c>
      <c r="L724" s="26" t="str">
        <f>VLOOKUP(C724,'[1]1.CUADRO RESUMEN DE SITIOS '!$C$5:$L$1052,10,FALSE())</f>
        <v>Terminado</v>
      </c>
      <c r="M724" s="26">
        <v>8828119590</v>
      </c>
      <c r="N724" s="26">
        <f>VLOOKUP(M724,[1]LPU!$A$2:$G$1512,2,FALSE())</f>
        <v>196</v>
      </c>
      <c r="O724" s="26" t="str">
        <f>VLOOKUP(M724,[1]LPU!$A$2:$G$1512,3,FALSE)</f>
        <v>Transporte de Equipos y Materiales, Carga y Descarga, desde y hacía Bodega Regional. Mas de 1 Tonelada. ZONA 1 (Resolución 5078 de 2016)</v>
      </c>
      <c r="P724" s="26" t="str">
        <f>VLOOKUP(M724,[1]LPU!$A$2:$G$1512,4,FALSE())</f>
        <v>LOCATIVO</v>
      </c>
      <c r="Q724" s="26" t="str">
        <f>VLOOKUP(M724,[1]LPU!$A$2:$G$1512,5,FALSE())</f>
        <v>U</v>
      </c>
      <c r="R724" s="27">
        <f>VLOOKUP(M724,[1]LPU!$A$2:$G$1512,6,FALSE())</f>
        <v>389844</v>
      </c>
      <c r="S724" s="27" t="str">
        <f>VLOOKUP(M724,[1]LPU!$A$2:$G$1512,7,FALSE())</f>
        <v>LPU FLM</v>
      </c>
      <c r="T724" s="28">
        <v>1</v>
      </c>
      <c r="U724" s="29">
        <f t="shared" si="8"/>
        <v>389844</v>
      </c>
      <c r="V724" s="29" t="s">
        <v>77</v>
      </c>
      <c r="W724" s="30"/>
      <c r="X724" s="29" t="s">
        <v>274</v>
      </c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ht="21" customHeight="1" x14ac:dyDescent="0.3">
      <c r="A725" s="22">
        <v>721</v>
      </c>
      <c r="B725" s="23">
        <v>1</v>
      </c>
      <c r="C725" s="23" t="s">
        <v>276</v>
      </c>
      <c r="D725" s="23" t="str">
        <f>VLOOKUP(C725,'[1]1.CUADRO RESUMEN DE SITIOS '!$C$5:$L$1052,2,FALSE())</f>
        <v>NAR_06023</v>
      </c>
      <c r="E725" s="24">
        <f>VLOOKUP(C725,'[1]1.CUADRO RESUMEN DE SITIOS '!$C$5:$L$1052,3,FALSE())</f>
        <v>45948</v>
      </c>
      <c r="F725" s="23">
        <f>VLOOKUP(C725,'[1]1.CUADRO RESUMEN DE SITIOS '!$C$5:$L$1052,4,FALSE())</f>
        <v>1.7853699999999999</v>
      </c>
      <c r="G725" s="23">
        <f>VLOOKUP(C725,'[1]1.CUADRO RESUMEN DE SITIOS '!$C$5:$L$1052,5,FALSE())</f>
        <v>-78.783900000000003</v>
      </c>
      <c r="H725" s="23" t="str">
        <f>VLOOKUP(C725,'[1]1.CUADRO RESUMEN DE SITIOS '!$C$5:$L$1052,6,FALSE())</f>
        <v>Nariño</v>
      </c>
      <c r="I725" s="23" t="str">
        <f>VLOOKUP(C725,'[1]1.CUADRO RESUMEN DE SITIOS '!$C$5:$L$1052,7,FALSE())</f>
        <v>WOM</v>
      </c>
      <c r="J725" s="25" t="str">
        <f>VLOOKUP(C725,'[1]1.CUADRO RESUMEN DE SITIOS '!$C$5:$L$1052,8,FALSE())</f>
        <v>SUROCCIDENTE</v>
      </c>
      <c r="K725" s="23" t="str">
        <f>VLOOKUP(C725,'[1]1.CUADRO RESUMEN DE SITIOS '!$C$5:$L$1052,9,FALSE())</f>
        <v>Wilson Alejandro Solarte</v>
      </c>
      <c r="L725" s="26" t="str">
        <f>VLOOKUP(C725,'[1]1.CUADRO RESUMEN DE SITIOS '!$C$5:$L$1052,10,FALSE())</f>
        <v>Terminado</v>
      </c>
      <c r="M725" s="26">
        <v>8828119110</v>
      </c>
      <c r="N725" s="26">
        <f>VLOOKUP(M725,[1]LPU!$A$2:$G$1512,2,FALSE())</f>
        <v>107</v>
      </c>
      <c r="O725" s="26" t="str">
        <f>VLOOKUP(M725,[1]LPU!$A$2:$G$1512,3,FALSE)</f>
        <v>Mano de Obra Tecnico Electricista Certficado CONTE</v>
      </c>
      <c r="P725" s="26" t="str">
        <f>VLOOKUP(M725,[1]LPU!$A$2:$G$1512,4,FALSE())</f>
        <v>ENERGÍA</v>
      </c>
      <c r="Q725" s="26" t="str">
        <f>VLOOKUP(M725,[1]LPU!$A$2:$G$1512,5,FALSE())</f>
        <v>DIA</v>
      </c>
      <c r="R725" s="27">
        <f>VLOOKUP(M725,[1]LPU!$A$2:$G$1512,6,FALSE())</f>
        <v>136000</v>
      </c>
      <c r="S725" s="27" t="str">
        <f>VLOOKUP(M725,[1]LPU!$A$2:$G$1512,7,FALSE())</f>
        <v>LPU FLM</v>
      </c>
      <c r="T725" s="28">
        <v>2</v>
      </c>
      <c r="U725" s="29">
        <f t="shared" si="8"/>
        <v>272000</v>
      </c>
      <c r="V725" s="29" t="s">
        <v>77</v>
      </c>
      <c r="W725" s="30"/>
      <c r="X725" s="29" t="s">
        <v>274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ht="21" customHeight="1" x14ac:dyDescent="0.3">
      <c r="A726" s="22">
        <v>722</v>
      </c>
      <c r="B726" s="23">
        <v>1</v>
      </c>
      <c r="C726" s="23" t="s">
        <v>277</v>
      </c>
      <c r="D726" s="23" t="str">
        <f>VLOOKUP(C726,'[1]1.CUADRO RESUMEN DE SITIOS '!$C$5:$L$1052,2,FALSE())</f>
        <v>NAR_05161</v>
      </c>
      <c r="E726" s="24">
        <f>VLOOKUP(C726,'[1]1.CUADRO RESUMEN DE SITIOS '!$C$5:$L$1052,3,FALSE())</f>
        <v>45951</v>
      </c>
      <c r="F726" s="23">
        <f>VLOOKUP(C726,'[1]1.CUADRO RESUMEN DE SITIOS '!$C$5:$L$1052,4,FALSE())</f>
        <v>2.47722</v>
      </c>
      <c r="G726" s="23">
        <f>VLOOKUP(C726,'[1]1.CUADRO RESUMEN DE SITIOS '!$C$5:$L$1052,5,FALSE())</f>
        <v>-78.110600000000005</v>
      </c>
      <c r="H726" s="23" t="str">
        <f>VLOOKUP(C726,'[1]1.CUADRO RESUMEN DE SITIOS '!$C$5:$L$1052,6,FALSE())</f>
        <v>Nariño</v>
      </c>
      <c r="I726" s="23" t="str">
        <f>VLOOKUP(C726,'[1]1.CUADRO RESUMEN DE SITIOS '!$C$5:$L$1052,7,FALSE())</f>
        <v>WOM</v>
      </c>
      <c r="J726" s="25" t="str">
        <f>VLOOKUP(C726,'[1]1.CUADRO RESUMEN DE SITIOS '!$C$5:$L$1052,8,FALSE())</f>
        <v>SUROCCIDENTE</v>
      </c>
      <c r="K726" s="23" t="str">
        <f>VLOOKUP(C726,'[1]1.CUADRO RESUMEN DE SITIOS '!$C$5:$L$1052,9,FALSE())</f>
        <v>Wilson Alejandro Solarte</v>
      </c>
      <c r="L726" s="26" t="str">
        <f>VLOOKUP(C726,'[1]1.CUADRO RESUMEN DE SITIOS '!$C$5:$L$1052,10,FALSE())</f>
        <v>Terminado</v>
      </c>
      <c r="M726" s="26">
        <v>8828119492</v>
      </c>
      <c r="N726" s="26">
        <f>VLOOKUP(M726,[1]LPU!$A$2:$G$1512,2,FALSE())</f>
        <v>53</v>
      </c>
      <c r="O726" s="26" t="str">
        <f>VLOOKUP(M726,[1]LPU!$A$2:$G$1512,3,FALSE)</f>
        <v>Instalación Banco de Baterias para Rectificadores - Aplica para ampliaciones.</v>
      </c>
      <c r="P726" s="26" t="str">
        <f>VLOOKUP(M726,[1]LPU!$A$2:$G$1512,4,FALSE())</f>
        <v>ENERGÍA</v>
      </c>
      <c r="Q726" s="26" t="str">
        <f>VLOOKUP(M726,[1]LPU!$A$2:$G$1512,5,FALSE())</f>
        <v>U</v>
      </c>
      <c r="R726" s="27">
        <f>VLOOKUP(M726,[1]LPU!$A$2:$G$1512,6,FALSE())</f>
        <v>102340</v>
      </c>
      <c r="S726" s="27" t="str">
        <f>VLOOKUP(M726,[1]LPU!$A$2:$G$1512,7,FALSE())</f>
        <v>LPU FLM</v>
      </c>
      <c r="T726" s="28">
        <v>1</v>
      </c>
      <c r="U726" s="29">
        <f t="shared" si="8"/>
        <v>102340</v>
      </c>
      <c r="V726" s="29" t="s">
        <v>77</v>
      </c>
      <c r="W726" s="30"/>
      <c r="X726" s="29" t="s">
        <v>274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ht="21" customHeight="1" x14ac:dyDescent="0.3">
      <c r="A727" s="22">
        <v>723</v>
      </c>
      <c r="B727" s="23">
        <v>1</v>
      </c>
      <c r="C727" s="23" t="s">
        <v>277</v>
      </c>
      <c r="D727" s="23" t="str">
        <f>VLOOKUP(C727,'[1]1.CUADRO RESUMEN DE SITIOS '!$C$5:$L$1052,2,FALSE())</f>
        <v>NAR_05161</v>
      </c>
      <c r="E727" s="24">
        <f>VLOOKUP(C727,'[1]1.CUADRO RESUMEN DE SITIOS '!$C$5:$L$1052,3,FALSE())</f>
        <v>45951</v>
      </c>
      <c r="F727" s="23">
        <f>VLOOKUP(C727,'[1]1.CUADRO RESUMEN DE SITIOS '!$C$5:$L$1052,4,FALSE())</f>
        <v>2.47722</v>
      </c>
      <c r="G727" s="23">
        <f>VLOOKUP(C727,'[1]1.CUADRO RESUMEN DE SITIOS '!$C$5:$L$1052,5,FALSE())</f>
        <v>-78.110600000000005</v>
      </c>
      <c r="H727" s="23" t="str">
        <f>VLOOKUP(C727,'[1]1.CUADRO RESUMEN DE SITIOS '!$C$5:$L$1052,6,FALSE())</f>
        <v>Nariño</v>
      </c>
      <c r="I727" s="23" t="str">
        <f>VLOOKUP(C727,'[1]1.CUADRO RESUMEN DE SITIOS '!$C$5:$L$1052,7,FALSE())</f>
        <v>WOM</v>
      </c>
      <c r="J727" s="25" t="str">
        <f>VLOOKUP(C727,'[1]1.CUADRO RESUMEN DE SITIOS '!$C$5:$L$1052,8,FALSE())</f>
        <v>SUROCCIDENTE</v>
      </c>
      <c r="K727" s="23" t="str">
        <f>VLOOKUP(C727,'[1]1.CUADRO RESUMEN DE SITIOS '!$C$5:$L$1052,9,FALSE())</f>
        <v>Wilson Alejandro Solarte</v>
      </c>
      <c r="L727" s="26" t="str">
        <f>VLOOKUP(C727,'[1]1.CUADRO RESUMEN DE SITIOS '!$C$5:$L$1052,10,FALSE())</f>
        <v>Terminado</v>
      </c>
      <c r="M727" s="26">
        <v>8828119512</v>
      </c>
      <c r="N727" s="26">
        <f>VLOOKUP(M727,[1]LPU!$A$2:$G$1512,2,FALSE())</f>
        <v>55</v>
      </c>
      <c r="O727" s="26" t="str">
        <f>VLOOKUP(M727,[1]LPU!$A$2:$G$1512,3,FALSE)</f>
        <v>Transporte Banco de Baterias</v>
      </c>
      <c r="P727" s="26" t="str">
        <f>VLOOKUP(M727,[1]LPU!$A$2:$G$1512,4,FALSE())</f>
        <v>ENERGÍA</v>
      </c>
      <c r="Q727" s="26" t="str">
        <f>VLOOKUP(M727,[1]LPU!$A$2:$G$1512,5,FALSE())</f>
        <v>U</v>
      </c>
      <c r="R727" s="27">
        <f>VLOOKUP(M727,[1]LPU!$A$2:$G$1512,6,FALSE())</f>
        <v>82212</v>
      </c>
      <c r="S727" s="27" t="str">
        <f>VLOOKUP(M727,[1]LPU!$A$2:$G$1512,7,FALSE())</f>
        <v>LPU FLM</v>
      </c>
      <c r="T727" s="28">
        <v>1</v>
      </c>
      <c r="U727" s="29">
        <f t="shared" si="8"/>
        <v>82212</v>
      </c>
      <c r="V727" s="29" t="s">
        <v>77</v>
      </c>
      <c r="W727" s="30"/>
      <c r="X727" s="29" t="s">
        <v>274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ht="21" customHeight="1" x14ac:dyDescent="0.3">
      <c r="A728" s="22">
        <v>724</v>
      </c>
      <c r="B728" s="23">
        <v>1</v>
      </c>
      <c r="C728" s="23" t="s">
        <v>277</v>
      </c>
      <c r="D728" s="23" t="str">
        <f>VLOOKUP(C728,'[1]1.CUADRO RESUMEN DE SITIOS '!$C$5:$L$1052,2,FALSE())</f>
        <v>NAR_05161</v>
      </c>
      <c r="E728" s="24">
        <f>VLOOKUP(C728,'[1]1.CUADRO RESUMEN DE SITIOS '!$C$5:$L$1052,3,FALSE())</f>
        <v>45951</v>
      </c>
      <c r="F728" s="23">
        <f>VLOOKUP(C728,'[1]1.CUADRO RESUMEN DE SITIOS '!$C$5:$L$1052,4,FALSE())</f>
        <v>2.47722</v>
      </c>
      <c r="G728" s="23">
        <f>VLOOKUP(C728,'[1]1.CUADRO RESUMEN DE SITIOS '!$C$5:$L$1052,5,FALSE())</f>
        <v>-78.110600000000005</v>
      </c>
      <c r="H728" s="23" t="str">
        <f>VLOOKUP(C728,'[1]1.CUADRO RESUMEN DE SITIOS '!$C$5:$L$1052,6,FALSE())</f>
        <v>Nariño</v>
      </c>
      <c r="I728" s="23" t="str">
        <f>VLOOKUP(C728,'[1]1.CUADRO RESUMEN DE SITIOS '!$C$5:$L$1052,7,FALSE())</f>
        <v>WOM</v>
      </c>
      <c r="J728" s="25" t="str">
        <f>VLOOKUP(C728,'[1]1.CUADRO RESUMEN DE SITIOS '!$C$5:$L$1052,8,FALSE())</f>
        <v>SUROCCIDENTE</v>
      </c>
      <c r="K728" s="23" t="str">
        <f>VLOOKUP(C728,'[1]1.CUADRO RESUMEN DE SITIOS '!$C$5:$L$1052,9,FALSE())</f>
        <v>Wilson Alejandro Solarte</v>
      </c>
      <c r="L728" s="26" t="str">
        <f>VLOOKUP(C728,'[1]1.CUADRO RESUMEN DE SITIOS '!$C$5:$L$1052,10,FALSE())</f>
        <v>Terminado</v>
      </c>
      <c r="M728" s="26">
        <v>8828118999</v>
      </c>
      <c r="N728" s="26">
        <f>VLOOKUP(M728,[1]LPU!$A$2:$G$1512,2,FALSE())</f>
        <v>0</v>
      </c>
      <c r="O728" s="26" t="str">
        <f>VLOOKUP(M728,[1]LPU!$A$2:$G$1512,3,FALSE)</f>
        <v>Suministro e instalación de cable UTP Categoría 6, con conectores en sus extremos, certificado</v>
      </c>
      <c r="P728" s="26" t="str">
        <f>VLOOKUP(M728,[1]LPU!$A$2:$G$1512,4,FALSE())</f>
        <v>Item Critico</v>
      </c>
      <c r="Q728" s="26" t="str">
        <f>VLOOKUP(M728,[1]LPU!$A$2:$G$1512,5,FALSE())</f>
        <v>m</v>
      </c>
      <c r="R728" s="27">
        <f>VLOOKUP(M728,[1]LPU!$A$2:$G$1512,6,FALSE())</f>
        <v>5913</v>
      </c>
      <c r="S728" s="27" t="str">
        <f>VLOOKUP(M728,[1]LPU!$A$2:$G$1512,7,FALSE())</f>
        <v>LPU FO Propia</v>
      </c>
      <c r="T728" s="28">
        <v>3</v>
      </c>
      <c r="U728" s="29">
        <f t="shared" si="8"/>
        <v>17739</v>
      </c>
      <c r="V728" s="29" t="s">
        <v>77</v>
      </c>
      <c r="W728" s="30"/>
      <c r="X728" s="29" t="s">
        <v>274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ht="21" customHeight="1" x14ac:dyDescent="0.3">
      <c r="A729" s="22">
        <v>725</v>
      </c>
      <c r="B729" s="23">
        <v>1</v>
      </c>
      <c r="C729" s="23" t="s">
        <v>277</v>
      </c>
      <c r="D729" s="23" t="str">
        <f>VLOOKUP(C729,'[1]1.CUADRO RESUMEN DE SITIOS '!$C$5:$L$1052,2,FALSE())</f>
        <v>NAR_05161</v>
      </c>
      <c r="E729" s="24">
        <f>VLOOKUP(C729,'[1]1.CUADRO RESUMEN DE SITIOS '!$C$5:$L$1052,3,FALSE())</f>
        <v>45951</v>
      </c>
      <c r="F729" s="23">
        <f>VLOOKUP(C729,'[1]1.CUADRO RESUMEN DE SITIOS '!$C$5:$L$1052,4,FALSE())</f>
        <v>2.47722</v>
      </c>
      <c r="G729" s="23">
        <f>VLOOKUP(C729,'[1]1.CUADRO RESUMEN DE SITIOS '!$C$5:$L$1052,5,FALSE())</f>
        <v>-78.110600000000005</v>
      </c>
      <c r="H729" s="23" t="str">
        <f>VLOOKUP(C729,'[1]1.CUADRO RESUMEN DE SITIOS '!$C$5:$L$1052,6,FALSE())</f>
        <v>Nariño</v>
      </c>
      <c r="I729" s="23" t="str">
        <f>VLOOKUP(C729,'[1]1.CUADRO RESUMEN DE SITIOS '!$C$5:$L$1052,7,FALSE())</f>
        <v>WOM</v>
      </c>
      <c r="J729" s="25" t="str">
        <f>VLOOKUP(C729,'[1]1.CUADRO RESUMEN DE SITIOS '!$C$5:$L$1052,8,FALSE())</f>
        <v>SUROCCIDENTE</v>
      </c>
      <c r="K729" s="23" t="str">
        <f>VLOOKUP(C729,'[1]1.CUADRO RESUMEN DE SITIOS '!$C$5:$L$1052,9,FALSE())</f>
        <v>Wilson Alejandro Solarte</v>
      </c>
      <c r="L729" s="26" t="str">
        <f>VLOOKUP(C729,'[1]1.CUADRO RESUMEN DE SITIOS '!$C$5:$L$1052,10,FALSE())</f>
        <v>Terminado</v>
      </c>
      <c r="M729" s="26">
        <v>8828118925</v>
      </c>
      <c r="N729" s="26">
        <f>VLOOKUP(M729,[1]LPU!$A$2:$G$1512,2,FALSE())</f>
        <v>87</v>
      </c>
      <c r="O729" s="26" t="str">
        <f>VLOOKUP(M729,[1]LPU!$A$2:$G$1512,3,FALSE)</f>
        <v>Suministro e Instalacion de cable multifilar #4 awg tipo soldador.</v>
      </c>
      <c r="P729" s="26" t="str">
        <f>VLOOKUP(M729,[1]LPU!$A$2:$G$1512,4,FALSE())</f>
        <v>ENERGÍA</v>
      </c>
      <c r="Q729" s="26" t="str">
        <f>VLOOKUP(M729,[1]LPU!$A$2:$G$1512,5,FALSE())</f>
        <v>ML</v>
      </c>
      <c r="R729" s="27">
        <f>VLOOKUP(M729,[1]LPU!$A$2:$G$1512,6,FALSE())</f>
        <v>60815.8</v>
      </c>
      <c r="S729" s="27" t="str">
        <f>VLOOKUP(M729,[1]LPU!$A$2:$G$1512,7,FALSE())</f>
        <v>LPU FLM</v>
      </c>
      <c r="T729" s="28">
        <v>6</v>
      </c>
      <c r="U729" s="29">
        <f t="shared" si="8"/>
        <v>364894.80000000005</v>
      </c>
      <c r="V729" s="29" t="s">
        <v>77</v>
      </c>
      <c r="W729" s="30"/>
      <c r="X729" s="29" t="s">
        <v>274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ht="21" customHeight="1" x14ac:dyDescent="0.3">
      <c r="A730" s="22">
        <v>726</v>
      </c>
      <c r="B730" s="23">
        <v>1</v>
      </c>
      <c r="C730" s="23" t="s">
        <v>277</v>
      </c>
      <c r="D730" s="23" t="str">
        <f>VLOOKUP(C730,'[1]1.CUADRO RESUMEN DE SITIOS '!$C$5:$L$1052,2,FALSE())</f>
        <v>NAR_05161</v>
      </c>
      <c r="E730" s="24">
        <f>VLOOKUP(C730,'[1]1.CUADRO RESUMEN DE SITIOS '!$C$5:$L$1052,3,FALSE())</f>
        <v>45951</v>
      </c>
      <c r="F730" s="23">
        <f>VLOOKUP(C730,'[1]1.CUADRO RESUMEN DE SITIOS '!$C$5:$L$1052,4,FALSE())</f>
        <v>2.47722</v>
      </c>
      <c r="G730" s="23">
        <f>VLOOKUP(C730,'[1]1.CUADRO RESUMEN DE SITIOS '!$C$5:$L$1052,5,FALSE())</f>
        <v>-78.110600000000005</v>
      </c>
      <c r="H730" s="23" t="str">
        <f>VLOOKUP(C730,'[1]1.CUADRO RESUMEN DE SITIOS '!$C$5:$L$1052,6,FALSE())</f>
        <v>Nariño</v>
      </c>
      <c r="I730" s="23" t="str">
        <f>VLOOKUP(C730,'[1]1.CUADRO RESUMEN DE SITIOS '!$C$5:$L$1052,7,FALSE())</f>
        <v>WOM</v>
      </c>
      <c r="J730" s="25" t="str">
        <f>VLOOKUP(C730,'[1]1.CUADRO RESUMEN DE SITIOS '!$C$5:$L$1052,8,FALSE())</f>
        <v>SUROCCIDENTE</v>
      </c>
      <c r="K730" s="23" t="str">
        <f>VLOOKUP(C730,'[1]1.CUADRO RESUMEN DE SITIOS '!$C$5:$L$1052,9,FALSE())</f>
        <v>Wilson Alejandro Solarte</v>
      </c>
      <c r="L730" s="26" t="str">
        <f>VLOOKUP(C730,'[1]1.CUADRO RESUMEN DE SITIOS '!$C$5:$L$1052,10,FALSE())</f>
        <v>Terminado</v>
      </c>
      <c r="M730" s="26">
        <v>8828118868</v>
      </c>
      <c r="N730" s="26">
        <f>VLOOKUP(M730,[1]LPU!$A$2:$G$1512,2,FALSE())</f>
        <v>81</v>
      </c>
      <c r="O730" s="26" t="str">
        <f>VLOOKUP(M730,[1]LPU!$A$2:$G$1512,3,FALSE)</f>
        <v>Suministro e Instalacion de terminal para cable awg # 2 en cobre estañado un ojo</v>
      </c>
      <c r="P730" s="26" t="str">
        <f>VLOOKUP(M730,[1]LPU!$A$2:$G$1512,4,FALSE())</f>
        <v>ENERGÍA</v>
      </c>
      <c r="Q730" s="26" t="str">
        <f>VLOOKUP(M730,[1]LPU!$A$2:$G$1512,5,FALSE())</f>
        <v>U</v>
      </c>
      <c r="R730" s="27">
        <f>VLOOKUP(M730,[1]LPU!$A$2:$G$1512,6,FALSE())</f>
        <v>2347</v>
      </c>
      <c r="S730" s="27" t="str">
        <f>VLOOKUP(M730,[1]LPU!$A$2:$G$1512,7,FALSE())</f>
        <v>LPU FLM</v>
      </c>
      <c r="T730" s="28">
        <v>4</v>
      </c>
      <c r="U730" s="29">
        <f t="shared" si="8"/>
        <v>9388</v>
      </c>
      <c r="V730" s="29" t="s">
        <v>77</v>
      </c>
      <c r="W730" s="30"/>
      <c r="X730" s="29" t="s">
        <v>274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ht="21" customHeight="1" x14ac:dyDescent="0.3">
      <c r="A731" s="22">
        <v>727</v>
      </c>
      <c r="B731" s="23">
        <v>1</v>
      </c>
      <c r="C731" s="23" t="s">
        <v>277</v>
      </c>
      <c r="D731" s="23" t="str">
        <f>VLOOKUP(C731,'[1]1.CUADRO RESUMEN DE SITIOS '!$C$5:$L$1052,2,FALSE())</f>
        <v>NAR_05161</v>
      </c>
      <c r="E731" s="24">
        <f>VLOOKUP(C731,'[1]1.CUADRO RESUMEN DE SITIOS '!$C$5:$L$1052,3,FALSE())</f>
        <v>45951</v>
      </c>
      <c r="F731" s="23">
        <f>VLOOKUP(C731,'[1]1.CUADRO RESUMEN DE SITIOS '!$C$5:$L$1052,4,FALSE())</f>
        <v>2.47722</v>
      </c>
      <c r="G731" s="23">
        <f>VLOOKUP(C731,'[1]1.CUADRO RESUMEN DE SITIOS '!$C$5:$L$1052,5,FALSE())</f>
        <v>-78.110600000000005</v>
      </c>
      <c r="H731" s="23" t="str">
        <f>VLOOKUP(C731,'[1]1.CUADRO RESUMEN DE SITIOS '!$C$5:$L$1052,6,FALSE())</f>
        <v>Nariño</v>
      </c>
      <c r="I731" s="23" t="str">
        <f>VLOOKUP(C731,'[1]1.CUADRO RESUMEN DE SITIOS '!$C$5:$L$1052,7,FALSE())</f>
        <v>WOM</v>
      </c>
      <c r="J731" s="25" t="str">
        <f>VLOOKUP(C731,'[1]1.CUADRO RESUMEN DE SITIOS '!$C$5:$L$1052,8,FALSE())</f>
        <v>SUROCCIDENTE</v>
      </c>
      <c r="K731" s="23" t="str">
        <f>VLOOKUP(C731,'[1]1.CUADRO RESUMEN DE SITIOS '!$C$5:$L$1052,9,FALSE())</f>
        <v>Wilson Alejandro Solarte</v>
      </c>
      <c r="L731" s="26" t="str">
        <f>VLOOKUP(C731,'[1]1.CUADRO RESUMEN DE SITIOS '!$C$5:$L$1052,10,FALSE())</f>
        <v>Terminado</v>
      </c>
      <c r="M731" s="26">
        <v>8828119980</v>
      </c>
      <c r="N731" s="26">
        <f>VLOOKUP(M731,[1]LPU!$A$2:$G$1512,2,FALSE())</f>
        <v>169</v>
      </c>
      <c r="O731" s="26" t="str">
        <f>VLOOKUP(M731,[1]LPU!$A$2:$G$1512,3,FALSE)</f>
        <v>Reforzamiento Protección Concreto para Rack de Baterías Incluye Materiales</v>
      </c>
      <c r="P731" s="26" t="str">
        <f>VLOOKUP(M731,[1]LPU!$A$2:$G$1512,4,FALSE())</f>
        <v>LOCATIVO</v>
      </c>
      <c r="Q731" s="26" t="str">
        <f>VLOOKUP(M731,[1]LPU!$A$2:$G$1512,5,FALSE())</f>
        <v>U</v>
      </c>
      <c r="R731" s="27">
        <f>VLOOKUP(M731,[1]LPU!$A$2:$G$1512,6,FALSE())</f>
        <v>114750</v>
      </c>
      <c r="S731" s="27" t="str">
        <f>VLOOKUP(M731,[1]LPU!$A$2:$G$1512,7,FALSE())</f>
        <v>LPU FLM</v>
      </c>
      <c r="T731" s="28">
        <v>1</v>
      </c>
      <c r="U731" s="29">
        <f t="shared" si="8"/>
        <v>114750</v>
      </c>
      <c r="V731" s="29" t="s">
        <v>77</v>
      </c>
      <c r="W731" s="30"/>
      <c r="X731" s="29" t="s">
        <v>274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ht="21" customHeight="1" x14ac:dyDescent="0.3">
      <c r="A732" s="22">
        <v>728</v>
      </c>
      <c r="B732" s="23">
        <v>1</v>
      </c>
      <c r="C732" s="23" t="s">
        <v>277</v>
      </c>
      <c r="D732" s="23" t="str">
        <f>VLOOKUP(C732,'[1]1.CUADRO RESUMEN DE SITIOS '!$C$5:$L$1052,2,FALSE())</f>
        <v>NAR_05161</v>
      </c>
      <c r="E732" s="24">
        <f>VLOOKUP(C732,'[1]1.CUADRO RESUMEN DE SITIOS '!$C$5:$L$1052,3,FALSE())</f>
        <v>45951</v>
      </c>
      <c r="F732" s="23">
        <f>VLOOKUP(C732,'[1]1.CUADRO RESUMEN DE SITIOS '!$C$5:$L$1052,4,FALSE())</f>
        <v>2.47722</v>
      </c>
      <c r="G732" s="23">
        <f>VLOOKUP(C732,'[1]1.CUADRO RESUMEN DE SITIOS '!$C$5:$L$1052,5,FALSE())</f>
        <v>-78.110600000000005</v>
      </c>
      <c r="H732" s="23" t="str">
        <f>VLOOKUP(C732,'[1]1.CUADRO RESUMEN DE SITIOS '!$C$5:$L$1052,6,FALSE())</f>
        <v>Nariño</v>
      </c>
      <c r="I732" s="23" t="str">
        <f>VLOOKUP(C732,'[1]1.CUADRO RESUMEN DE SITIOS '!$C$5:$L$1052,7,FALSE())</f>
        <v>WOM</v>
      </c>
      <c r="J732" s="25" t="str">
        <f>VLOOKUP(C732,'[1]1.CUADRO RESUMEN DE SITIOS '!$C$5:$L$1052,8,FALSE())</f>
        <v>SUROCCIDENTE</v>
      </c>
      <c r="K732" s="23" t="str">
        <f>VLOOKUP(C732,'[1]1.CUADRO RESUMEN DE SITIOS '!$C$5:$L$1052,9,FALSE())</f>
        <v>Wilson Alejandro Solarte</v>
      </c>
      <c r="L732" s="26" t="str">
        <f>VLOOKUP(C732,'[1]1.CUADRO RESUMEN DE SITIOS '!$C$5:$L$1052,10,FALSE())</f>
        <v>Terminado</v>
      </c>
      <c r="M732" s="26">
        <v>8828119867</v>
      </c>
      <c r="N732" s="26">
        <f>VLOOKUP(M732,[1]LPU!$A$2:$G$1512,2,FALSE())</f>
        <v>158</v>
      </c>
      <c r="O732" s="26" t="str">
        <f>VLOOKUP(M732,[1]LPU!$A$2:$G$1512,3,FALSE)</f>
        <v>Reja para equipo cabinet x 4 baterías</v>
      </c>
      <c r="P732" s="26" t="str">
        <f>VLOOKUP(M732,[1]LPU!$A$2:$G$1512,4,FALSE())</f>
        <v>LOCATIVO</v>
      </c>
      <c r="Q732" s="26" t="str">
        <f>VLOOKUP(M732,[1]LPU!$A$2:$G$1512,5,FALSE())</f>
        <v>U</v>
      </c>
      <c r="R732" s="27">
        <f>VLOOKUP(M732,[1]LPU!$A$2:$G$1512,6,FALSE())</f>
        <v>489135</v>
      </c>
      <c r="S732" s="27" t="str">
        <f>VLOOKUP(M732,[1]LPU!$A$2:$G$1512,7,FALSE())</f>
        <v>LPU FLM</v>
      </c>
      <c r="T732" s="28">
        <v>1</v>
      </c>
      <c r="U732" s="29">
        <f t="shared" si="8"/>
        <v>489135</v>
      </c>
      <c r="V732" s="29" t="s">
        <v>77</v>
      </c>
      <c r="W732" s="30"/>
      <c r="X732" s="29" t="s">
        <v>274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ht="21" customHeight="1" x14ac:dyDescent="0.3">
      <c r="A733" s="22">
        <v>729</v>
      </c>
      <c r="B733" s="23">
        <v>1</v>
      </c>
      <c r="C733" s="23" t="s">
        <v>277</v>
      </c>
      <c r="D733" s="23" t="str">
        <f>VLOOKUP(C733,'[1]1.CUADRO RESUMEN DE SITIOS '!$C$5:$L$1052,2,FALSE())</f>
        <v>NAR_05161</v>
      </c>
      <c r="E733" s="24">
        <f>VLOOKUP(C733,'[1]1.CUADRO RESUMEN DE SITIOS '!$C$5:$L$1052,3,FALSE())</f>
        <v>45951</v>
      </c>
      <c r="F733" s="23">
        <f>VLOOKUP(C733,'[1]1.CUADRO RESUMEN DE SITIOS '!$C$5:$L$1052,4,FALSE())</f>
        <v>2.47722</v>
      </c>
      <c r="G733" s="23">
        <f>VLOOKUP(C733,'[1]1.CUADRO RESUMEN DE SITIOS '!$C$5:$L$1052,5,FALSE())</f>
        <v>-78.110600000000005</v>
      </c>
      <c r="H733" s="23" t="str">
        <f>VLOOKUP(C733,'[1]1.CUADRO RESUMEN DE SITIOS '!$C$5:$L$1052,6,FALSE())</f>
        <v>Nariño</v>
      </c>
      <c r="I733" s="23" t="str">
        <f>VLOOKUP(C733,'[1]1.CUADRO RESUMEN DE SITIOS '!$C$5:$L$1052,7,FALSE())</f>
        <v>WOM</v>
      </c>
      <c r="J733" s="25" t="str">
        <f>VLOOKUP(C733,'[1]1.CUADRO RESUMEN DE SITIOS '!$C$5:$L$1052,8,FALSE())</f>
        <v>SUROCCIDENTE</v>
      </c>
      <c r="K733" s="23" t="str">
        <f>VLOOKUP(C733,'[1]1.CUADRO RESUMEN DE SITIOS '!$C$5:$L$1052,9,FALSE())</f>
        <v>Wilson Alejandro Solarte</v>
      </c>
      <c r="L733" s="26" t="str">
        <f>VLOOKUP(C733,'[1]1.CUADRO RESUMEN DE SITIOS '!$C$5:$L$1052,10,FALSE())</f>
        <v>Terminado</v>
      </c>
      <c r="M733" s="26">
        <v>8828119045</v>
      </c>
      <c r="N733" s="26">
        <f>VLOOKUP(M733,[1]LPU!$A$2:$G$1512,2,FALSE())</f>
        <v>5.29</v>
      </c>
      <c r="O733" s="26" t="str">
        <f>VLOOKUP(M733,[1]LPU!$A$2:$G$1512,3,FALSE)</f>
        <v>Suministro e instalación de estructura metálica en acero galvanizado para refuerzo, soportes, bases y adecuaciones en general.</v>
      </c>
      <c r="P733" s="26" t="str">
        <f>VLOOKUP(M733,[1]LPU!$A$2:$G$1512,4,FALSE())</f>
        <v>Mantenimiento CW</v>
      </c>
      <c r="Q733" s="26" t="str">
        <f>VLOOKUP(M733,[1]LPU!$A$2:$G$1512,5,FALSE())</f>
        <v>Kg</v>
      </c>
      <c r="R733" s="27">
        <f>VLOOKUP(M733,[1]LPU!$A$2:$G$1512,6,FALSE())</f>
        <v>12911.5</v>
      </c>
      <c r="S733" s="27" t="str">
        <f>VLOOKUP(M733,[1]LPU!$A$2:$G$1512,7,FALSE())</f>
        <v>Mantenimiento CW</v>
      </c>
      <c r="T733" s="28">
        <v>30</v>
      </c>
      <c r="U733" s="29">
        <f t="shared" si="8"/>
        <v>387345</v>
      </c>
      <c r="V733" s="29" t="s">
        <v>77</v>
      </c>
      <c r="W733" s="30"/>
      <c r="X733" s="29" t="s">
        <v>274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ht="21" customHeight="1" x14ac:dyDescent="0.3">
      <c r="A734" s="22">
        <v>730</v>
      </c>
      <c r="B734" s="23">
        <v>1</v>
      </c>
      <c r="C734" s="23" t="s">
        <v>277</v>
      </c>
      <c r="D734" s="23" t="str">
        <f>VLOOKUP(C734,'[1]1.CUADRO RESUMEN DE SITIOS '!$C$5:$L$1052,2,FALSE())</f>
        <v>NAR_05161</v>
      </c>
      <c r="E734" s="24">
        <f>VLOOKUP(C734,'[1]1.CUADRO RESUMEN DE SITIOS '!$C$5:$L$1052,3,FALSE())</f>
        <v>45951</v>
      </c>
      <c r="F734" s="23">
        <f>VLOOKUP(C734,'[1]1.CUADRO RESUMEN DE SITIOS '!$C$5:$L$1052,4,FALSE())</f>
        <v>2.47722</v>
      </c>
      <c r="G734" s="23">
        <f>VLOOKUP(C734,'[1]1.CUADRO RESUMEN DE SITIOS '!$C$5:$L$1052,5,FALSE())</f>
        <v>-78.110600000000005</v>
      </c>
      <c r="H734" s="23" t="str">
        <f>VLOOKUP(C734,'[1]1.CUADRO RESUMEN DE SITIOS '!$C$5:$L$1052,6,FALSE())</f>
        <v>Nariño</v>
      </c>
      <c r="I734" s="23" t="str">
        <f>VLOOKUP(C734,'[1]1.CUADRO RESUMEN DE SITIOS '!$C$5:$L$1052,7,FALSE())</f>
        <v>WOM</v>
      </c>
      <c r="J734" s="25" t="str">
        <f>VLOOKUP(C734,'[1]1.CUADRO RESUMEN DE SITIOS '!$C$5:$L$1052,8,FALSE())</f>
        <v>SUROCCIDENTE</v>
      </c>
      <c r="K734" s="23" t="str">
        <f>VLOOKUP(C734,'[1]1.CUADRO RESUMEN DE SITIOS '!$C$5:$L$1052,9,FALSE())</f>
        <v>Wilson Alejandro Solarte</v>
      </c>
      <c r="L734" s="26" t="str">
        <f>VLOOKUP(C734,'[1]1.CUADRO RESUMEN DE SITIOS '!$C$5:$L$1052,10,FALSE())</f>
        <v>Terminado</v>
      </c>
      <c r="M734" s="26">
        <v>8828119599</v>
      </c>
      <c r="N734" s="26">
        <f>VLOOKUP(M734,[1]LPU!$A$2:$G$1512,2,FALSE())</f>
        <v>197</v>
      </c>
      <c r="O734" s="26" t="str">
        <f>VLOOKUP(M734,[1]LPU!$A$2:$G$1512,3,FALSE)</f>
        <v>Transporte de Equipos y Materiales, Carga y Descarga, desde y hacía Bodega Regional. Mas de 1 Tonelada. ZONA 2 (Resolución 5078 de 2016)</v>
      </c>
      <c r="P734" s="26" t="str">
        <f>VLOOKUP(M734,[1]LPU!$A$2:$G$1512,4,FALSE())</f>
        <v>LOCATIVO</v>
      </c>
      <c r="Q734" s="26" t="str">
        <f>VLOOKUP(M734,[1]LPU!$A$2:$G$1512,5,FALSE())</f>
        <v>U</v>
      </c>
      <c r="R734" s="27">
        <f>VLOOKUP(M734,[1]LPU!$A$2:$G$1512,6,FALSE())</f>
        <v>680680</v>
      </c>
      <c r="S734" s="27" t="str">
        <f>VLOOKUP(M734,[1]LPU!$A$2:$G$1512,7,FALSE())</f>
        <v>LPU FLM</v>
      </c>
      <c r="T734" s="28">
        <v>1</v>
      </c>
      <c r="U734" s="29">
        <f t="shared" si="8"/>
        <v>680680</v>
      </c>
      <c r="V734" s="29" t="s">
        <v>77</v>
      </c>
      <c r="W734" s="30"/>
      <c r="X734" s="29" t="s">
        <v>274</v>
      </c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ht="21" customHeight="1" x14ac:dyDescent="0.3">
      <c r="A735" s="22">
        <v>731</v>
      </c>
      <c r="B735" s="23">
        <v>1</v>
      </c>
      <c r="C735" s="23" t="s">
        <v>277</v>
      </c>
      <c r="D735" s="23" t="str">
        <f>VLOOKUP(C735,'[1]1.CUADRO RESUMEN DE SITIOS '!$C$5:$L$1052,2,FALSE())</f>
        <v>NAR_05161</v>
      </c>
      <c r="E735" s="24">
        <f>VLOOKUP(C735,'[1]1.CUADRO RESUMEN DE SITIOS '!$C$5:$L$1052,3,FALSE())</f>
        <v>45951</v>
      </c>
      <c r="F735" s="23">
        <f>VLOOKUP(C735,'[1]1.CUADRO RESUMEN DE SITIOS '!$C$5:$L$1052,4,FALSE())</f>
        <v>2.47722</v>
      </c>
      <c r="G735" s="23">
        <f>VLOOKUP(C735,'[1]1.CUADRO RESUMEN DE SITIOS '!$C$5:$L$1052,5,FALSE())</f>
        <v>-78.110600000000005</v>
      </c>
      <c r="H735" s="23" t="str">
        <f>VLOOKUP(C735,'[1]1.CUADRO RESUMEN DE SITIOS '!$C$5:$L$1052,6,FALSE())</f>
        <v>Nariño</v>
      </c>
      <c r="I735" s="23" t="str">
        <f>VLOOKUP(C735,'[1]1.CUADRO RESUMEN DE SITIOS '!$C$5:$L$1052,7,FALSE())</f>
        <v>WOM</v>
      </c>
      <c r="J735" s="25" t="str">
        <f>VLOOKUP(C735,'[1]1.CUADRO RESUMEN DE SITIOS '!$C$5:$L$1052,8,FALSE())</f>
        <v>SUROCCIDENTE</v>
      </c>
      <c r="K735" s="23" t="str">
        <f>VLOOKUP(C735,'[1]1.CUADRO RESUMEN DE SITIOS '!$C$5:$L$1052,9,FALSE())</f>
        <v>Wilson Alejandro Solarte</v>
      </c>
      <c r="L735" s="26" t="str">
        <f>VLOOKUP(C735,'[1]1.CUADRO RESUMEN DE SITIOS '!$C$5:$L$1052,10,FALSE())</f>
        <v>Terminado</v>
      </c>
      <c r="M735" s="26">
        <v>8828119110</v>
      </c>
      <c r="N735" s="26">
        <f>VLOOKUP(M735,[1]LPU!$A$2:$G$1512,2,FALSE())</f>
        <v>107</v>
      </c>
      <c r="O735" s="26" t="str">
        <f>VLOOKUP(M735,[1]LPU!$A$2:$G$1512,3,FALSE)</f>
        <v>Mano de Obra Tecnico Electricista Certficado CONTE</v>
      </c>
      <c r="P735" s="26" t="str">
        <f>VLOOKUP(M735,[1]LPU!$A$2:$G$1512,4,FALSE())</f>
        <v>ENERGÍA</v>
      </c>
      <c r="Q735" s="26" t="str">
        <f>VLOOKUP(M735,[1]LPU!$A$2:$G$1512,5,FALSE())</f>
        <v>DIA</v>
      </c>
      <c r="R735" s="27">
        <f>VLOOKUP(M735,[1]LPU!$A$2:$G$1512,6,FALSE())</f>
        <v>136000</v>
      </c>
      <c r="S735" s="27" t="str">
        <f>VLOOKUP(M735,[1]LPU!$A$2:$G$1512,7,FALSE())</f>
        <v>LPU FLM</v>
      </c>
      <c r="T735" s="28">
        <v>2</v>
      </c>
      <c r="U735" s="29">
        <f t="shared" si="8"/>
        <v>272000</v>
      </c>
      <c r="V735" s="29" t="s">
        <v>77</v>
      </c>
      <c r="W735" s="30"/>
      <c r="X735" s="29" t="s">
        <v>274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ht="21" customHeight="1" x14ac:dyDescent="0.3">
      <c r="A736" s="22">
        <v>732</v>
      </c>
      <c r="B736" s="23">
        <v>1</v>
      </c>
      <c r="C736" s="23" t="s">
        <v>278</v>
      </c>
      <c r="D736" s="23" t="str">
        <f>VLOOKUP(C736,'[1]1.CUADRO RESUMEN DE SITIOS '!$C$5:$L$1052,2,FALSE())</f>
        <v>JSUC_00046</v>
      </c>
      <c r="E736" s="24">
        <f>VLOOKUP(C736,'[1]1.CUADRO RESUMEN DE SITIOS '!$C$5:$L$1052,3,FALSE())</f>
        <v>45953</v>
      </c>
      <c r="F736" s="23">
        <f>VLOOKUP(C736,'[1]1.CUADRO RESUMEN DE SITIOS '!$C$5:$L$1052,4,FALSE())</f>
        <v>9.2751380000000001</v>
      </c>
      <c r="G736" s="23">
        <f>VLOOKUP(C736,'[1]1.CUADRO RESUMEN DE SITIOS '!$C$5:$L$1052,5,FALSE())</f>
        <v>-75.533277999999996</v>
      </c>
      <c r="H736" s="23" t="str">
        <f>VLOOKUP(C736,'[1]1.CUADRO RESUMEN DE SITIOS '!$C$5:$L$1052,6,FALSE())</f>
        <v>Sucre</v>
      </c>
      <c r="I736" s="23" t="str">
        <f>VLOOKUP(C736,'[1]1.CUADRO RESUMEN DE SITIOS '!$C$5:$L$1052,7,FALSE())</f>
        <v>WOM</v>
      </c>
      <c r="J736" s="25" t="str">
        <f>VLOOKUP(C736,'[1]1.CUADRO RESUMEN DE SITIOS '!$C$5:$L$1052,8,FALSE())</f>
        <v>COSTA</v>
      </c>
      <c r="K736" s="23" t="str">
        <f>VLOOKUP(C736,'[1]1.CUADRO RESUMEN DE SITIOS '!$C$5:$L$1052,9,FALSE())</f>
        <v>Alfredo de la Cruz</v>
      </c>
      <c r="L736" s="26" t="str">
        <f>VLOOKUP(C736,'[1]1.CUADRO RESUMEN DE SITIOS '!$C$5:$L$1052,10,FALSE())</f>
        <v>Terminado</v>
      </c>
      <c r="M736" s="26">
        <v>8828119492</v>
      </c>
      <c r="N736" s="26">
        <f>VLOOKUP(M736,[1]LPU!$A$2:$G$1512,2,FALSE())</f>
        <v>53</v>
      </c>
      <c r="O736" s="26" t="str">
        <f>VLOOKUP(M736,[1]LPU!$A$2:$G$1512,3,FALSE)</f>
        <v>Instalación Banco de Baterias para Rectificadores - Aplica para ampliaciones.</v>
      </c>
      <c r="P736" s="26" t="str">
        <f>VLOOKUP(M736,[1]LPU!$A$2:$G$1512,4,FALSE())</f>
        <v>ENERGÍA</v>
      </c>
      <c r="Q736" s="26" t="str">
        <f>VLOOKUP(M736,[1]LPU!$A$2:$G$1512,5,FALSE())</f>
        <v>U</v>
      </c>
      <c r="R736" s="27">
        <f>VLOOKUP(M736,[1]LPU!$A$2:$G$1512,6,FALSE())</f>
        <v>102340</v>
      </c>
      <c r="S736" s="27" t="str">
        <f>VLOOKUP(M736,[1]LPU!$A$2:$G$1512,7,FALSE())</f>
        <v>LPU FLM</v>
      </c>
      <c r="T736" s="28">
        <v>1</v>
      </c>
      <c r="U736" s="29">
        <f t="shared" si="8"/>
        <v>102340</v>
      </c>
      <c r="V736" s="29" t="s">
        <v>77</v>
      </c>
      <c r="W736" s="30"/>
      <c r="X736" s="29" t="s">
        <v>254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ht="21" customHeight="1" x14ac:dyDescent="0.3">
      <c r="A737" s="22">
        <v>733</v>
      </c>
      <c r="B737" s="23">
        <v>1</v>
      </c>
      <c r="C737" s="23" t="s">
        <v>278</v>
      </c>
      <c r="D737" s="23" t="str">
        <f>VLOOKUP(C737,'[1]1.CUADRO RESUMEN DE SITIOS '!$C$5:$L$1052,2,FALSE())</f>
        <v>JSUC_00046</v>
      </c>
      <c r="E737" s="24">
        <f>VLOOKUP(C737,'[1]1.CUADRO RESUMEN DE SITIOS '!$C$5:$L$1052,3,FALSE())</f>
        <v>45953</v>
      </c>
      <c r="F737" s="23">
        <f>VLOOKUP(C737,'[1]1.CUADRO RESUMEN DE SITIOS '!$C$5:$L$1052,4,FALSE())</f>
        <v>9.2751380000000001</v>
      </c>
      <c r="G737" s="23">
        <f>VLOOKUP(C737,'[1]1.CUADRO RESUMEN DE SITIOS '!$C$5:$L$1052,5,FALSE())</f>
        <v>-75.533277999999996</v>
      </c>
      <c r="H737" s="23" t="str">
        <f>VLOOKUP(C737,'[1]1.CUADRO RESUMEN DE SITIOS '!$C$5:$L$1052,6,FALSE())</f>
        <v>Sucre</v>
      </c>
      <c r="I737" s="23" t="str">
        <f>VLOOKUP(C737,'[1]1.CUADRO RESUMEN DE SITIOS '!$C$5:$L$1052,7,FALSE())</f>
        <v>WOM</v>
      </c>
      <c r="J737" s="25" t="str">
        <f>VLOOKUP(C737,'[1]1.CUADRO RESUMEN DE SITIOS '!$C$5:$L$1052,8,FALSE())</f>
        <v>COSTA</v>
      </c>
      <c r="K737" s="23" t="str">
        <f>VLOOKUP(C737,'[1]1.CUADRO RESUMEN DE SITIOS '!$C$5:$L$1052,9,FALSE())</f>
        <v>Alfredo de la Cruz</v>
      </c>
      <c r="L737" s="26" t="str">
        <f>VLOOKUP(C737,'[1]1.CUADRO RESUMEN DE SITIOS '!$C$5:$L$1052,10,FALSE())</f>
        <v>Terminado</v>
      </c>
      <c r="M737" s="26">
        <v>8828119512</v>
      </c>
      <c r="N737" s="26">
        <f>VLOOKUP(M737,[1]LPU!$A$2:$G$1512,2,FALSE())</f>
        <v>55</v>
      </c>
      <c r="O737" s="26" t="str">
        <f>VLOOKUP(M737,[1]LPU!$A$2:$G$1512,3,FALSE)</f>
        <v>Transporte Banco de Baterias</v>
      </c>
      <c r="P737" s="26" t="str">
        <f>VLOOKUP(M737,[1]LPU!$A$2:$G$1512,4,FALSE())</f>
        <v>ENERGÍA</v>
      </c>
      <c r="Q737" s="26" t="str">
        <f>VLOOKUP(M737,[1]LPU!$A$2:$G$1512,5,FALSE())</f>
        <v>U</v>
      </c>
      <c r="R737" s="27">
        <f>VLOOKUP(M737,[1]LPU!$A$2:$G$1512,6,FALSE())</f>
        <v>82212</v>
      </c>
      <c r="S737" s="27" t="str">
        <f>VLOOKUP(M737,[1]LPU!$A$2:$G$1512,7,FALSE())</f>
        <v>LPU FLM</v>
      </c>
      <c r="T737" s="28">
        <v>1</v>
      </c>
      <c r="U737" s="29">
        <f t="shared" si="8"/>
        <v>82212</v>
      </c>
      <c r="V737" s="29" t="s">
        <v>77</v>
      </c>
      <c r="W737" s="30"/>
      <c r="X737" s="29" t="s">
        <v>254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ht="21" customHeight="1" x14ac:dyDescent="0.3">
      <c r="A738" s="22">
        <v>734</v>
      </c>
      <c r="B738" s="23">
        <v>1</v>
      </c>
      <c r="C738" s="23" t="s">
        <v>278</v>
      </c>
      <c r="D738" s="23" t="str">
        <f>VLOOKUP(C738,'[1]1.CUADRO RESUMEN DE SITIOS '!$C$5:$L$1052,2,FALSE())</f>
        <v>JSUC_00046</v>
      </c>
      <c r="E738" s="24">
        <f>VLOOKUP(C738,'[1]1.CUADRO RESUMEN DE SITIOS '!$C$5:$L$1052,3,FALSE())</f>
        <v>45953</v>
      </c>
      <c r="F738" s="23">
        <f>VLOOKUP(C738,'[1]1.CUADRO RESUMEN DE SITIOS '!$C$5:$L$1052,4,FALSE())</f>
        <v>9.2751380000000001</v>
      </c>
      <c r="G738" s="23">
        <f>VLOOKUP(C738,'[1]1.CUADRO RESUMEN DE SITIOS '!$C$5:$L$1052,5,FALSE())</f>
        <v>-75.533277999999996</v>
      </c>
      <c r="H738" s="23" t="str">
        <f>VLOOKUP(C738,'[1]1.CUADRO RESUMEN DE SITIOS '!$C$5:$L$1052,6,FALSE())</f>
        <v>Sucre</v>
      </c>
      <c r="I738" s="23" t="str">
        <f>VLOOKUP(C738,'[1]1.CUADRO RESUMEN DE SITIOS '!$C$5:$L$1052,7,FALSE())</f>
        <v>WOM</v>
      </c>
      <c r="J738" s="25" t="str">
        <f>VLOOKUP(C738,'[1]1.CUADRO RESUMEN DE SITIOS '!$C$5:$L$1052,8,FALSE())</f>
        <v>COSTA</v>
      </c>
      <c r="K738" s="23" t="str">
        <f>VLOOKUP(C738,'[1]1.CUADRO RESUMEN DE SITIOS '!$C$5:$L$1052,9,FALSE())</f>
        <v>Alfredo de la Cruz</v>
      </c>
      <c r="L738" s="26" t="str">
        <f>VLOOKUP(C738,'[1]1.CUADRO RESUMEN DE SITIOS '!$C$5:$L$1052,10,FALSE())</f>
        <v>Terminado</v>
      </c>
      <c r="M738" s="26">
        <v>8828118999</v>
      </c>
      <c r="N738" s="26">
        <f>VLOOKUP(M738,[1]LPU!$A$2:$G$1512,2,FALSE())</f>
        <v>0</v>
      </c>
      <c r="O738" s="26" t="str">
        <f>VLOOKUP(M738,[1]LPU!$A$2:$G$1512,3,FALSE)</f>
        <v>Suministro e instalación de cable UTP Categoría 6, con conectores en sus extremos, certificado</v>
      </c>
      <c r="P738" s="26" t="str">
        <f>VLOOKUP(M738,[1]LPU!$A$2:$G$1512,4,FALSE())</f>
        <v>Item Critico</v>
      </c>
      <c r="Q738" s="26" t="str">
        <f>VLOOKUP(M738,[1]LPU!$A$2:$G$1512,5,FALSE())</f>
        <v>m</v>
      </c>
      <c r="R738" s="27">
        <f>VLOOKUP(M738,[1]LPU!$A$2:$G$1512,6,FALSE())</f>
        <v>5913</v>
      </c>
      <c r="S738" s="27" t="str">
        <f>VLOOKUP(M738,[1]LPU!$A$2:$G$1512,7,FALSE())</f>
        <v>LPU FO Propia</v>
      </c>
      <c r="T738" s="28">
        <v>3</v>
      </c>
      <c r="U738" s="29">
        <f t="shared" si="8"/>
        <v>17739</v>
      </c>
      <c r="V738" s="29" t="s">
        <v>77</v>
      </c>
      <c r="W738" s="30"/>
      <c r="X738" s="29" t="s">
        <v>254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ht="21" customHeight="1" x14ac:dyDescent="0.3">
      <c r="A739" s="22">
        <v>735</v>
      </c>
      <c r="B739" s="23">
        <v>1</v>
      </c>
      <c r="C739" s="23" t="s">
        <v>278</v>
      </c>
      <c r="D739" s="23" t="str">
        <f>VLOOKUP(C739,'[1]1.CUADRO RESUMEN DE SITIOS '!$C$5:$L$1052,2,FALSE())</f>
        <v>JSUC_00046</v>
      </c>
      <c r="E739" s="24">
        <f>VLOOKUP(C739,'[1]1.CUADRO RESUMEN DE SITIOS '!$C$5:$L$1052,3,FALSE())</f>
        <v>45953</v>
      </c>
      <c r="F739" s="23">
        <f>VLOOKUP(C739,'[1]1.CUADRO RESUMEN DE SITIOS '!$C$5:$L$1052,4,FALSE())</f>
        <v>9.2751380000000001</v>
      </c>
      <c r="G739" s="23">
        <f>VLOOKUP(C739,'[1]1.CUADRO RESUMEN DE SITIOS '!$C$5:$L$1052,5,FALSE())</f>
        <v>-75.533277999999996</v>
      </c>
      <c r="H739" s="23" t="str">
        <f>VLOOKUP(C739,'[1]1.CUADRO RESUMEN DE SITIOS '!$C$5:$L$1052,6,FALSE())</f>
        <v>Sucre</v>
      </c>
      <c r="I739" s="23" t="str">
        <f>VLOOKUP(C739,'[1]1.CUADRO RESUMEN DE SITIOS '!$C$5:$L$1052,7,FALSE())</f>
        <v>WOM</v>
      </c>
      <c r="J739" s="25" t="str">
        <f>VLOOKUP(C739,'[1]1.CUADRO RESUMEN DE SITIOS '!$C$5:$L$1052,8,FALSE())</f>
        <v>COSTA</v>
      </c>
      <c r="K739" s="23" t="str">
        <f>VLOOKUP(C739,'[1]1.CUADRO RESUMEN DE SITIOS '!$C$5:$L$1052,9,FALSE())</f>
        <v>Alfredo de la Cruz</v>
      </c>
      <c r="L739" s="26" t="str">
        <f>VLOOKUP(C739,'[1]1.CUADRO RESUMEN DE SITIOS '!$C$5:$L$1052,10,FALSE())</f>
        <v>Terminado</v>
      </c>
      <c r="M739" s="26">
        <v>8828118925</v>
      </c>
      <c r="N739" s="26">
        <f>VLOOKUP(M739,[1]LPU!$A$2:$G$1512,2,FALSE())</f>
        <v>87</v>
      </c>
      <c r="O739" s="26" t="str">
        <f>VLOOKUP(M739,[1]LPU!$A$2:$G$1512,3,FALSE)</f>
        <v>Suministro e Instalacion de cable multifilar #4 awg tipo soldador.</v>
      </c>
      <c r="P739" s="26" t="str">
        <f>VLOOKUP(M739,[1]LPU!$A$2:$G$1512,4,FALSE())</f>
        <v>ENERGÍA</v>
      </c>
      <c r="Q739" s="26" t="str">
        <f>VLOOKUP(M739,[1]LPU!$A$2:$G$1512,5,FALSE())</f>
        <v>ML</v>
      </c>
      <c r="R739" s="27">
        <f>VLOOKUP(M739,[1]LPU!$A$2:$G$1512,6,FALSE())</f>
        <v>60815.8</v>
      </c>
      <c r="S739" s="27" t="str">
        <f>VLOOKUP(M739,[1]LPU!$A$2:$G$1512,7,FALSE())</f>
        <v>LPU FLM</v>
      </c>
      <c r="T739" s="28">
        <v>10</v>
      </c>
      <c r="U739" s="29">
        <f t="shared" si="8"/>
        <v>608158</v>
      </c>
      <c r="V739" s="29" t="s">
        <v>77</v>
      </c>
      <c r="W739" s="30"/>
      <c r="X739" s="29" t="s">
        <v>254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ht="21" customHeight="1" x14ac:dyDescent="0.3">
      <c r="A740" s="22">
        <v>736</v>
      </c>
      <c r="B740" s="23">
        <v>1</v>
      </c>
      <c r="C740" s="23" t="s">
        <v>278</v>
      </c>
      <c r="D740" s="23" t="str">
        <f>VLOOKUP(C740,'[1]1.CUADRO RESUMEN DE SITIOS '!$C$5:$L$1052,2,FALSE())</f>
        <v>JSUC_00046</v>
      </c>
      <c r="E740" s="24">
        <f>VLOOKUP(C740,'[1]1.CUADRO RESUMEN DE SITIOS '!$C$5:$L$1052,3,FALSE())</f>
        <v>45953</v>
      </c>
      <c r="F740" s="23">
        <f>VLOOKUP(C740,'[1]1.CUADRO RESUMEN DE SITIOS '!$C$5:$L$1052,4,FALSE())</f>
        <v>9.2751380000000001</v>
      </c>
      <c r="G740" s="23">
        <f>VLOOKUP(C740,'[1]1.CUADRO RESUMEN DE SITIOS '!$C$5:$L$1052,5,FALSE())</f>
        <v>-75.533277999999996</v>
      </c>
      <c r="H740" s="23" t="str">
        <f>VLOOKUP(C740,'[1]1.CUADRO RESUMEN DE SITIOS '!$C$5:$L$1052,6,FALSE())</f>
        <v>Sucre</v>
      </c>
      <c r="I740" s="23" t="str">
        <f>VLOOKUP(C740,'[1]1.CUADRO RESUMEN DE SITIOS '!$C$5:$L$1052,7,FALSE())</f>
        <v>WOM</v>
      </c>
      <c r="J740" s="25" t="str">
        <f>VLOOKUP(C740,'[1]1.CUADRO RESUMEN DE SITIOS '!$C$5:$L$1052,8,FALSE())</f>
        <v>COSTA</v>
      </c>
      <c r="K740" s="23" t="str">
        <f>VLOOKUP(C740,'[1]1.CUADRO RESUMEN DE SITIOS '!$C$5:$L$1052,9,FALSE())</f>
        <v>Alfredo de la Cruz</v>
      </c>
      <c r="L740" s="26" t="str">
        <f>VLOOKUP(C740,'[1]1.CUADRO RESUMEN DE SITIOS '!$C$5:$L$1052,10,FALSE())</f>
        <v>Terminado</v>
      </c>
      <c r="M740" s="26">
        <v>8828118868</v>
      </c>
      <c r="N740" s="26">
        <f>VLOOKUP(M740,[1]LPU!$A$2:$G$1512,2,FALSE())</f>
        <v>81</v>
      </c>
      <c r="O740" s="26" t="str">
        <f>VLOOKUP(M740,[1]LPU!$A$2:$G$1512,3,FALSE)</f>
        <v>Suministro e Instalacion de terminal para cable awg # 2 en cobre estañado un ojo</v>
      </c>
      <c r="P740" s="26" t="str">
        <f>VLOOKUP(M740,[1]LPU!$A$2:$G$1512,4,FALSE())</f>
        <v>ENERGÍA</v>
      </c>
      <c r="Q740" s="26" t="str">
        <f>VLOOKUP(M740,[1]LPU!$A$2:$G$1512,5,FALSE())</f>
        <v>U</v>
      </c>
      <c r="R740" s="27">
        <f>VLOOKUP(M740,[1]LPU!$A$2:$G$1512,6,FALSE())</f>
        <v>2347</v>
      </c>
      <c r="S740" s="27" t="str">
        <f>VLOOKUP(M740,[1]LPU!$A$2:$G$1512,7,FALSE())</f>
        <v>LPU FLM</v>
      </c>
      <c r="T740" s="28">
        <v>4</v>
      </c>
      <c r="U740" s="29">
        <f t="shared" si="8"/>
        <v>9388</v>
      </c>
      <c r="V740" s="29" t="s">
        <v>77</v>
      </c>
      <c r="W740" s="30"/>
      <c r="X740" s="29" t="s">
        <v>254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ht="21" customHeight="1" x14ac:dyDescent="0.3">
      <c r="A741" s="22">
        <v>737</v>
      </c>
      <c r="B741" s="23">
        <v>1</v>
      </c>
      <c r="C741" s="23" t="s">
        <v>278</v>
      </c>
      <c r="D741" s="23" t="str">
        <f>VLOOKUP(C741,'[1]1.CUADRO RESUMEN DE SITIOS '!$C$5:$L$1052,2,FALSE())</f>
        <v>JSUC_00046</v>
      </c>
      <c r="E741" s="24">
        <f>VLOOKUP(C741,'[1]1.CUADRO RESUMEN DE SITIOS '!$C$5:$L$1052,3,FALSE())</f>
        <v>45953</v>
      </c>
      <c r="F741" s="23">
        <f>VLOOKUP(C741,'[1]1.CUADRO RESUMEN DE SITIOS '!$C$5:$L$1052,4,FALSE())</f>
        <v>9.2751380000000001</v>
      </c>
      <c r="G741" s="23">
        <f>VLOOKUP(C741,'[1]1.CUADRO RESUMEN DE SITIOS '!$C$5:$L$1052,5,FALSE())</f>
        <v>-75.533277999999996</v>
      </c>
      <c r="H741" s="23" t="str">
        <f>VLOOKUP(C741,'[1]1.CUADRO RESUMEN DE SITIOS '!$C$5:$L$1052,6,FALSE())</f>
        <v>Sucre</v>
      </c>
      <c r="I741" s="23" t="str">
        <f>VLOOKUP(C741,'[1]1.CUADRO RESUMEN DE SITIOS '!$C$5:$L$1052,7,FALSE())</f>
        <v>WOM</v>
      </c>
      <c r="J741" s="25" t="str">
        <f>VLOOKUP(C741,'[1]1.CUADRO RESUMEN DE SITIOS '!$C$5:$L$1052,8,FALSE())</f>
        <v>COSTA</v>
      </c>
      <c r="K741" s="23" t="str">
        <f>VLOOKUP(C741,'[1]1.CUADRO RESUMEN DE SITIOS '!$C$5:$L$1052,9,FALSE())</f>
        <v>Alfredo de la Cruz</v>
      </c>
      <c r="L741" s="26" t="str">
        <f>VLOOKUP(C741,'[1]1.CUADRO RESUMEN DE SITIOS '!$C$5:$L$1052,10,FALSE())</f>
        <v>Terminado</v>
      </c>
      <c r="M741" s="26">
        <v>8828119980</v>
      </c>
      <c r="N741" s="26">
        <f>VLOOKUP(M741,[1]LPU!$A$2:$G$1512,2,FALSE())</f>
        <v>169</v>
      </c>
      <c r="O741" s="26" t="str">
        <f>VLOOKUP(M741,[1]LPU!$A$2:$G$1512,3,FALSE)</f>
        <v>Reforzamiento Protección Concreto para Rack de Baterías Incluye Materiales</v>
      </c>
      <c r="P741" s="26" t="str">
        <f>VLOOKUP(M741,[1]LPU!$A$2:$G$1512,4,FALSE())</f>
        <v>LOCATIVO</v>
      </c>
      <c r="Q741" s="26" t="str">
        <f>VLOOKUP(M741,[1]LPU!$A$2:$G$1512,5,FALSE())</f>
        <v>U</v>
      </c>
      <c r="R741" s="27">
        <f>VLOOKUP(M741,[1]LPU!$A$2:$G$1512,6,FALSE())</f>
        <v>114750</v>
      </c>
      <c r="S741" s="27" t="str">
        <f>VLOOKUP(M741,[1]LPU!$A$2:$G$1512,7,FALSE())</f>
        <v>LPU FLM</v>
      </c>
      <c r="T741" s="28">
        <v>1</v>
      </c>
      <c r="U741" s="29">
        <f t="shared" si="8"/>
        <v>114750</v>
      </c>
      <c r="V741" s="29" t="s">
        <v>77</v>
      </c>
      <c r="W741" s="30"/>
      <c r="X741" s="29" t="s">
        <v>254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ht="21" customHeight="1" x14ac:dyDescent="0.3">
      <c r="A742" s="22">
        <v>738</v>
      </c>
      <c r="B742" s="23">
        <v>1</v>
      </c>
      <c r="C742" s="23" t="s">
        <v>278</v>
      </c>
      <c r="D742" s="23" t="str">
        <f>VLOOKUP(C742,'[1]1.CUADRO RESUMEN DE SITIOS '!$C$5:$L$1052,2,FALSE())</f>
        <v>JSUC_00046</v>
      </c>
      <c r="E742" s="24">
        <f>VLOOKUP(C742,'[1]1.CUADRO RESUMEN DE SITIOS '!$C$5:$L$1052,3,FALSE())</f>
        <v>45953</v>
      </c>
      <c r="F742" s="23">
        <f>VLOOKUP(C742,'[1]1.CUADRO RESUMEN DE SITIOS '!$C$5:$L$1052,4,FALSE())</f>
        <v>9.2751380000000001</v>
      </c>
      <c r="G742" s="23">
        <f>VLOOKUP(C742,'[1]1.CUADRO RESUMEN DE SITIOS '!$C$5:$L$1052,5,FALSE())</f>
        <v>-75.533277999999996</v>
      </c>
      <c r="H742" s="23" t="str">
        <f>VLOOKUP(C742,'[1]1.CUADRO RESUMEN DE SITIOS '!$C$5:$L$1052,6,FALSE())</f>
        <v>Sucre</v>
      </c>
      <c r="I742" s="23" t="str">
        <f>VLOOKUP(C742,'[1]1.CUADRO RESUMEN DE SITIOS '!$C$5:$L$1052,7,FALSE())</f>
        <v>WOM</v>
      </c>
      <c r="J742" s="25" t="str">
        <f>VLOOKUP(C742,'[1]1.CUADRO RESUMEN DE SITIOS '!$C$5:$L$1052,8,FALSE())</f>
        <v>COSTA</v>
      </c>
      <c r="K742" s="23" t="str">
        <f>VLOOKUP(C742,'[1]1.CUADRO RESUMEN DE SITIOS '!$C$5:$L$1052,9,FALSE())</f>
        <v>Alfredo de la Cruz</v>
      </c>
      <c r="L742" s="26" t="str">
        <f>VLOOKUP(C742,'[1]1.CUADRO RESUMEN DE SITIOS '!$C$5:$L$1052,10,FALSE())</f>
        <v>Terminado</v>
      </c>
      <c r="M742" s="26">
        <v>8828119848</v>
      </c>
      <c r="N742" s="26">
        <f>VLOOKUP(M742,[1]LPU!$A$2:$G$1512,2,FALSE())</f>
        <v>157</v>
      </c>
      <c r="O742" s="26" t="str">
        <f>VLOOKUP(M742,[1]LPU!$A$2:$G$1512,3,FALSE)</f>
        <v>Reja para equipo cabinet x 2 baterías</v>
      </c>
      <c r="P742" s="26" t="str">
        <f>VLOOKUP(M742,[1]LPU!$A$2:$G$1512,4,FALSE())</f>
        <v>LOCATIVO</v>
      </c>
      <c r="Q742" s="26" t="str">
        <f>VLOOKUP(M742,[1]LPU!$A$2:$G$1512,5,FALSE())</f>
        <v>U</v>
      </c>
      <c r="R742" s="27">
        <f>VLOOKUP(M742,[1]LPU!$A$2:$G$1512,6,FALSE())</f>
        <v>415303</v>
      </c>
      <c r="S742" s="27" t="str">
        <f>VLOOKUP(M742,[1]LPU!$A$2:$G$1512,7,FALSE())</f>
        <v>LPU FLM</v>
      </c>
      <c r="T742" s="28">
        <v>1</v>
      </c>
      <c r="U742" s="29">
        <f t="shared" si="8"/>
        <v>415303</v>
      </c>
      <c r="V742" s="29" t="s">
        <v>77</v>
      </c>
      <c r="W742" s="30"/>
      <c r="X742" s="29" t="s">
        <v>254</v>
      </c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ht="21" customHeight="1" x14ac:dyDescent="0.3">
      <c r="A743" s="22">
        <v>739</v>
      </c>
      <c r="B743" s="23">
        <v>1</v>
      </c>
      <c r="C743" s="23" t="s">
        <v>278</v>
      </c>
      <c r="D743" s="23" t="str">
        <f>VLOOKUP(C743,'[1]1.CUADRO RESUMEN DE SITIOS '!$C$5:$L$1052,2,FALSE())</f>
        <v>JSUC_00046</v>
      </c>
      <c r="E743" s="24">
        <f>VLOOKUP(C743,'[1]1.CUADRO RESUMEN DE SITIOS '!$C$5:$L$1052,3,FALSE())</f>
        <v>45953</v>
      </c>
      <c r="F743" s="23">
        <f>VLOOKUP(C743,'[1]1.CUADRO RESUMEN DE SITIOS '!$C$5:$L$1052,4,FALSE())</f>
        <v>9.2751380000000001</v>
      </c>
      <c r="G743" s="23">
        <f>VLOOKUP(C743,'[1]1.CUADRO RESUMEN DE SITIOS '!$C$5:$L$1052,5,FALSE())</f>
        <v>-75.533277999999996</v>
      </c>
      <c r="H743" s="23" t="str">
        <f>VLOOKUP(C743,'[1]1.CUADRO RESUMEN DE SITIOS '!$C$5:$L$1052,6,FALSE())</f>
        <v>Sucre</v>
      </c>
      <c r="I743" s="23" t="str">
        <f>VLOOKUP(C743,'[1]1.CUADRO RESUMEN DE SITIOS '!$C$5:$L$1052,7,FALSE())</f>
        <v>WOM</v>
      </c>
      <c r="J743" s="25" t="str">
        <f>VLOOKUP(C743,'[1]1.CUADRO RESUMEN DE SITIOS '!$C$5:$L$1052,8,FALSE())</f>
        <v>COSTA</v>
      </c>
      <c r="K743" s="23" t="str">
        <f>VLOOKUP(C743,'[1]1.CUADRO RESUMEN DE SITIOS '!$C$5:$L$1052,9,FALSE())</f>
        <v>Alfredo de la Cruz</v>
      </c>
      <c r="L743" s="26" t="str">
        <f>VLOOKUP(C743,'[1]1.CUADRO RESUMEN DE SITIOS '!$C$5:$L$1052,10,FALSE())</f>
        <v>Terminado</v>
      </c>
      <c r="M743" s="26">
        <v>8828119045</v>
      </c>
      <c r="N743" s="26">
        <f>VLOOKUP(M743,[1]LPU!$A$2:$G$1512,2,FALSE())</f>
        <v>5.29</v>
      </c>
      <c r="O743" s="26" t="str">
        <f>VLOOKUP(M743,[1]LPU!$A$2:$G$1512,3,FALSE)</f>
        <v>Suministro e instalación de estructura metálica en acero galvanizado para refuerzo, soportes, bases y adecuaciones en general.</v>
      </c>
      <c r="P743" s="26" t="str">
        <f>VLOOKUP(M743,[1]LPU!$A$2:$G$1512,4,FALSE())</f>
        <v>Mantenimiento CW</v>
      </c>
      <c r="Q743" s="26" t="str">
        <f>VLOOKUP(M743,[1]LPU!$A$2:$G$1512,5,FALSE())</f>
        <v>Kg</v>
      </c>
      <c r="R743" s="27">
        <f>VLOOKUP(M743,[1]LPU!$A$2:$G$1512,6,FALSE())</f>
        <v>12911.5</v>
      </c>
      <c r="S743" s="27" t="str">
        <f>VLOOKUP(M743,[1]LPU!$A$2:$G$1512,7,FALSE())</f>
        <v>Mantenimiento CW</v>
      </c>
      <c r="T743" s="28">
        <v>22</v>
      </c>
      <c r="U743" s="29">
        <f t="shared" si="8"/>
        <v>284053</v>
      </c>
      <c r="V743" s="29" t="s">
        <v>77</v>
      </c>
      <c r="W743" s="30"/>
      <c r="X743" s="29" t="s">
        <v>254</v>
      </c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ht="21" customHeight="1" x14ac:dyDescent="0.3">
      <c r="A744" s="22">
        <v>740</v>
      </c>
      <c r="B744" s="23">
        <v>1</v>
      </c>
      <c r="C744" s="23" t="s">
        <v>278</v>
      </c>
      <c r="D744" s="23" t="str">
        <f>VLOOKUP(C744,'[1]1.CUADRO RESUMEN DE SITIOS '!$C$5:$L$1052,2,FALSE())</f>
        <v>JSUC_00046</v>
      </c>
      <c r="E744" s="24">
        <f>VLOOKUP(C744,'[1]1.CUADRO RESUMEN DE SITIOS '!$C$5:$L$1052,3,FALSE())</f>
        <v>45953</v>
      </c>
      <c r="F744" s="23">
        <f>VLOOKUP(C744,'[1]1.CUADRO RESUMEN DE SITIOS '!$C$5:$L$1052,4,FALSE())</f>
        <v>9.2751380000000001</v>
      </c>
      <c r="G744" s="23">
        <f>VLOOKUP(C744,'[1]1.CUADRO RESUMEN DE SITIOS '!$C$5:$L$1052,5,FALSE())</f>
        <v>-75.533277999999996</v>
      </c>
      <c r="H744" s="23" t="str">
        <f>VLOOKUP(C744,'[1]1.CUADRO RESUMEN DE SITIOS '!$C$5:$L$1052,6,FALSE())</f>
        <v>Sucre</v>
      </c>
      <c r="I744" s="23" t="str">
        <f>VLOOKUP(C744,'[1]1.CUADRO RESUMEN DE SITIOS '!$C$5:$L$1052,7,FALSE())</f>
        <v>WOM</v>
      </c>
      <c r="J744" s="25" t="str">
        <f>VLOOKUP(C744,'[1]1.CUADRO RESUMEN DE SITIOS '!$C$5:$L$1052,8,FALSE())</f>
        <v>COSTA</v>
      </c>
      <c r="K744" s="23" t="str">
        <f>VLOOKUP(C744,'[1]1.CUADRO RESUMEN DE SITIOS '!$C$5:$L$1052,9,FALSE())</f>
        <v>Alfredo de la Cruz</v>
      </c>
      <c r="L744" s="26" t="str">
        <f>VLOOKUP(C744,'[1]1.CUADRO RESUMEN DE SITIOS '!$C$5:$L$1052,10,FALSE())</f>
        <v>Terminado</v>
      </c>
      <c r="M744" s="26">
        <v>8828119599</v>
      </c>
      <c r="N744" s="26">
        <f>VLOOKUP(M744,[1]LPU!$A$2:$G$1512,2,FALSE())</f>
        <v>197</v>
      </c>
      <c r="O744" s="26" t="str">
        <f>VLOOKUP(M744,[1]LPU!$A$2:$G$1512,3,FALSE)</f>
        <v>Transporte de Equipos y Materiales, Carga y Descarga, desde y hacía Bodega Regional. Mas de 1 Tonelada. ZONA 2 (Resolución 5078 de 2016)</v>
      </c>
      <c r="P744" s="26" t="str">
        <f>VLOOKUP(M744,[1]LPU!$A$2:$G$1512,4,FALSE())</f>
        <v>LOCATIVO</v>
      </c>
      <c r="Q744" s="26" t="str">
        <f>VLOOKUP(M744,[1]LPU!$A$2:$G$1512,5,FALSE())</f>
        <v>U</v>
      </c>
      <c r="R744" s="27">
        <f>VLOOKUP(M744,[1]LPU!$A$2:$G$1512,6,FALSE())</f>
        <v>680680</v>
      </c>
      <c r="S744" s="27" t="str">
        <f>VLOOKUP(M744,[1]LPU!$A$2:$G$1512,7,FALSE())</f>
        <v>LPU FLM</v>
      </c>
      <c r="T744" s="28">
        <v>1</v>
      </c>
      <c r="U744" s="29">
        <f t="shared" si="8"/>
        <v>680680</v>
      </c>
      <c r="V744" s="29" t="s">
        <v>77</v>
      </c>
      <c r="W744" s="30"/>
      <c r="X744" s="29" t="s">
        <v>254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ht="21" customHeight="1" x14ac:dyDescent="0.3">
      <c r="A745" s="22">
        <v>741</v>
      </c>
      <c r="B745" s="23">
        <v>1</v>
      </c>
      <c r="C745" s="23" t="s">
        <v>278</v>
      </c>
      <c r="D745" s="23" t="str">
        <f>VLOOKUP(C745,'[1]1.CUADRO RESUMEN DE SITIOS '!$C$5:$L$1052,2,FALSE())</f>
        <v>JSUC_00046</v>
      </c>
      <c r="E745" s="24">
        <f>VLOOKUP(C745,'[1]1.CUADRO RESUMEN DE SITIOS '!$C$5:$L$1052,3,FALSE())</f>
        <v>45953</v>
      </c>
      <c r="F745" s="23">
        <f>VLOOKUP(C745,'[1]1.CUADRO RESUMEN DE SITIOS '!$C$5:$L$1052,4,FALSE())</f>
        <v>9.2751380000000001</v>
      </c>
      <c r="G745" s="23">
        <f>VLOOKUP(C745,'[1]1.CUADRO RESUMEN DE SITIOS '!$C$5:$L$1052,5,FALSE())</f>
        <v>-75.533277999999996</v>
      </c>
      <c r="H745" s="23" t="str">
        <f>VLOOKUP(C745,'[1]1.CUADRO RESUMEN DE SITIOS '!$C$5:$L$1052,6,FALSE())</f>
        <v>Sucre</v>
      </c>
      <c r="I745" s="23" t="str">
        <f>VLOOKUP(C745,'[1]1.CUADRO RESUMEN DE SITIOS '!$C$5:$L$1052,7,FALSE())</f>
        <v>WOM</v>
      </c>
      <c r="J745" s="25" t="str">
        <f>VLOOKUP(C745,'[1]1.CUADRO RESUMEN DE SITIOS '!$C$5:$L$1052,8,FALSE())</f>
        <v>COSTA</v>
      </c>
      <c r="K745" s="23" t="str">
        <f>VLOOKUP(C745,'[1]1.CUADRO RESUMEN DE SITIOS '!$C$5:$L$1052,9,FALSE())</f>
        <v>Alfredo de la Cruz</v>
      </c>
      <c r="L745" s="26" t="str">
        <f>VLOOKUP(C745,'[1]1.CUADRO RESUMEN DE SITIOS '!$C$5:$L$1052,10,FALSE())</f>
        <v>Terminado</v>
      </c>
      <c r="M745" s="26">
        <v>8828119110</v>
      </c>
      <c r="N745" s="26">
        <f>VLOOKUP(M745,[1]LPU!$A$2:$G$1512,2,FALSE())</f>
        <v>107</v>
      </c>
      <c r="O745" s="26" t="str">
        <f>VLOOKUP(M745,[1]LPU!$A$2:$G$1512,3,FALSE)</f>
        <v>Mano de Obra Tecnico Electricista Certficado CONTE</v>
      </c>
      <c r="P745" s="26" t="str">
        <f>VLOOKUP(M745,[1]LPU!$A$2:$G$1512,4,FALSE())</f>
        <v>ENERGÍA</v>
      </c>
      <c r="Q745" s="26" t="str">
        <f>VLOOKUP(M745,[1]LPU!$A$2:$G$1512,5,FALSE())</f>
        <v>DIA</v>
      </c>
      <c r="R745" s="27">
        <f>VLOOKUP(M745,[1]LPU!$A$2:$G$1512,6,FALSE())</f>
        <v>136000</v>
      </c>
      <c r="S745" s="27" t="str">
        <f>VLOOKUP(M745,[1]LPU!$A$2:$G$1512,7,FALSE())</f>
        <v>LPU FLM</v>
      </c>
      <c r="T745" s="28">
        <v>1</v>
      </c>
      <c r="U745" s="29">
        <f t="shared" si="8"/>
        <v>136000</v>
      </c>
      <c r="V745" s="29" t="s">
        <v>77</v>
      </c>
      <c r="W745" s="30"/>
      <c r="X745" s="29" t="s">
        <v>254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ht="21" customHeight="1" x14ac:dyDescent="0.3">
      <c r="A746" s="22">
        <v>742</v>
      </c>
      <c r="B746" s="23">
        <v>1</v>
      </c>
      <c r="C746" s="23" t="s">
        <v>278</v>
      </c>
      <c r="D746" s="23" t="str">
        <f>VLOOKUP(C746,'[1]1.CUADRO RESUMEN DE SITIOS '!$C$5:$L$1052,2,FALSE())</f>
        <v>JSUC_00046</v>
      </c>
      <c r="E746" s="24">
        <f>VLOOKUP(C746,'[1]1.CUADRO RESUMEN DE SITIOS '!$C$5:$L$1052,3,FALSE())</f>
        <v>45953</v>
      </c>
      <c r="F746" s="23">
        <f>VLOOKUP(C746,'[1]1.CUADRO RESUMEN DE SITIOS '!$C$5:$L$1052,4,FALSE())</f>
        <v>9.2751380000000001</v>
      </c>
      <c r="G746" s="23">
        <f>VLOOKUP(C746,'[1]1.CUADRO RESUMEN DE SITIOS '!$C$5:$L$1052,5,FALSE())</f>
        <v>-75.533277999999996</v>
      </c>
      <c r="H746" s="23" t="str">
        <f>VLOOKUP(C746,'[1]1.CUADRO RESUMEN DE SITIOS '!$C$5:$L$1052,6,FALSE())</f>
        <v>Sucre</v>
      </c>
      <c r="I746" s="23" t="str">
        <f>VLOOKUP(C746,'[1]1.CUADRO RESUMEN DE SITIOS '!$C$5:$L$1052,7,FALSE())</f>
        <v>WOM</v>
      </c>
      <c r="J746" s="25" t="str">
        <f>VLOOKUP(C746,'[1]1.CUADRO RESUMEN DE SITIOS '!$C$5:$L$1052,8,FALSE())</f>
        <v>COSTA</v>
      </c>
      <c r="K746" s="23" t="str">
        <f>VLOOKUP(C746,'[1]1.CUADRO RESUMEN DE SITIOS '!$C$5:$L$1052,9,FALSE())</f>
        <v>Alfredo de la Cruz</v>
      </c>
      <c r="L746" s="26" t="str">
        <f>VLOOKUP(C746,'[1]1.CUADRO RESUMEN DE SITIOS '!$C$5:$L$1052,10,FALSE())</f>
        <v>Terminado</v>
      </c>
      <c r="M746" s="26">
        <v>8828119938</v>
      </c>
      <c r="N746" s="26">
        <f>VLOOKUP(M746,[1]LPU!$A$2:$G$1512,2,FALSE())</f>
        <v>23</v>
      </c>
      <c r="O746" s="26" t="str">
        <f>VLOOKUP(M746,[1]LPU!$A$2:$G$1512,3,FALSE)</f>
        <v>Reubicación de 01 BBU desde gabinete existente hacia nuevo gabinete, incluye conexión de alimentación en ambos planos y etiquetado</v>
      </c>
      <c r="P746" s="26" t="str">
        <f>VLOOKUP(M746,[1]LPU!$A$2:$G$1512,4,FALSE())</f>
        <v>ACCESO</v>
      </c>
      <c r="Q746" s="26" t="str">
        <f>VLOOKUP(M746,[1]LPU!$A$2:$G$1512,5,FALSE())</f>
        <v>Por sector</v>
      </c>
      <c r="R746" s="27">
        <f>VLOOKUP(M746,[1]LPU!$A$2:$G$1512,6,FALSE())</f>
        <v>217413</v>
      </c>
      <c r="S746" s="27" t="str">
        <f>VLOOKUP(M746,[1]LPU!$A$2:$G$1512,7,FALSE())</f>
        <v>LPU FLM</v>
      </c>
      <c r="T746" s="28">
        <v>1</v>
      </c>
      <c r="U746" s="29">
        <f t="shared" si="8"/>
        <v>217413</v>
      </c>
      <c r="V746" s="29" t="s">
        <v>77</v>
      </c>
      <c r="W746" s="30"/>
      <c r="X746" s="29" t="s">
        <v>254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ht="21" customHeight="1" x14ac:dyDescent="0.3">
      <c r="A747" s="22">
        <v>743</v>
      </c>
      <c r="B747" s="23">
        <v>1</v>
      </c>
      <c r="C747" s="23" t="s">
        <v>278</v>
      </c>
      <c r="D747" s="23" t="str">
        <f>VLOOKUP(C747,'[1]1.CUADRO RESUMEN DE SITIOS '!$C$5:$L$1052,2,FALSE())</f>
        <v>JSUC_00046</v>
      </c>
      <c r="E747" s="24">
        <f>VLOOKUP(C747,'[1]1.CUADRO RESUMEN DE SITIOS '!$C$5:$L$1052,3,FALSE())</f>
        <v>45953</v>
      </c>
      <c r="F747" s="23">
        <f>VLOOKUP(C747,'[1]1.CUADRO RESUMEN DE SITIOS '!$C$5:$L$1052,4,FALSE())</f>
        <v>9.2751380000000001</v>
      </c>
      <c r="G747" s="23">
        <f>VLOOKUP(C747,'[1]1.CUADRO RESUMEN DE SITIOS '!$C$5:$L$1052,5,FALSE())</f>
        <v>-75.533277999999996</v>
      </c>
      <c r="H747" s="23" t="str">
        <f>VLOOKUP(C747,'[1]1.CUADRO RESUMEN DE SITIOS '!$C$5:$L$1052,6,FALSE())</f>
        <v>Sucre</v>
      </c>
      <c r="I747" s="23" t="str">
        <f>VLOOKUP(C747,'[1]1.CUADRO RESUMEN DE SITIOS '!$C$5:$L$1052,7,FALSE())</f>
        <v>WOM</v>
      </c>
      <c r="J747" s="25" t="str">
        <f>VLOOKUP(C747,'[1]1.CUADRO RESUMEN DE SITIOS '!$C$5:$L$1052,8,FALSE())</f>
        <v>COSTA</v>
      </c>
      <c r="K747" s="23" t="str">
        <f>VLOOKUP(C747,'[1]1.CUADRO RESUMEN DE SITIOS '!$C$5:$L$1052,9,FALSE())</f>
        <v>Alfredo de la Cruz</v>
      </c>
      <c r="L747" s="26" t="str">
        <f>VLOOKUP(C747,'[1]1.CUADRO RESUMEN DE SITIOS '!$C$5:$L$1052,10,FALSE())</f>
        <v>Terminado</v>
      </c>
      <c r="M747" s="26">
        <v>8828119402</v>
      </c>
      <c r="N747" s="26">
        <f>VLOOKUP(M747,[1]LPU!$A$2:$G$1512,2,FALSE())</f>
        <v>4</v>
      </c>
      <c r="O747" s="26" t="str">
        <f>VLOOKUP(M747,[1]LPU!$A$2:$G$1512,3,FALSE)</f>
        <v>Apertura y Cierre de Reja de Seguridad para Revisión de Baterías</v>
      </c>
      <c r="P747" s="26" t="str">
        <f>VLOOKUP(M747,[1]LPU!$A$2:$G$1512,4,FALSE())</f>
        <v>ACCESO</v>
      </c>
      <c r="Q747" s="26" t="str">
        <f>VLOOKUP(M747,[1]LPU!$A$2:$G$1512,5,FALSE())</f>
        <v>U</v>
      </c>
      <c r="R747" s="27">
        <f>VLOOKUP(M747,[1]LPU!$A$2:$G$1512,6,FALSE())</f>
        <v>96900</v>
      </c>
      <c r="S747" s="27" t="str">
        <f>VLOOKUP(M747,[1]LPU!$A$2:$G$1512,7,FALSE())</f>
        <v>LPU FLM</v>
      </c>
      <c r="T747" s="28">
        <v>1</v>
      </c>
      <c r="U747" s="29">
        <f t="shared" si="8"/>
        <v>96900</v>
      </c>
      <c r="V747" s="29" t="s">
        <v>77</v>
      </c>
      <c r="W747" s="30"/>
      <c r="X747" s="29" t="s">
        <v>254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ht="21" customHeight="1" x14ac:dyDescent="0.3">
      <c r="A748" s="22">
        <v>744</v>
      </c>
      <c r="B748" s="23">
        <v>1</v>
      </c>
      <c r="C748" s="23" t="s">
        <v>278</v>
      </c>
      <c r="D748" s="23" t="str">
        <f>VLOOKUP(C748,'[1]1.CUADRO RESUMEN DE SITIOS '!$C$5:$L$1052,2,FALSE())</f>
        <v>JSUC_00046</v>
      </c>
      <c r="E748" s="24">
        <f>VLOOKUP(C748,'[1]1.CUADRO RESUMEN DE SITIOS '!$C$5:$L$1052,3,FALSE())</f>
        <v>45953</v>
      </c>
      <c r="F748" s="23">
        <f>VLOOKUP(C748,'[1]1.CUADRO RESUMEN DE SITIOS '!$C$5:$L$1052,4,FALSE())</f>
        <v>9.2751380000000001</v>
      </c>
      <c r="G748" s="23">
        <f>VLOOKUP(C748,'[1]1.CUADRO RESUMEN DE SITIOS '!$C$5:$L$1052,5,FALSE())</f>
        <v>-75.533277999999996</v>
      </c>
      <c r="H748" s="23" t="str">
        <f>VLOOKUP(C748,'[1]1.CUADRO RESUMEN DE SITIOS '!$C$5:$L$1052,6,FALSE())</f>
        <v>Sucre</v>
      </c>
      <c r="I748" s="23" t="str">
        <f>VLOOKUP(C748,'[1]1.CUADRO RESUMEN DE SITIOS '!$C$5:$L$1052,7,FALSE())</f>
        <v>WOM</v>
      </c>
      <c r="J748" s="25" t="str">
        <f>VLOOKUP(C748,'[1]1.CUADRO RESUMEN DE SITIOS '!$C$5:$L$1052,8,FALSE())</f>
        <v>COSTA</v>
      </c>
      <c r="K748" s="23" t="str">
        <f>VLOOKUP(C748,'[1]1.CUADRO RESUMEN DE SITIOS '!$C$5:$L$1052,9,FALSE())</f>
        <v>Alfredo de la Cruz</v>
      </c>
      <c r="L748" s="26" t="str">
        <f>VLOOKUP(C748,'[1]1.CUADRO RESUMEN DE SITIOS '!$C$5:$L$1052,10,FALSE())</f>
        <v>Terminado</v>
      </c>
      <c r="M748" s="26">
        <v>8828119250</v>
      </c>
      <c r="N748" s="26">
        <f>VLOOKUP(M748,[1]LPU!$A$2:$G$1512,2,FALSE())</f>
        <v>0</v>
      </c>
      <c r="O748" s="26" t="str">
        <f>VLOOKUP(M748,[1]LPU!$A$2:$G$1512,3,FALSE)</f>
        <v>Suministro e instalación coraza americana de 1 1/2" - Incluye 100% accesorios</v>
      </c>
      <c r="P748" s="26" t="str">
        <f>VLOOKUP(M748,[1]LPU!$A$2:$G$1512,4,FALSE())</f>
        <v>Variables</v>
      </c>
      <c r="Q748" s="26" t="str">
        <f>VLOOKUP(M748,[1]LPU!$A$2:$G$1512,5,FALSE())</f>
        <v>ml</v>
      </c>
      <c r="R748" s="27">
        <f>VLOOKUP(M748,[1]LPU!$A$2:$G$1512,6,FALSE())</f>
        <v>12410</v>
      </c>
      <c r="S748" s="27" t="str">
        <f>VLOOKUP(M748,[1]LPU!$A$2:$G$1512,7,FALSE())</f>
        <v>LPU FO</v>
      </c>
      <c r="T748" s="28">
        <v>8</v>
      </c>
      <c r="U748" s="29">
        <f t="shared" si="8"/>
        <v>99280</v>
      </c>
      <c r="V748" s="29" t="s">
        <v>77</v>
      </c>
      <c r="W748" s="30"/>
      <c r="X748" s="29" t="s">
        <v>254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ht="21" customHeight="1" x14ac:dyDescent="0.3">
      <c r="A749" s="22">
        <v>745</v>
      </c>
      <c r="B749" s="23">
        <v>1</v>
      </c>
      <c r="C749" s="23" t="s">
        <v>279</v>
      </c>
      <c r="D749" s="23" t="str">
        <f>VLOOKUP(C749,'[1]1.CUADRO RESUMEN DE SITIOS '!$C$5:$L$1052,2,FALSE())</f>
        <v>JSUC_00018</v>
      </c>
      <c r="E749" s="24">
        <f>VLOOKUP(C749,'[1]1.CUADRO RESUMEN DE SITIOS '!$C$5:$L$1052,3,FALSE())</f>
        <v>45954</v>
      </c>
      <c r="F749" s="23">
        <f>VLOOKUP(C749,'[1]1.CUADRO RESUMEN DE SITIOS '!$C$5:$L$1052,4,FALSE())</f>
        <v>9.8602270000000001</v>
      </c>
      <c r="G749" s="23">
        <f>VLOOKUP(C749,'[1]1.CUADRO RESUMEN DE SITIOS '!$C$5:$L$1052,5,FALSE())</f>
        <v>-75.513565</v>
      </c>
      <c r="H749" s="23" t="str">
        <f>VLOOKUP(C749,'[1]1.CUADRO RESUMEN DE SITIOS '!$C$5:$L$1052,6,FALSE())</f>
        <v>Sucre</v>
      </c>
      <c r="I749" s="23" t="str">
        <f>VLOOKUP(C749,'[1]1.CUADRO RESUMEN DE SITIOS '!$C$5:$L$1052,7,FALSE())</f>
        <v>WOM</v>
      </c>
      <c r="J749" s="25" t="str">
        <f>VLOOKUP(C749,'[1]1.CUADRO RESUMEN DE SITIOS '!$C$5:$L$1052,8,FALSE())</f>
        <v>COSTA</v>
      </c>
      <c r="K749" s="23" t="str">
        <f>VLOOKUP(C749,'[1]1.CUADRO RESUMEN DE SITIOS '!$C$5:$L$1052,9,FALSE())</f>
        <v>Alfredo de la Cruz</v>
      </c>
      <c r="L749" s="26" t="str">
        <f>VLOOKUP(C749,'[1]1.CUADRO RESUMEN DE SITIOS '!$C$5:$L$1052,10,FALSE())</f>
        <v>Terminado</v>
      </c>
      <c r="M749" s="26">
        <v>8828119492</v>
      </c>
      <c r="N749" s="26">
        <f>VLOOKUP(M749,[1]LPU!$A$2:$G$1512,2,FALSE())</f>
        <v>53</v>
      </c>
      <c r="O749" s="26" t="str">
        <f>VLOOKUP(M749,[1]LPU!$A$2:$G$1512,3,FALSE)</f>
        <v>Instalación Banco de Baterias para Rectificadores - Aplica para ampliaciones.</v>
      </c>
      <c r="P749" s="26" t="str">
        <f>VLOOKUP(M749,[1]LPU!$A$2:$G$1512,4,FALSE())</f>
        <v>ENERGÍA</v>
      </c>
      <c r="Q749" s="26" t="str">
        <f>VLOOKUP(M749,[1]LPU!$A$2:$G$1512,5,FALSE())</f>
        <v>U</v>
      </c>
      <c r="R749" s="27">
        <f>VLOOKUP(M749,[1]LPU!$A$2:$G$1512,6,FALSE())</f>
        <v>102340</v>
      </c>
      <c r="S749" s="27" t="str">
        <f>VLOOKUP(M749,[1]LPU!$A$2:$G$1512,7,FALSE())</f>
        <v>LPU FLM</v>
      </c>
      <c r="T749" s="28">
        <v>1</v>
      </c>
      <c r="U749" s="29">
        <f t="shared" si="8"/>
        <v>102340</v>
      </c>
      <c r="V749" s="29" t="s">
        <v>77</v>
      </c>
      <c r="W749" s="30"/>
      <c r="X749" s="29" t="s">
        <v>254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ht="21" customHeight="1" x14ac:dyDescent="0.3">
      <c r="A750" s="22">
        <v>746</v>
      </c>
      <c r="B750" s="23">
        <v>1</v>
      </c>
      <c r="C750" s="23" t="s">
        <v>279</v>
      </c>
      <c r="D750" s="23" t="str">
        <f>VLOOKUP(C750,'[1]1.CUADRO RESUMEN DE SITIOS '!$C$5:$L$1052,2,FALSE())</f>
        <v>JSUC_00018</v>
      </c>
      <c r="E750" s="24">
        <f>VLOOKUP(C750,'[1]1.CUADRO RESUMEN DE SITIOS '!$C$5:$L$1052,3,FALSE())</f>
        <v>45954</v>
      </c>
      <c r="F750" s="23">
        <f>VLOOKUP(C750,'[1]1.CUADRO RESUMEN DE SITIOS '!$C$5:$L$1052,4,FALSE())</f>
        <v>9.8602270000000001</v>
      </c>
      <c r="G750" s="23">
        <f>VLOOKUP(C750,'[1]1.CUADRO RESUMEN DE SITIOS '!$C$5:$L$1052,5,FALSE())</f>
        <v>-75.513565</v>
      </c>
      <c r="H750" s="23" t="str">
        <f>VLOOKUP(C750,'[1]1.CUADRO RESUMEN DE SITIOS '!$C$5:$L$1052,6,FALSE())</f>
        <v>Sucre</v>
      </c>
      <c r="I750" s="23" t="str">
        <f>VLOOKUP(C750,'[1]1.CUADRO RESUMEN DE SITIOS '!$C$5:$L$1052,7,FALSE())</f>
        <v>WOM</v>
      </c>
      <c r="J750" s="25" t="str">
        <f>VLOOKUP(C750,'[1]1.CUADRO RESUMEN DE SITIOS '!$C$5:$L$1052,8,FALSE())</f>
        <v>COSTA</v>
      </c>
      <c r="K750" s="23" t="str">
        <f>VLOOKUP(C750,'[1]1.CUADRO RESUMEN DE SITIOS '!$C$5:$L$1052,9,FALSE())</f>
        <v>Alfredo de la Cruz</v>
      </c>
      <c r="L750" s="26" t="str">
        <f>VLOOKUP(C750,'[1]1.CUADRO RESUMEN DE SITIOS '!$C$5:$L$1052,10,FALSE())</f>
        <v>Terminado</v>
      </c>
      <c r="M750" s="26">
        <v>8828119512</v>
      </c>
      <c r="N750" s="26">
        <f>VLOOKUP(M750,[1]LPU!$A$2:$G$1512,2,FALSE())</f>
        <v>55</v>
      </c>
      <c r="O750" s="26" t="str">
        <f>VLOOKUP(M750,[1]LPU!$A$2:$G$1512,3,FALSE)</f>
        <v>Transporte Banco de Baterias</v>
      </c>
      <c r="P750" s="26" t="str">
        <f>VLOOKUP(M750,[1]LPU!$A$2:$G$1512,4,FALSE())</f>
        <v>ENERGÍA</v>
      </c>
      <c r="Q750" s="26" t="str">
        <f>VLOOKUP(M750,[1]LPU!$A$2:$G$1512,5,FALSE())</f>
        <v>U</v>
      </c>
      <c r="R750" s="27">
        <f>VLOOKUP(M750,[1]LPU!$A$2:$G$1512,6,FALSE())</f>
        <v>82212</v>
      </c>
      <c r="S750" s="27" t="str">
        <f>VLOOKUP(M750,[1]LPU!$A$2:$G$1512,7,FALSE())</f>
        <v>LPU FLM</v>
      </c>
      <c r="T750" s="28">
        <v>1</v>
      </c>
      <c r="U750" s="29">
        <f t="shared" si="8"/>
        <v>82212</v>
      </c>
      <c r="V750" s="29" t="s">
        <v>77</v>
      </c>
      <c r="W750" s="30"/>
      <c r="X750" s="29" t="s">
        <v>254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ht="21" customHeight="1" x14ac:dyDescent="0.3">
      <c r="A751" s="22">
        <v>747</v>
      </c>
      <c r="B751" s="23">
        <v>1</v>
      </c>
      <c r="C751" s="23" t="s">
        <v>279</v>
      </c>
      <c r="D751" s="23" t="str">
        <f>VLOOKUP(C751,'[1]1.CUADRO RESUMEN DE SITIOS '!$C$5:$L$1052,2,FALSE())</f>
        <v>JSUC_00018</v>
      </c>
      <c r="E751" s="24">
        <f>VLOOKUP(C751,'[1]1.CUADRO RESUMEN DE SITIOS '!$C$5:$L$1052,3,FALSE())</f>
        <v>45954</v>
      </c>
      <c r="F751" s="23">
        <f>VLOOKUP(C751,'[1]1.CUADRO RESUMEN DE SITIOS '!$C$5:$L$1052,4,FALSE())</f>
        <v>9.8602270000000001</v>
      </c>
      <c r="G751" s="23">
        <f>VLOOKUP(C751,'[1]1.CUADRO RESUMEN DE SITIOS '!$C$5:$L$1052,5,FALSE())</f>
        <v>-75.513565</v>
      </c>
      <c r="H751" s="23" t="str">
        <f>VLOOKUP(C751,'[1]1.CUADRO RESUMEN DE SITIOS '!$C$5:$L$1052,6,FALSE())</f>
        <v>Sucre</v>
      </c>
      <c r="I751" s="23" t="str">
        <f>VLOOKUP(C751,'[1]1.CUADRO RESUMEN DE SITIOS '!$C$5:$L$1052,7,FALSE())</f>
        <v>WOM</v>
      </c>
      <c r="J751" s="25" t="str">
        <f>VLOOKUP(C751,'[1]1.CUADRO RESUMEN DE SITIOS '!$C$5:$L$1052,8,FALSE())</f>
        <v>COSTA</v>
      </c>
      <c r="K751" s="23" t="str">
        <f>VLOOKUP(C751,'[1]1.CUADRO RESUMEN DE SITIOS '!$C$5:$L$1052,9,FALSE())</f>
        <v>Alfredo de la Cruz</v>
      </c>
      <c r="L751" s="26" t="str">
        <f>VLOOKUP(C751,'[1]1.CUADRO RESUMEN DE SITIOS '!$C$5:$L$1052,10,FALSE())</f>
        <v>Terminado</v>
      </c>
      <c r="M751" s="26">
        <v>8828119980</v>
      </c>
      <c r="N751" s="26">
        <f>VLOOKUP(M751,[1]LPU!$A$2:$G$1512,2,FALSE())</f>
        <v>169</v>
      </c>
      <c r="O751" s="26" t="str">
        <f>VLOOKUP(M751,[1]LPU!$A$2:$G$1512,3,FALSE)</f>
        <v>Reforzamiento Protección Concreto para Rack de Baterías Incluye Materiales</v>
      </c>
      <c r="P751" s="26" t="str">
        <f>VLOOKUP(M751,[1]LPU!$A$2:$G$1512,4,FALSE())</f>
        <v>LOCATIVO</v>
      </c>
      <c r="Q751" s="26" t="str">
        <f>VLOOKUP(M751,[1]LPU!$A$2:$G$1512,5,FALSE())</f>
        <v>U</v>
      </c>
      <c r="R751" s="27">
        <f>VLOOKUP(M751,[1]LPU!$A$2:$G$1512,6,FALSE())</f>
        <v>114750</v>
      </c>
      <c r="S751" s="27" t="str">
        <f>VLOOKUP(M751,[1]LPU!$A$2:$G$1512,7,FALSE())</f>
        <v>LPU FLM</v>
      </c>
      <c r="T751" s="28">
        <v>1</v>
      </c>
      <c r="U751" s="29">
        <f t="shared" si="8"/>
        <v>114750</v>
      </c>
      <c r="V751" s="29" t="s">
        <v>77</v>
      </c>
      <c r="W751" s="30"/>
      <c r="X751" s="29" t="s">
        <v>254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ht="21" customHeight="1" x14ac:dyDescent="0.3">
      <c r="A752" s="22">
        <v>748</v>
      </c>
      <c r="B752" s="23">
        <v>1</v>
      </c>
      <c r="C752" s="23" t="s">
        <v>279</v>
      </c>
      <c r="D752" s="23" t="str">
        <f>VLOOKUP(C752,'[1]1.CUADRO RESUMEN DE SITIOS '!$C$5:$L$1052,2,FALSE())</f>
        <v>JSUC_00018</v>
      </c>
      <c r="E752" s="24">
        <f>VLOOKUP(C752,'[1]1.CUADRO RESUMEN DE SITIOS '!$C$5:$L$1052,3,FALSE())</f>
        <v>45954</v>
      </c>
      <c r="F752" s="23">
        <f>VLOOKUP(C752,'[1]1.CUADRO RESUMEN DE SITIOS '!$C$5:$L$1052,4,FALSE())</f>
        <v>9.8602270000000001</v>
      </c>
      <c r="G752" s="23">
        <f>VLOOKUP(C752,'[1]1.CUADRO RESUMEN DE SITIOS '!$C$5:$L$1052,5,FALSE())</f>
        <v>-75.513565</v>
      </c>
      <c r="H752" s="23" t="str">
        <f>VLOOKUP(C752,'[1]1.CUADRO RESUMEN DE SITIOS '!$C$5:$L$1052,6,FALSE())</f>
        <v>Sucre</v>
      </c>
      <c r="I752" s="23" t="str">
        <f>VLOOKUP(C752,'[1]1.CUADRO RESUMEN DE SITIOS '!$C$5:$L$1052,7,FALSE())</f>
        <v>WOM</v>
      </c>
      <c r="J752" s="25" t="str">
        <f>VLOOKUP(C752,'[1]1.CUADRO RESUMEN DE SITIOS '!$C$5:$L$1052,8,FALSE())</f>
        <v>COSTA</v>
      </c>
      <c r="K752" s="23" t="str">
        <f>VLOOKUP(C752,'[1]1.CUADRO RESUMEN DE SITIOS '!$C$5:$L$1052,9,FALSE())</f>
        <v>Alfredo de la Cruz</v>
      </c>
      <c r="L752" s="26" t="str">
        <f>VLOOKUP(C752,'[1]1.CUADRO RESUMEN DE SITIOS '!$C$5:$L$1052,10,FALSE())</f>
        <v>Terminado</v>
      </c>
      <c r="M752" s="26">
        <v>8828119599</v>
      </c>
      <c r="N752" s="26">
        <f>VLOOKUP(M752,[1]LPU!$A$2:$G$1512,2,FALSE())</f>
        <v>197</v>
      </c>
      <c r="O752" s="26" t="str">
        <f>VLOOKUP(M752,[1]LPU!$A$2:$G$1512,3,FALSE)</f>
        <v>Transporte de Equipos y Materiales, Carga y Descarga, desde y hacía Bodega Regional. Mas de 1 Tonelada. ZONA 2 (Resolución 5078 de 2016)</v>
      </c>
      <c r="P752" s="26" t="str">
        <f>VLOOKUP(M752,[1]LPU!$A$2:$G$1512,4,FALSE())</f>
        <v>LOCATIVO</v>
      </c>
      <c r="Q752" s="26" t="str">
        <f>VLOOKUP(M752,[1]LPU!$A$2:$G$1512,5,FALSE())</f>
        <v>U</v>
      </c>
      <c r="R752" s="27">
        <f>VLOOKUP(M752,[1]LPU!$A$2:$G$1512,6,FALSE())</f>
        <v>680680</v>
      </c>
      <c r="S752" s="27" t="str">
        <f>VLOOKUP(M752,[1]LPU!$A$2:$G$1512,7,FALSE())</f>
        <v>LPU FLM</v>
      </c>
      <c r="T752" s="28">
        <v>1</v>
      </c>
      <c r="U752" s="29">
        <f t="shared" si="8"/>
        <v>680680</v>
      </c>
      <c r="V752" s="29" t="s">
        <v>77</v>
      </c>
      <c r="W752" s="30"/>
      <c r="X752" s="29" t="s">
        <v>254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ht="21" customHeight="1" x14ac:dyDescent="0.3">
      <c r="A753" s="22">
        <v>749</v>
      </c>
      <c r="B753" s="23">
        <v>1</v>
      </c>
      <c r="C753" s="23" t="s">
        <v>279</v>
      </c>
      <c r="D753" s="23" t="str">
        <f>VLOOKUP(C753,'[1]1.CUADRO RESUMEN DE SITIOS '!$C$5:$L$1052,2,FALSE())</f>
        <v>JSUC_00018</v>
      </c>
      <c r="E753" s="24">
        <f>VLOOKUP(C753,'[1]1.CUADRO RESUMEN DE SITIOS '!$C$5:$L$1052,3,FALSE())</f>
        <v>45954</v>
      </c>
      <c r="F753" s="23">
        <f>VLOOKUP(C753,'[1]1.CUADRO RESUMEN DE SITIOS '!$C$5:$L$1052,4,FALSE())</f>
        <v>9.8602270000000001</v>
      </c>
      <c r="G753" s="23">
        <f>VLOOKUP(C753,'[1]1.CUADRO RESUMEN DE SITIOS '!$C$5:$L$1052,5,FALSE())</f>
        <v>-75.513565</v>
      </c>
      <c r="H753" s="23" t="str">
        <f>VLOOKUP(C753,'[1]1.CUADRO RESUMEN DE SITIOS '!$C$5:$L$1052,6,FALSE())</f>
        <v>Sucre</v>
      </c>
      <c r="I753" s="23" t="str">
        <f>VLOOKUP(C753,'[1]1.CUADRO RESUMEN DE SITIOS '!$C$5:$L$1052,7,FALSE())</f>
        <v>WOM</v>
      </c>
      <c r="J753" s="25" t="str">
        <f>VLOOKUP(C753,'[1]1.CUADRO RESUMEN DE SITIOS '!$C$5:$L$1052,8,FALSE())</f>
        <v>COSTA</v>
      </c>
      <c r="K753" s="23" t="str">
        <f>VLOOKUP(C753,'[1]1.CUADRO RESUMEN DE SITIOS '!$C$5:$L$1052,9,FALSE())</f>
        <v>Alfredo de la Cruz</v>
      </c>
      <c r="L753" s="26" t="str">
        <f>VLOOKUP(C753,'[1]1.CUADRO RESUMEN DE SITIOS '!$C$5:$L$1052,10,FALSE())</f>
        <v>Terminado</v>
      </c>
      <c r="M753" s="26">
        <v>8828119110</v>
      </c>
      <c r="N753" s="26">
        <f>VLOOKUP(M753,[1]LPU!$A$2:$G$1512,2,FALSE())</f>
        <v>107</v>
      </c>
      <c r="O753" s="26" t="str">
        <f>VLOOKUP(M753,[1]LPU!$A$2:$G$1512,3,FALSE)</f>
        <v>Mano de Obra Tecnico Electricista Certficado CONTE</v>
      </c>
      <c r="P753" s="26" t="str">
        <f>VLOOKUP(M753,[1]LPU!$A$2:$G$1512,4,FALSE())</f>
        <v>ENERGÍA</v>
      </c>
      <c r="Q753" s="26" t="str">
        <f>VLOOKUP(M753,[1]LPU!$A$2:$G$1512,5,FALSE())</f>
        <v>DIA</v>
      </c>
      <c r="R753" s="27">
        <f>VLOOKUP(M753,[1]LPU!$A$2:$G$1512,6,FALSE())</f>
        <v>136000</v>
      </c>
      <c r="S753" s="27" t="str">
        <f>VLOOKUP(M753,[1]LPU!$A$2:$G$1512,7,FALSE())</f>
        <v>LPU FLM</v>
      </c>
      <c r="T753" s="28">
        <v>1</v>
      </c>
      <c r="U753" s="29">
        <f t="shared" si="8"/>
        <v>136000</v>
      </c>
      <c r="V753" s="29" t="s">
        <v>77</v>
      </c>
      <c r="W753" s="30"/>
      <c r="X753" s="29" t="s">
        <v>254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ht="21" customHeight="1" x14ac:dyDescent="0.3">
      <c r="A754" s="22">
        <v>750</v>
      </c>
      <c r="B754" s="23">
        <v>1</v>
      </c>
      <c r="C754" s="23" t="s">
        <v>279</v>
      </c>
      <c r="D754" s="23" t="str">
        <f>VLOOKUP(C754,'[1]1.CUADRO RESUMEN DE SITIOS '!$C$5:$L$1052,2,FALSE())</f>
        <v>JSUC_00018</v>
      </c>
      <c r="E754" s="24">
        <f>VLOOKUP(C754,'[1]1.CUADRO RESUMEN DE SITIOS '!$C$5:$L$1052,3,FALSE())</f>
        <v>45954</v>
      </c>
      <c r="F754" s="23">
        <f>VLOOKUP(C754,'[1]1.CUADRO RESUMEN DE SITIOS '!$C$5:$L$1052,4,FALSE())</f>
        <v>9.8602270000000001</v>
      </c>
      <c r="G754" s="23">
        <f>VLOOKUP(C754,'[1]1.CUADRO RESUMEN DE SITIOS '!$C$5:$L$1052,5,FALSE())</f>
        <v>-75.513565</v>
      </c>
      <c r="H754" s="23" t="str">
        <f>VLOOKUP(C754,'[1]1.CUADRO RESUMEN DE SITIOS '!$C$5:$L$1052,6,FALSE())</f>
        <v>Sucre</v>
      </c>
      <c r="I754" s="23" t="str">
        <f>VLOOKUP(C754,'[1]1.CUADRO RESUMEN DE SITIOS '!$C$5:$L$1052,7,FALSE())</f>
        <v>WOM</v>
      </c>
      <c r="J754" s="25" t="str">
        <f>VLOOKUP(C754,'[1]1.CUADRO RESUMEN DE SITIOS '!$C$5:$L$1052,8,FALSE())</f>
        <v>COSTA</v>
      </c>
      <c r="K754" s="23" t="str">
        <f>VLOOKUP(C754,'[1]1.CUADRO RESUMEN DE SITIOS '!$C$5:$L$1052,9,FALSE())</f>
        <v>Alfredo de la Cruz</v>
      </c>
      <c r="L754" s="26" t="str">
        <f>VLOOKUP(C754,'[1]1.CUADRO RESUMEN DE SITIOS '!$C$5:$L$1052,10,FALSE())</f>
        <v>Terminado</v>
      </c>
      <c r="M754" s="26">
        <v>8828119402</v>
      </c>
      <c r="N754" s="26">
        <f>VLOOKUP(M754,[1]LPU!$A$2:$G$1512,2,FALSE())</f>
        <v>4</v>
      </c>
      <c r="O754" s="26" t="str">
        <f>VLOOKUP(M754,[1]LPU!$A$2:$G$1512,3,FALSE)</f>
        <v>Apertura y Cierre de Reja de Seguridad para Revisión de Baterías</v>
      </c>
      <c r="P754" s="26" t="str">
        <f>VLOOKUP(M754,[1]LPU!$A$2:$G$1512,4,FALSE())</f>
        <v>ACCESO</v>
      </c>
      <c r="Q754" s="26" t="str">
        <f>VLOOKUP(M754,[1]LPU!$A$2:$G$1512,5,FALSE())</f>
        <v>U</v>
      </c>
      <c r="R754" s="27">
        <f>VLOOKUP(M754,[1]LPU!$A$2:$G$1512,6,FALSE())</f>
        <v>96900</v>
      </c>
      <c r="S754" s="27" t="str">
        <f>VLOOKUP(M754,[1]LPU!$A$2:$G$1512,7,FALSE())</f>
        <v>LPU FLM</v>
      </c>
      <c r="T754" s="28">
        <v>1</v>
      </c>
      <c r="U754" s="29">
        <f t="shared" si="8"/>
        <v>96900</v>
      </c>
      <c r="V754" s="29" t="s">
        <v>77</v>
      </c>
      <c r="W754" s="30"/>
      <c r="X754" s="29" t="s">
        <v>254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ht="21" customHeight="1" x14ac:dyDescent="0.3">
      <c r="A755" s="22">
        <v>751</v>
      </c>
      <c r="B755" s="23">
        <v>1</v>
      </c>
      <c r="C755" s="23" t="s">
        <v>280</v>
      </c>
      <c r="D755" s="23" t="str">
        <f>VLOOKUP(C755,'[1]1.CUADRO RESUMEN DE SITIOS '!$C$5:$L$1052,2,FALSE())</f>
        <v>JSUC_00025</v>
      </c>
      <c r="E755" s="24">
        <f>VLOOKUP(C755,'[1]1.CUADRO RESUMEN DE SITIOS '!$C$5:$L$1052,3,FALSE())</f>
        <v>45956</v>
      </c>
      <c r="F755" s="23">
        <f>VLOOKUP(C755,'[1]1.CUADRO RESUMEN DE SITIOS '!$C$5:$L$1052,4,FALSE())</f>
        <v>9.6835909999999998</v>
      </c>
      <c r="G755" s="23">
        <f>VLOOKUP(C755,'[1]1.CUADRO RESUMEN DE SITIOS '!$C$5:$L$1052,5,FALSE())</f>
        <v>-75.479393000000002</v>
      </c>
      <c r="H755" s="23" t="str">
        <f>VLOOKUP(C755,'[1]1.CUADRO RESUMEN DE SITIOS '!$C$5:$L$1052,6,FALSE())</f>
        <v>Sucre</v>
      </c>
      <c r="I755" s="23" t="str">
        <f>VLOOKUP(C755,'[1]1.CUADRO RESUMEN DE SITIOS '!$C$5:$L$1052,7,FALSE())</f>
        <v>WOM</v>
      </c>
      <c r="J755" s="25" t="str">
        <f>VLOOKUP(C755,'[1]1.CUADRO RESUMEN DE SITIOS '!$C$5:$L$1052,8,FALSE())</f>
        <v>COSTA</v>
      </c>
      <c r="K755" s="23" t="str">
        <f>VLOOKUP(C755,'[1]1.CUADRO RESUMEN DE SITIOS '!$C$5:$L$1052,9,FALSE())</f>
        <v>Alfredo de la Cruz</v>
      </c>
      <c r="L755" s="26" t="str">
        <f>VLOOKUP(C755,'[1]1.CUADRO RESUMEN DE SITIOS '!$C$5:$L$1052,10,FALSE())</f>
        <v>Terminado</v>
      </c>
      <c r="M755" s="26">
        <v>8828119492</v>
      </c>
      <c r="N755" s="26">
        <f>VLOOKUP(M755,[1]LPU!$A$2:$G$1512,2,FALSE())</f>
        <v>53</v>
      </c>
      <c r="O755" s="26" t="str">
        <f>VLOOKUP(M755,[1]LPU!$A$2:$G$1512,3,FALSE)</f>
        <v>Instalación Banco de Baterias para Rectificadores - Aplica para ampliaciones.</v>
      </c>
      <c r="P755" s="26" t="str">
        <f>VLOOKUP(M755,[1]LPU!$A$2:$G$1512,4,FALSE())</f>
        <v>ENERGÍA</v>
      </c>
      <c r="Q755" s="26" t="str">
        <f>VLOOKUP(M755,[1]LPU!$A$2:$G$1512,5,FALSE())</f>
        <v>U</v>
      </c>
      <c r="R755" s="27">
        <f>VLOOKUP(M755,[1]LPU!$A$2:$G$1512,6,FALSE())</f>
        <v>102340</v>
      </c>
      <c r="S755" s="27" t="str">
        <f>VLOOKUP(M755,[1]LPU!$A$2:$G$1512,7,FALSE())</f>
        <v>LPU FLM</v>
      </c>
      <c r="T755" s="28">
        <v>1</v>
      </c>
      <c r="U755" s="29">
        <f t="shared" si="8"/>
        <v>102340</v>
      </c>
      <c r="V755" s="29" t="s">
        <v>77</v>
      </c>
      <c r="W755" s="30"/>
      <c r="X755" s="29" t="s">
        <v>254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ht="21" customHeight="1" x14ac:dyDescent="0.3">
      <c r="A756" s="22">
        <v>752</v>
      </c>
      <c r="B756" s="23">
        <v>1</v>
      </c>
      <c r="C756" s="23" t="s">
        <v>280</v>
      </c>
      <c r="D756" s="23" t="str">
        <f>VLOOKUP(C756,'[1]1.CUADRO RESUMEN DE SITIOS '!$C$5:$L$1052,2,FALSE())</f>
        <v>JSUC_00025</v>
      </c>
      <c r="E756" s="24">
        <f>VLOOKUP(C756,'[1]1.CUADRO RESUMEN DE SITIOS '!$C$5:$L$1052,3,FALSE())</f>
        <v>45956</v>
      </c>
      <c r="F756" s="23">
        <f>VLOOKUP(C756,'[1]1.CUADRO RESUMEN DE SITIOS '!$C$5:$L$1052,4,FALSE())</f>
        <v>9.6835909999999998</v>
      </c>
      <c r="G756" s="23">
        <f>VLOOKUP(C756,'[1]1.CUADRO RESUMEN DE SITIOS '!$C$5:$L$1052,5,FALSE())</f>
        <v>-75.479393000000002</v>
      </c>
      <c r="H756" s="23" t="str">
        <f>VLOOKUP(C756,'[1]1.CUADRO RESUMEN DE SITIOS '!$C$5:$L$1052,6,FALSE())</f>
        <v>Sucre</v>
      </c>
      <c r="I756" s="23" t="str">
        <f>VLOOKUP(C756,'[1]1.CUADRO RESUMEN DE SITIOS '!$C$5:$L$1052,7,FALSE())</f>
        <v>WOM</v>
      </c>
      <c r="J756" s="25" t="str">
        <f>VLOOKUP(C756,'[1]1.CUADRO RESUMEN DE SITIOS '!$C$5:$L$1052,8,FALSE())</f>
        <v>COSTA</v>
      </c>
      <c r="K756" s="23" t="str">
        <f>VLOOKUP(C756,'[1]1.CUADRO RESUMEN DE SITIOS '!$C$5:$L$1052,9,FALSE())</f>
        <v>Alfredo de la Cruz</v>
      </c>
      <c r="L756" s="26" t="str">
        <f>VLOOKUP(C756,'[1]1.CUADRO RESUMEN DE SITIOS '!$C$5:$L$1052,10,FALSE())</f>
        <v>Terminado</v>
      </c>
      <c r="M756" s="26">
        <v>8828119512</v>
      </c>
      <c r="N756" s="26">
        <f>VLOOKUP(M756,[1]LPU!$A$2:$G$1512,2,FALSE())</f>
        <v>55</v>
      </c>
      <c r="O756" s="26" t="str">
        <f>VLOOKUP(M756,[1]LPU!$A$2:$G$1512,3,FALSE)</f>
        <v>Transporte Banco de Baterias</v>
      </c>
      <c r="P756" s="26" t="str">
        <f>VLOOKUP(M756,[1]LPU!$A$2:$G$1512,4,FALSE())</f>
        <v>ENERGÍA</v>
      </c>
      <c r="Q756" s="26" t="str">
        <f>VLOOKUP(M756,[1]LPU!$A$2:$G$1512,5,FALSE())</f>
        <v>U</v>
      </c>
      <c r="R756" s="27">
        <f>VLOOKUP(M756,[1]LPU!$A$2:$G$1512,6,FALSE())</f>
        <v>82212</v>
      </c>
      <c r="S756" s="27" t="str">
        <f>VLOOKUP(M756,[1]LPU!$A$2:$G$1512,7,FALSE())</f>
        <v>LPU FLM</v>
      </c>
      <c r="T756" s="28">
        <v>1</v>
      </c>
      <c r="U756" s="29">
        <f t="shared" si="8"/>
        <v>82212</v>
      </c>
      <c r="V756" s="29" t="s">
        <v>77</v>
      </c>
      <c r="W756" s="30"/>
      <c r="X756" s="29" t="s">
        <v>254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ht="21" customHeight="1" x14ac:dyDescent="0.3">
      <c r="A757" s="22">
        <v>753</v>
      </c>
      <c r="B757" s="23">
        <v>1</v>
      </c>
      <c r="C757" s="23" t="s">
        <v>280</v>
      </c>
      <c r="D757" s="23" t="str">
        <f>VLOOKUP(C757,'[1]1.CUADRO RESUMEN DE SITIOS '!$C$5:$L$1052,2,FALSE())</f>
        <v>JSUC_00025</v>
      </c>
      <c r="E757" s="24">
        <f>VLOOKUP(C757,'[1]1.CUADRO RESUMEN DE SITIOS '!$C$5:$L$1052,3,FALSE())</f>
        <v>45956</v>
      </c>
      <c r="F757" s="23">
        <f>VLOOKUP(C757,'[1]1.CUADRO RESUMEN DE SITIOS '!$C$5:$L$1052,4,FALSE())</f>
        <v>9.6835909999999998</v>
      </c>
      <c r="G757" s="23">
        <f>VLOOKUP(C757,'[1]1.CUADRO RESUMEN DE SITIOS '!$C$5:$L$1052,5,FALSE())</f>
        <v>-75.479393000000002</v>
      </c>
      <c r="H757" s="23" t="str">
        <f>VLOOKUP(C757,'[1]1.CUADRO RESUMEN DE SITIOS '!$C$5:$L$1052,6,FALSE())</f>
        <v>Sucre</v>
      </c>
      <c r="I757" s="23" t="str">
        <f>VLOOKUP(C757,'[1]1.CUADRO RESUMEN DE SITIOS '!$C$5:$L$1052,7,FALSE())</f>
        <v>WOM</v>
      </c>
      <c r="J757" s="25" t="str">
        <f>VLOOKUP(C757,'[1]1.CUADRO RESUMEN DE SITIOS '!$C$5:$L$1052,8,FALSE())</f>
        <v>COSTA</v>
      </c>
      <c r="K757" s="23" t="str">
        <f>VLOOKUP(C757,'[1]1.CUADRO RESUMEN DE SITIOS '!$C$5:$L$1052,9,FALSE())</f>
        <v>Alfredo de la Cruz</v>
      </c>
      <c r="L757" s="26" t="str">
        <f>VLOOKUP(C757,'[1]1.CUADRO RESUMEN DE SITIOS '!$C$5:$L$1052,10,FALSE())</f>
        <v>Terminado</v>
      </c>
      <c r="M757" s="26">
        <v>8828118999</v>
      </c>
      <c r="N757" s="26">
        <f>VLOOKUP(M757,[1]LPU!$A$2:$G$1512,2,FALSE())</f>
        <v>0</v>
      </c>
      <c r="O757" s="26" t="str">
        <f>VLOOKUP(M757,[1]LPU!$A$2:$G$1512,3,FALSE)</f>
        <v>Suministro e instalación de cable UTP Categoría 6, con conectores en sus extremos, certificado</v>
      </c>
      <c r="P757" s="26" t="str">
        <f>VLOOKUP(M757,[1]LPU!$A$2:$G$1512,4,FALSE())</f>
        <v>Item Critico</v>
      </c>
      <c r="Q757" s="26" t="str">
        <f>VLOOKUP(M757,[1]LPU!$A$2:$G$1512,5,FALSE())</f>
        <v>m</v>
      </c>
      <c r="R757" s="27">
        <f>VLOOKUP(M757,[1]LPU!$A$2:$G$1512,6,FALSE())</f>
        <v>5913</v>
      </c>
      <c r="S757" s="27" t="str">
        <f>VLOOKUP(M757,[1]LPU!$A$2:$G$1512,7,FALSE())</f>
        <v>LPU FO Propia</v>
      </c>
      <c r="T757" s="28">
        <v>3</v>
      </c>
      <c r="U757" s="29">
        <f t="shared" si="8"/>
        <v>17739</v>
      </c>
      <c r="V757" s="29" t="s">
        <v>77</v>
      </c>
      <c r="W757" s="30"/>
      <c r="X757" s="29" t="s">
        <v>254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ht="21" customHeight="1" x14ac:dyDescent="0.3">
      <c r="A758" s="22">
        <v>754</v>
      </c>
      <c r="B758" s="23">
        <v>1</v>
      </c>
      <c r="C758" s="23" t="s">
        <v>280</v>
      </c>
      <c r="D758" s="23" t="str">
        <f>VLOOKUP(C758,'[1]1.CUADRO RESUMEN DE SITIOS '!$C$5:$L$1052,2,FALSE())</f>
        <v>JSUC_00025</v>
      </c>
      <c r="E758" s="24">
        <f>VLOOKUP(C758,'[1]1.CUADRO RESUMEN DE SITIOS '!$C$5:$L$1052,3,FALSE())</f>
        <v>45956</v>
      </c>
      <c r="F758" s="23">
        <f>VLOOKUP(C758,'[1]1.CUADRO RESUMEN DE SITIOS '!$C$5:$L$1052,4,FALSE())</f>
        <v>9.6835909999999998</v>
      </c>
      <c r="G758" s="23">
        <f>VLOOKUP(C758,'[1]1.CUADRO RESUMEN DE SITIOS '!$C$5:$L$1052,5,FALSE())</f>
        <v>-75.479393000000002</v>
      </c>
      <c r="H758" s="23" t="str">
        <f>VLOOKUP(C758,'[1]1.CUADRO RESUMEN DE SITIOS '!$C$5:$L$1052,6,FALSE())</f>
        <v>Sucre</v>
      </c>
      <c r="I758" s="23" t="str">
        <f>VLOOKUP(C758,'[1]1.CUADRO RESUMEN DE SITIOS '!$C$5:$L$1052,7,FALSE())</f>
        <v>WOM</v>
      </c>
      <c r="J758" s="25" t="str">
        <f>VLOOKUP(C758,'[1]1.CUADRO RESUMEN DE SITIOS '!$C$5:$L$1052,8,FALSE())</f>
        <v>COSTA</v>
      </c>
      <c r="K758" s="23" t="str">
        <f>VLOOKUP(C758,'[1]1.CUADRO RESUMEN DE SITIOS '!$C$5:$L$1052,9,FALSE())</f>
        <v>Alfredo de la Cruz</v>
      </c>
      <c r="L758" s="26" t="str">
        <f>VLOOKUP(C758,'[1]1.CUADRO RESUMEN DE SITIOS '!$C$5:$L$1052,10,FALSE())</f>
        <v>Terminado</v>
      </c>
      <c r="M758" s="26">
        <v>8828118925</v>
      </c>
      <c r="N758" s="26">
        <f>VLOOKUP(M758,[1]LPU!$A$2:$G$1512,2,FALSE())</f>
        <v>87</v>
      </c>
      <c r="O758" s="26" t="str">
        <f>VLOOKUP(M758,[1]LPU!$A$2:$G$1512,3,FALSE)</f>
        <v>Suministro e Instalacion de cable multifilar #4 awg tipo soldador.</v>
      </c>
      <c r="P758" s="26" t="str">
        <f>VLOOKUP(M758,[1]LPU!$A$2:$G$1512,4,FALSE())</f>
        <v>ENERGÍA</v>
      </c>
      <c r="Q758" s="26" t="str">
        <f>VLOOKUP(M758,[1]LPU!$A$2:$G$1512,5,FALSE())</f>
        <v>ML</v>
      </c>
      <c r="R758" s="27">
        <f>VLOOKUP(M758,[1]LPU!$A$2:$G$1512,6,FALSE())</f>
        <v>60815.8</v>
      </c>
      <c r="S758" s="27" t="str">
        <f>VLOOKUP(M758,[1]LPU!$A$2:$G$1512,7,FALSE())</f>
        <v>LPU FLM</v>
      </c>
      <c r="T758" s="28">
        <v>10</v>
      </c>
      <c r="U758" s="29">
        <f t="shared" si="8"/>
        <v>608158</v>
      </c>
      <c r="V758" s="29" t="s">
        <v>77</v>
      </c>
      <c r="W758" s="30"/>
      <c r="X758" s="29" t="s">
        <v>254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ht="21" customHeight="1" x14ac:dyDescent="0.3">
      <c r="A759" s="22">
        <v>755</v>
      </c>
      <c r="B759" s="23">
        <v>1</v>
      </c>
      <c r="C759" s="23" t="s">
        <v>280</v>
      </c>
      <c r="D759" s="23" t="str">
        <f>VLOOKUP(C759,'[1]1.CUADRO RESUMEN DE SITIOS '!$C$5:$L$1052,2,FALSE())</f>
        <v>JSUC_00025</v>
      </c>
      <c r="E759" s="24">
        <f>VLOOKUP(C759,'[1]1.CUADRO RESUMEN DE SITIOS '!$C$5:$L$1052,3,FALSE())</f>
        <v>45956</v>
      </c>
      <c r="F759" s="23">
        <f>VLOOKUP(C759,'[1]1.CUADRO RESUMEN DE SITIOS '!$C$5:$L$1052,4,FALSE())</f>
        <v>9.6835909999999998</v>
      </c>
      <c r="G759" s="23">
        <f>VLOOKUP(C759,'[1]1.CUADRO RESUMEN DE SITIOS '!$C$5:$L$1052,5,FALSE())</f>
        <v>-75.479393000000002</v>
      </c>
      <c r="H759" s="23" t="str">
        <f>VLOOKUP(C759,'[1]1.CUADRO RESUMEN DE SITIOS '!$C$5:$L$1052,6,FALSE())</f>
        <v>Sucre</v>
      </c>
      <c r="I759" s="23" t="str">
        <f>VLOOKUP(C759,'[1]1.CUADRO RESUMEN DE SITIOS '!$C$5:$L$1052,7,FALSE())</f>
        <v>WOM</v>
      </c>
      <c r="J759" s="25" t="str">
        <f>VLOOKUP(C759,'[1]1.CUADRO RESUMEN DE SITIOS '!$C$5:$L$1052,8,FALSE())</f>
        <v>COSTA</v>
      </c>
      <c r="K759" s="23" t="str">
        <f>VLOOKUP(C759,'[1]1.CUADRO RESUMEN DE SITIOS '!$C$5:$L$1052,9,FALSE())</f>
        <v>Alfredo de la Cruz</v>
      </c>
      <c r="L759" s="26" t="str">
        <f>VLOOKUP(C759,'[1]1.CUADRO RESUMEN DE SITIOS '!$C$5:$L$1052,10,FALSE())</f>
        <v>Terminado</v>
      </c>
      <c r="M759" s="26">
        <v>8828118868</v>
      </c>
      <c r="N759" s="26">
        <f>VLOOKUP(M759,[1]LPU!$A$2:$G$1512,2,FALSE())</f>
        <v>81</v>
      </c>
      <c r="O759" s="26" t="str">
        <f>VLOOKUP(M759,[1]LPU!$A$2:$G$1512,3,FALSE)</f>
        <v>Suministro e Instalacion de terminal para cable awg # 2 en cobre estañado un ojo</v>
      </c>
      <c r="P759" s="26" t="str">
        <f>VLOOKUP(M759,[1]LPU!$A$2:$G$1512,4,FALSE())</f>
        <v>ENERGÍA</v>
      </c>
      <c r="Q759" s="26" t="str">
        <f>VLOOKUP(M759,[1]LPU!$A$2:$G$1512,5,FALSE())</f>
        <v>U</v>
      </c>
      <c r="R759" s="27">
        <f>VLOOKUP(M759,[1]LPU!$A$2:$G$1512,6,FALSE())</f>
        <v>2347</v>
      </c>
      <c r="S759" s="27" t="str">
        <f>VLOOKUP(M759,[1]LPU!$A$2:$G$1512,7,FALSE())</f>
        <v>LPU FLM</v>
      </c>
      <c r="T759" s="28">
        <v>4</v>
      </c>
      <c r="U759" s="29">
        <f t="shared" si="8"/>
        <v>9388</v>
      </c>
      <c r="V759" s="29" t="s">
        <v>77</v>
      </c>
      <c r="W759" s="30"/>
      <c r="X759" s="29" t="s">
        <v>254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ht="21" customHeight="1" x14ac:dyDescent="0.3">
      <c r="A760" s="22">
        <v>756</v>
      </c>
      <c r="B760" s="23">
        <v>1</v>
      </c>
      <c r="C760" s="23" t="s">
        <v>280</v>
      </c>
      <c r="D760" s="23" t="str">
        <f>VLOOKUP(C760,'[1]1.CUADRO RESUMEN DE SITIOS '!$C$5:$L$1052,2,FALSE())</f>
        <v>JSUC_00025</v>
      </c>
      <c r="E760" s="24">
        <f>VLOOKUP(C760,'[1]1.CUADRO RESUMEN DE SITIOS '!$C$5:$L$1052,3,FALSE())</f>
        <v>45956</v>
      </c>
      <c r="F760" s="23">
        <f>VLOOKUP(C760,'[1]1.CUADRO RESUMEN DE SITIOS '!$C$5:$L$1052,4,FALSE())</f>
        <v>9.6835909999999998</v>
      </c>
      <c r="G760" s="23">
        <f>VLOOKUP(C760,'[1]1.CUADRO RESUMEN DE SITIOS '!$C$5:$L$1052,5,FALSE())</f>
        <v>-75.479393000000002</v>
      </c>
      <c r="H760" s="23" t="str">
        <f>VLOOKUP(C760,'[1]1.CUADRO RESUMEN DE SITIOS '!$C$5:$L$1052,6,FALSE())</f>
        <v>Sucre</v>
      </c>
      <c r="I760" s="23" t="str">
        <f>VLOOKUP(C760,'[1]1.CUADRO RESUMEN DE SITIOS '!$C$5:$L$1052,7,FALSE())</f>
        <v>WOM</v>
      </c>
      <c r="J760" s="25" t="str">
        <f>VLOOKUP(C760,'[1]1.CUADRO RESUMEN DE SITIOS '!$C$5:$L$1052,8,FALSE())</f>
        <v>COSTA</v>
      </c>
      <c r="K760" s="23" t="str">
        <f>VLOOKUP(C760,'[1]1.CUADRO RESUMEN DE SITIOS '!$C$5:$L$1052,9,FALSE())</f>
        <v>Alfredo de la Cruz</v>
      </c>
      <c r="L760" s="26" t="str">
        <f>VLOOKUP(C760,'[1]1.CUADRO RESUMEN DE SITIOS '!$C$5:$L$1052,10,FALSE())</f>
        <v>Terminado</v>
      </c>
      <c r="M760" s="26">
        <v>8828119980</v>
      </c>
      <c r="N760" s="26">
        <f>VLOOKUP(M760,[1]LPU!$A$2:$G$1512,2,FALSE())</f>
        <v>169</v>
      </c>
      <c r="O760" s="26" t="str">
        <f>VLOOKUP(M760,[1]LPU!$A$2:$G$1512,3,FALSE)</f>
        <v>Reforzamiento Protección Concreto para Rack de Baterías Incluye Materiales</v>
      </c>
      <c r="P760" s="26" t="str">
        <f>VLOOKUP(M760,[1]LPU!$A$2:$G$1512,4,FALSE())</f>
        <v>LOCATIVO</v>
      </c>
      <c r="Q760" s="26" t="str">
        <f>VLOOKUP(M760,[1]LPU!$A$2:$G$1512,5,FALSE())</f>
        <v>U</v>
      </c>
      <c r="R760" s="27">
        <f>VLOOKUP(M760,[1]LPU!$A$2:$G$1512,6,FALSE())</f>
        <v>114750</v>
      </c>
      <c r="S760" s="27" t="str">
        <f>VLOOKUP(M760,[1]LPU!$A$2:$G$1512,7,FALSE())</f>
        <v>LPU FLM</v>
      </c>
      <c r="T760" s="28">
        <v>1</v>
      </c>
      <c r="U760" s="29">
        <f t="shared" si="8"/>
        <v>114750</v>
      </c>
      <c r="V760" s="29" t="s">
        <v>77</v>
      </c>
      <c r="W760" s="30"/>
      <c r="X760" s="29" t="s">
        <v>254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ht="21" customHeight="1" x14ac:dyDescent="0.3">
      <c r="A761" s="22">
        <v>757</v>
      </c>
      <c r="B761" s="23">
        <v>1</v>
      </c>
      <c r="C761" s="23" t="s">
        <v>280</v>
      </c>
      <c r="D761" s="23" t="str">
        <f>VLOOKUP(C761,'[1]1.CUADRO RESUMEN DE SITIOS '!$C$5:$L$1052,2,FALSE())</f>
        <v>JSUC_00025</v>
      </c>
      <c r="E761" s="24">
        <f>VLOOKUP(C761,'[1]1.CUADRO RESUMEN DE SITIOS '!$C$5:$L$1052,3,FALSE())</f>
        <v>45956</v>
      </c>
      <c r="F761" s="23">
        <f>VLOOKUP(C761,'[1]1.CUADRO RESUMEN DE SITIOS '!$C$5:$L$1052,4,FALSE())</f>
        <v>9.6835909999999998</v>
      </c>
      <c r="G761" s="23">
        <f>VLOOKUP(C761,'[1]1.CUADRO RESUMEN DE SITIOS '!$C$5:$L$1052,5,FALSE())</f>
        <v>-75.479393000000002</v>
      </c>
      <c r="H761" s="23" t="str">
        <f>VLOOKUP(C761,'[1]1.CUADRO RESUMEN DE SITIOS '!$C$5:$L$1052,6,FALSE())</f>
        <v>Sucre</v>
      </c>
      <c r="I761" s="23" t="str">
        <f>VLOOKUP(C761,'[1]1.CUADRO RESUMEN DE SITIOS '!$C$5:$L$1052,7,FALSE())</f>
        <v>WOM</v>
      </c>
      <c r="J761" s="25" t="str">
        <f>VLOOKUP(C761,'[1]1.CUADRO RESUMEN DE SITIOS '!$C$5:$L$1052,8,FALSE())</f>
        <v>COSTA</v>
      </c>
      <c r="K761" s="23" t="str">
        <f>VLOOKUP(C761,'[1]1.CUADRO RESUMEN DE SITIOS '!$C$5:$L$1052,9,FALSE())</f>
        <v>Alfredo de la Cruz</v>
      </c>
      <c r="L761" s="26" t="str">
        <f>VLOOKUP(C761,'[1]1.CUADRO RESUMEN DE SITIOS '!$C$5:$L$1052,10,FALSE())</f>
        <v>Terminado</v>
      </c>
      <c r="M761" s="26">
        <v>8828119848</v>
      </c>
      <c r="N761" s="26">
        <f>VLOOKUP(M761,[1]LPU!$A$2:$G$1512,2,FALSE())</f>
        <v>157</v>
      </c>
      <c r="O761" s="26" t="str">
        <f>VLOOKUP(M761,[1]LPU!$A$2:$G$1512,3,FALSE)</f>
        <v>Reja para equipo cabinet x 2 baterías</v>
      </c>
      <c r="P761" s="26" t="str">
        <f>VLOOKUP(M761,[1]LPU!$A$2:$G$1512,4,FALSE())</f>
        <v>LOCATIVO</v>
      </c>
      <c r="Q761" s="26" t="str">
        <f>VLOOKUP(M761,[1]LPU!$A$2:$G$1512,5,FALSE())</f>
        <v>U</v>
      </c>
      <c r="R761" s="27">
        <f>VLOOKUP(M761,[1]LPU!$A$2:$G$1512,6,FALSE())</f>
        <v>415303</v>
      </c>
      <c r="S761" s="27" t="str">
        <f>VLOOKUP(M761,[1]LPU!$A$2:$G$1512,7,FALSE())</f>
        <v>LPU FLM</v>
      </c>
      <c r="T761" s="28">
        <v>1</v>
      </c>
      <c r="U761" s="29">
        <f t="shared" si="8"/>
        <v>415303</v>
      </c>
      <c r="V761" s="29" t="s">
        <v>77</v>
      </c>
      <c r="W761" s="30"/>
      <c r="X761" s="29" t="s">
        <v>254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ht="21" customHeight="1" x14ac:dyDescent="0.3">
      <c r="A762" s="22">
        <v>758</v>
      </c>
      <c r="B762" s="23">
        <v>1</v>
      </c>
      <c r="C762" s="23" t="s">
        <v>280</v>
      </c>
      <c r="D762" s="23" t="str">
        <f>VLOOKUP(C762,'[1]1.CUADRO RESUMEN DE SITIOS '!$C$5:$L$1052,2,FALSE())</f>
        <v>JSUC_00025</v>
      </c>
      <c r="E762" s="24">
        <f>VLOOKUP(C762,'[1]1.CUADRO RESUMEN DE SITIOS '!$C$5:$L$1052,3,FALSE())</f>
        <v>45956</v>
      </c>
      <c r="F762" s="23">
        <f>VLOOKUP(C762,'[1]1.CUADRO RESUMEN DE SITIOS '!$C$5:$L$1052,4,FALSE())</f>
        <v>9.6835909999999998</v>
      </c>
      <c r="G762" s="23">
        <f>VLOOKUP(C762,'[1]1.CUADRO RESUMEN DE SITIOS '!$C$5:$L$1052,5,FALSE())</f>
        <v>-75.479393000000002</v>
      </c>
      <c r="H762" s="23" t="str">
        <f>VLOOKUP(C762,'[1]1.CUADRO RESUMEN DE SITIOS '!$C$5:$L$1052,6,FALSE())</f>
        <v>Sucre</v>
      </c>
      <c r="I762" s="23" t="str">
        <f>VLOOKUP(C762,'[1]1.CUADRO RESUMEN DE SITIOS '!$C$5:$L$1052,7,FALSE())</f>
        <v>WOM</v>
      </c>
      <c r="J762" s="25" t="str">
        <f>VLOOKUP(C762,'[1]1.CUADRO RESUMEN DE SITIOS '!$C$5:$L$1052,8,FALSE())</f>
        <v>COSTA</v>
      </c>
      <c r="K762" s="23" t="str">
        <f>VLOOKUP(C762,'[1]1.CUADRO RESUMEN DE SITIOS '!$C$5:$L$1052,9,FALSE())</f>
        <v>Alfredo de la Cruz</v>
      </c>
      <c r="L762" s="26" t="str">
        <f>VLOOKUP(C762,'[1]1.CUADRO RESUMEN DE SITIOS '!$C$5:$L$1052,10,FALSE())</f>
        <v>Terminado</v>
      </c>
      <c r="M762" s="26">
        <v>8828119045</v>
      </c>
      <c r="N762" s="26">
        <f>VLOOKUP(M762,[1]LPU!$A$2:$G$1512,2,FALSE())</f>
        <v>5.29</v>
      </c>
      <c r="O762" s="26" t="str">
        <f>VLOOKUP(M762,[1]LPU!$A$2:$G$1512,3,FALSE)</f>
        <v>Suministro e instalación de estructura metálica en acero galvanizado para refuerzo, soportes, bases y adecuaciones en general.</v>
      </c>
      <c r="P762" s="26" t="str">
        <f>VLOOKUP(M762,[1]LPU!$A$2:$G$1512,4,FALSE())</f>
        <v>Mantenimiento CW</v>
      </c>
      <c r="Q762" s="26" t="str">
        <f>VLOOKUP(M762,[1]LPU!$A$2:$G$1512,5,FALSE())</f>
        <v>Kg</v>
      </c>
      <c r="R762" s="27">
        <f>VLOOKUP(M762,[1]LPU!$A$2:$G$1512,6,FALSE())</f>
        <v>12911.5</v>
      </c>
      <c r="S762" s="27" t="str">
        <f>VLOOKUP(M762,[1]LPU!$A$2:$G$1512,7,FALSE())</f>
        <v>Mantenimiento CW</v>
      </c>
      <c r="T762" s="28">
        <v>22</v>
      </c>
      <c r="U762" s="29">
        <f t="shared" si="8"/>
        <v>284053</v>
      </c>
      <c r="V762" s="29" t="s">
        <v>77</v>
      </c>
      <c r="W762" s="30"/>
      <c r="X762" s="29" t="s">
        <v>254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ht="21" customHeight="1" x14ac:dyDescent="0.3">
      <c r="A763" s="22">
        <v>759</v>
      </c>
      <c r="B763" s="23">
        <v>1</v>
      </c>
      <c r="C763" s="23" t="s">
        <v>280</v>
      </c>
      <c r="D763" s="23" t="str">
        <f>VLOOKUP(C763,'[1]1.CUADRO RESUMEN DE SITIOS '!$C$5:$L$1052,2,FALSE())</f>
        <v>JSUC_00025</v>
      </c>
      <c r="E763" s="24">
        <f>VLOOKUP(C763,'[1]1.CUADRO RESUMEN DE SITIOS '!$C$5:$L$1052,3,FALSE())</f>
        <v>45956</v>
      </c>
      <c r="F763" s="23">
        <f>VLOOKUP(C763,'[1]1.CUADRO RESUMEN DE SITIOS '!$C$5:$L$1052,4,FALSE())</f>
        <v>9.6835909999999998</v>
      </c>
      <c r="G763" s="23">
        <f>VLOOKUP(C763,'[1]1.CUADRO RESUMEN DE SITIOS '!$C$5:$L$1052,5,FALSE())</f>
        <v>-75.479393000000002</v>
      </c>
      <c r="H763" s="23" t="str">
        <f>VLOOKUP(C763,'[1]1.CUADRO RESUMEN DE SITIOS '!$C$5:$L$1052,6,FALSE())</f>
        <v>Sucre</v>
      </c>
      <c r="I763" s="23" t="str">
        <f>VLOOKUP(C763,'[1]1.CUADRO RESUMEN DE SITIOS '!$C$5:$L$1052,7,FALSE())</f>
        <v>WOM</v>
      </c>
      <c r="J763" s="25" t="str">
        <f>VLOOKUP(C763,'[1]1.CUADRO RESUMEN DE SITIOS '!$C$5:$L$1052,8,FALSE())</f>
        <v>COSTA</v>
      </c>
      <c r="K763" s="23" t="str">
        <f>VLOOKUP(C763,'[1]1.CUADRO RESUMEN DE SITIOS '!$C$5:$L$1052,9,FALSE())</f>
        <v>Alfredo de la Cruz</v>
      </c>
      <c r="L763" s="26" t="str">
        <f>VLOOKUP(C763,'[1]1.CUADRO RESUMEN DE SITIOS '!$C$5:$L$1052,10,FALSE())</f>
        <v>Terminado</v>
      </c>
      <c r="M763" s="26">
        <v>8828119599</v>
      </c>
      <c r="N763" s="26">
        <f>VLOOKUP(M763,[1]LPU!$A$2:$G$1512,2,FALSE())</f>
        <v>197</v>
      </c>
      <c r="O763" s="26" t="str">
        <f>VLOOKUP(M763,[1]LPU!$A$2:$G$1512,3,FALSE)</f>
        <v>Transporte de Equipos y Materiales, Carga y Descarga, desde y hacía Bodega Regional. Mas de 1 Tonelada. ZONA 2 (Resolución 5078 de 2016)</v>
      </c>
      <c r="P763" s="26" t="str">
        <f>VLOOKUP(M763,[1]LPU!$A$2:$G$1512,4,FALSE())</f>
        <v>LOCATIVO</v>
      </c>
      <c r="Q763" s="26" t="str">
        <f>VLOOKUP(M763,[1]LPU!$A$2:$G$1512,5,FALSE())</f>
        <v>U</v>
      </c>
      <c r="R763" s="27">
        <f>VLOOKUP(M763,[1]LPU!$A$2:$G$1512,6,FALSE())</f>
        <v>680680</v>
      </c>
      <c r="S763" s="27" t="str">
        <f>VLOOKUP(M763,[1]LPU!$A$2:$G$1512,7,FALSE())</f>
        <v>LPU FLM</v>
      </c>
      <c r="T763" s="28">
        <v>1</v>
      </c>
      <c r="U763" s="29">
        <f t="shared" si="8"/>
        <v>680680</v>
      </c>
      <c r="V763" s="29" t="s">
        <v>77</v>
      </c>
      <c r="W763" s="30"/>
      <c r="X763" s="29" t="s">
        <v>254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ht="21" customHeight="1" x14ac:dyDescent="0.3">
      <c r="A764" s="22">
        <v>760</v>
      </c>
      <c r="B764" s="23">
        <v>1</v>
      </c>
      <c r="C764" s="23" t="s">
        <v>280</v>
      </c>
      <c r="D764" s="23" t="str">
        <f>VLOOKUP(C764,'[1]1.CUADRO RESUMEN DE SITIOS '!$C$5:$L$1052,2,FALSE())</f>
        <v>JSUC_00025</v>
      </c>
      <c r="E764" s="24">
        <f>VLOOKUP(C764,'[1]1.CUADRO RESUMEN DE SITIOS '!$C$5:$L$1052,3,FALSE())</f>
        <v>45956</v>
      </c>
      <c r="F764" s="23">
        <f>VLOOKUP(C764,'[1]1.CUADRO RESUMEN DE SITIOS '!$C$5:$L$1052,4,FALSE())</f>
        <v>9.6835909999999998</v>
      </c>
      <c r="G764" s="23">
        <f>VLOOKUP(C764,'[1]1.CUADRO RESUMEN DE SITIOS '!$C$5:$L$1052,5,FALSE())</f>
        <v>-75.479393000000002</v>
      </c>
      <c r="H764" s="23" t="str">
        <f>VLOOKUP(C764,'[1]1.CUADRO RESUMEN DE SITIOS '!$C$5:$L$1052,6,FALSE())</f>
        <v>Sucre</v>
      </c>
      <c r="I764" s="23" t="str">
        <f>VLOOKUP(C764,'[1]1.CUADRO RESUMEN DE SITIOS '!$C$5:$L$1052,7,FALSE())</f>
        <v>WOM</v>
      </c>
      <c r="J764" s="25" t="str">
        <f>VLOOKUP(C764,'[1]1.CUADRO RESUMEN DE SITIOS '!$C$5:$L$1052,8,FALSE())</f>
        <v>COSTA</v>
      </c>
      <c r="K764" s="23" t="str">
        <f>VLOOKUP(C764,'[1]1.CUADRO RESUMEN DE SITIOS '!$C$5:$L$1052,9,FALSE())</f>
        <v>Alfredo de la Cruz</v>
      </c>
      <c r="L764" s="26" t="str">
        <f>VLOOKUP(C764,'[1]1.CUADRO RESUMEN DE SITIOS '!$C$5:$L$1052,10,FALSE())</f>
        <v>Terminado</v>
      </c>
      <c r="M764" s="26">
        <v>8828119110</v>
      </c>
      <c r="N764" s="26">
        <f>VLOOKUP(M764,[1]LPU!$A$2:$G$1512,2,FALSE())</f>
        <v>107</v>
      </c>
      <c r="O764" s="26" t="str">
        <f>VLOOKUP(M764,[1]LPU!$A$2:$G$1512,3,FALSE)</f>
        <v>Mano de Obra Tecnico Electricista Certficado CONTE</v>
      </c>
      <c r="P764" s="26" t="str">
        <f>VLOOKUP(M764,[1]LPU!$A$2:$G$1512,4,FALSE())</f>
        <v>ENERGÍA</v>
      </c>
      <c r="Q764" s="26" t="str">
        <f>VLOOKUP(M764,[1]LPU!$A$2:$G$1512,5,FALSE())</f>
        <v>DIA</v>
      </c>
      <c r="R764" s="27">
        <f>VLOOKUP(M764,[1]LPU!$A$2:$G$1512,6,FALSE())</f>
        <v>136000</v>
      </c>
      <c r="S764" s="27" t="str">
        <f>VLOOKUP(M764,[1]LPU!$A$2:$G$1512,7,FALSE())</f>
        <v>LPU FLM</v>
      </c>
      <c r="T764" s="28">
        <v>1</v>
      </c>
      <c r="U764" s="29">
        <f t="shared" si="8"/>
        <v>136000</v>
      </c>
      <c r="V764" s="29" t="s">
        <v>77</v>
      </c>
      <c r="W764" s="30"/>
      <c r="X764" s="29" t="s">
        <v>254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ht="21" customHeight="1" x14ac:dyDescent="0.3">
      <c r="A765" s="22">
        <v>761</v>
      </c>
      <c r="B765" s="23">
        <v>1</v>
      </c>
      <c r="C765" s="23" t="s">
        <v>280</v>
      </c>
      <c r="D765" s="23" t="str">
        <f>VLOOKUP(C765,'[1]1.CUADRO RESUMEN DE SITIOS '!$C$5:$L$1052,2,FALSE())</f>
        <v>JSUC_00025</v>
      </c>
      <c r="E765" s="24">
        <f>VLOOKUP(C765,'[1]1.CUADRO RESUMEN DE SITIOS '!$C$5:$L$1052,3,FALSE())</f>
        <v>45956</v>
      </c>
      <c r="F765" s="23">
        <f>VLOOKUP(C765,'[1]1.CUADRO RESUMEN DE SITIOS '!$C$5:$L$1052,4,FALSE())</f>
        <v>9.6835909999999998</v>
      </c>
      <c r="G765" s="23">
        <f>VLOOKUP(C765,'[1]1.CUADRO RESUMEN DE SITIOS '!$C$5:$L$1052,5,FALSE())</f>
        <v>-75.479393000000002</v>
      </c>
      <c r="H765" s="23" t="str">
        <f>VLOOKUP(C765,'[1]1.CUADRO RESUMEN DE SITIOS '!$C$5:$L$1052,6,FALSE())</f>
        <v>Sucre</v>
      </c>
      <c r="I765" s="23" t="str">
        <f>VLOOKUP(C765,'[1]1.CUADRO RESUMEN DE SITIOS '!$C$5:$L$1052,7,FALSE())</f>
        <v>WOM</v>
      </c>
      <c r="J765" s="25" t="str">
        <f>VLOOKUP(C765,'[1]1.CUADRO RESUMEN DE SITIOS '!$C$5:$L$1052,8,FALSE())</f>
        <v>COSTA</v>
      </c>
      <c r="K765" s="23" t="str">
        <f>VLOOKUP(C765,'[1]1.CUADRO RESUMEN DE SITIOS '!$C$5:$L$1052,9,FALSE())</f>
        <v>Alfredo de la Cruz</v>
      </c>
      <c r="L765" s="26" t="str">
        <f>VLOOKUP(C765,'[1]1.CUADRO RESUMEN DE SITIOS '!$C$5:$L$1052,10,FALSE())</f>
        <v>Terminado</v>
      </c>
      <c r="M765" s="26">
        <v>8828119938</v>
      </c>
      <c r="N765" s="26">
        <f>VLOOKUP(M765,[1]LPU!$A$2:$G$1512,2,FALSE())</f>
        <v>23</v>
      </c>
      <c r="O765" s="26" t="str">
        <f>VLOOKUP(M765,[1]LPU!$A$2:$G$1512,3,FALSE)</f>
        <v>Reubicación de 01 BBU desde gabinete existente hacia nuevo gabinete, incluye conexión de alimentación en ambos planos y etiquetado</v>
      </c>
      <c r="P765" s="26" t="str">
        <f>VLOOKUP(M765,[1]LPU!$A$2:$G$1512,4,FALSE())</f>
        <v>ACCESO</v>
      </c>
      <c r="Q765" s="26" t="str">
        <f>VLOOKUP(M765,[1]LPU!$A$2:$G$1512,5,FALSE())</f>
        <v>Por sector</v>
      </c>
      <c r="R765" s="27">
        <f>VLOOKUP(M765,[1]LPU!$A$2:$G$1512,6,FALSE())</f>
        <v>217413</v>
      </c>
      <c r="S765" s="27" t="str">
        <f>VLOOKUP(M765,[1]LPU!$A$2:$G$1512,7,FALSE())</f>
        <v>LPU FLM</v>
      </c>
      <c r="T765" s="28">
        <v>1</v>
      </c>
      <c r="U765" s="29">
        <f t="shared" si="8"/>
        <v>217413</v>
      </c>
      <c r="V765" s="29" t="s">
        <v>77</v>
      </c>
      <c r="W765" s="30"/>
      <c r="X765" s="29" t="s">
        <v>254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ht="21" customHeight="1" x14ac:dyDescent="0.3">
      <c r="A766" s="22">
        <v>762</v>
      </c>
      <c r="B766" s="23">
        <v>1</v>
      </c>
      <c r="C766" s="23" t="s">
        <v>280</v>
      </c>
      <c r="D766" s="23" t="str">
        <f>VLOOKUP(C766,'[1]1.CUADRO RESUMEN DE SITIOS '!$C$5:$L$1052,2,FALSE())</f>
        <v>JSUC_00025</v>
      </c>
      <c r="E766" s="24">
        <f>VLOOKUP(C766,'[1]1.CUADRO RESUMEN DE SITIOS '!$C$5:$L$1052,3,FALSE())</f>
        <v>45956</v>
      </c>
      <c r="F766" s="23">
        <f>VLOOKUP(C766,'[1]1.CUADRO RESUMEN DE SITIOS '!$C$5:$L$1052,4,FALSE())</f>
        <v>9.6835909999999998</v>
      </c>
      <c r="G766" s="23">
        <f>VLOOKUP(C766,'[1]1.CUADRO RESUMEN DE SITIOS '!$C$5:$L$1052,5,FALSE())</f>
        <v>-75.479393000000002</v>
      </c>
      <c r="H766" s="23" t="str">
        <f>VLOOKUP(C766,'[1]1.CUADRO RESUMEN DE SITIOS '!$C$5:$L$1052,6,FALSE())</f>
        <v>Sucre</v>
      </c>
      <c r="I766" s="23" t="str">
        <f>VLOOKUP(C766,'[1]1.CUADRO RESUMEN DE SITIOS '!$C$5:$L$1052,7,FALSE())</f>
        <v>WOM</v>
      </c>
      <c r="J766" s="25" t="str">
        <f>VLOOKUP(C766,'[1]1.CUADRO RESUMEN DE SITIOS '!$C$5:$L$1052,8,FALSE())</f>
        <v>COSTA</v>
      </c>
      <c r="K766" s="23" t="str">
        <f>VLOOKUP(C766,'[1]1.CUADRO RESUMEN DE SITIOS '!$C$5:$L$1052,9,FALSE())</f>
        <v>Alfredo de la Cruz</v>
      </c>
      <c r="L766" s="26" t="str">
        <f>VLOOKUP(C766,'[1]1.CUADRO RESUMEN DE SITIOS '!$C$5:$L$1052,10,FALSE())</f>
        <v>Terminado</v>
      </c>
      <c r="M766" s="26">
        <v>8828119402</v>
      </c>
      <c r="N766" s="26">
        <f>VLOOKUP(M766,[1]LPU!$A$2:$G$1512,2,FALSE())</f>
        <v>4</v>
      </c>
      <c r="O766" s="26" t="str">
        <f>VLOOKUP(M766,[1]LPU!$A$2:$G$1512,3,FALSE)</f>
        <v>Apertura y Cierre de Reja de Seguridad para Revisión de Baterías</v>
      </c>
      <c r="P766" s="26" t="str">
        <f>VLOOKUP(M766,[1]LPU!$A$2:$G$1512,4,FALSE())</f>
        <v>ACCESO</v>
      </c>
      <c r="Q766" s="26" t="str">
        <f>VLOOKUP(M766,[1]LPU!$A$2:$G$1512,5,FALSE())</f>
        <v>U</v>
      </c>
      <c r="R766" s="27">
        <f>VLOOKUP(M766,[1]LPU!$A$2:$G$1512,6,FALSE())</f>
        <v>96900</v>
      </c>
      <c r="S766" s="27" t="str">
        <f>VLOOKUP(M766,[1]LPU!$A$2:$G$1512,7,FALSE())</f>
        <v>LPU FLM</v>
      </c>
      <c r="T766" s="28">
        <v>1</v>
      </c>
      <c r="U766" s="29">
        <f t="shared" si="8"/>
        <v>96900</v>
      </c>
      <c r="V766" s="29" t="s">
        <v>77</v>
      </c>
      <c r="W766" s="30"/>
      <c r="X766" s="29" t="s">
        <v>254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ht="21" customHeight="1" x14ac:dyDescent="0.3">
      <c r="A767" s="22">
        <v>763</v>
      </c>
      <c r="B767" s="23">
        <v>1</v>
      </c>
      <c r="C767" s="23" t="s">
        <v>280</v>
      </c>
      <c r="D767" s="23" t="str">
        <f>VLOOKUP(C767,'[1]1.CUADRO RESUMEN DE SITIOS '!$C$5:$L$1052,2,FALSE())</f>
        <v>JSUC_00025</v>
      </c>
      <c r="E767" s="24">
        <f>VLOOKUP(C767,'[1]1.CUADRO RESUMEN DE SITIOS '!$C$5:$L$1052,3,FALSE())</f>
        <v>45956</v>
      </c>
      <c r="F767" s="23">
        <f>VLOOKUP(C767,'[1]1.CUADRO RESUMEN DE SITIOS '!$C$5:$L$1052,4,FALSE())</f>
        <v>9.6835909999999998</v>
      </c>
      <c r="G767" s="23">
        <f>VLOOKUP(C767,'[1]1.CUADRO RESUMEN DE SITIOS '!$C$5:$L$1052,5,FALSE())</f>
        <v>-75.479393000000002</v>
      </c>
      <c r="H767" s="23" t="str">
        <f>VLOOKUP(C767,'[1]1.CUADRO RESUMEN DE SITIOS '!$C$5:$L$1052,6,FALSE())</f>
        <v>Sucre</v>
      </c>
      <c r="I767" s="23" t="str">
        <f>VLOOKUP(C767,'[1]1.CUADRO RESUMEN DE SITIOS '!$C$5:$L$1052,7,FALSE())</f>
        <v>WOM</v>
      </c>
      <c r="J767" s="25" t="str">
        <f>VLOOKUP(C767,'[1]1.CUADRO RESUMEN DE SITIOS '!$C$5:$L$1052,8,FALSE())</f>
        <v>COSTA</v>
      </c>
      <c r="K767" s="23" t="str">
        <f>VLOOKUP(C767,'[1]1.CUADRO RESUMEN DE SITIOS '!$C$5:$L$1052,9,FALSE())</f>
        <v>Alfredo de la Cruz</v>
      </c>
      <c r="L767" s="26" t="str">
        <f>VLOOKUP(C767,'[1]1.CUADRO RESUMEN DE SITIOS '!$C$5:$L$1052,10,FALSE())</f>
        <v>Terminado</v>
      </c>
      <c r="M767" s="26">
        <v>8828119250</v>
      </c>
      <c r="N767" s="26">
        <f>VLOOKUP(M767,[1]LPU!$A$2:$G$1512,2,FALSE())</f>
        <v>0</v>
      </c>
      <c r="O767" s="26" t="str">
        <f>VLOOKUP(M767,[1]LPU!$A$2:$G$1512,3,FALSE)</f>
        <v>Suministro e instalación coraza americana de 1 1/2" - Incluye 100% accesorios</v>
      </c>
      <c r="P767" s="26" t="str">
        <f>VLOOKUP(M767,[1]LPU!$A$2:$G$1512,4,FALSE())</f>
        <v>Variables</v>
      </c>
      <c r="Q767" s="26" t="str">
        <f>VLOOKUP(M767,[1]LPU!$A$2:$G$1512,5,FALSE())</f>
        <v>ml</v>
      </c>
      <c r="R767" s="27">
        <f>VLOOKUP(M767,[1]LPU!$A$2:$G$1512,6,FALSE())</f>
        <v>12410</v>
      </c>
      <c r="S767" s="27" t="str">
        <f>VLOOKUP(M767,[1]LPU!$A$2:$G$1512,7,FALSE())</f>
        <v>LPU FO</v>
      </c>
      <c r="T767" s="28">
        <v>8</v>
      </c>
      <c r="U767" s="29">
        <f t="shared" si="8"/>
        <v>99280</v>
      </c>
      <c r="V767" s="29" t="s">
        <v>77</v>
      </c>
      <c r="W767" s="30"/>
      <c r="X767" s="29" t="s">
        <v>254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ANA MERCEDES RODRIGUEZ</cp:lastModifiedBy>
  <dcterms:created xsi:type="dcterms:W3CDTF">2015-06-05T18:19:34Z</dcterms:created>
  <dcterms:modified xsi:type="dcterms:W3CDTF">2026-06-13T16:30:31Z</dcterms:modified>
</cp:coreProperties>
</file>